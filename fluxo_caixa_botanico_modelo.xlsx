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LEIA-ME" sheetId="1" state="visible" r:id="rId1"/>
    <sheet name="Tabela" sheetId="2" state="hidden" r:id="rId2"/>
    <sheet name="VALOR POR PL" sheetId="3" state="visible" r:id="rId3"/>
    <sheet name="RETRATO 2027" sheetId="4" state="visible" r:id="rId4"/>
    <sheet name="MODELO PARA BI" sheetId="5" state="visible" r:id="rId5"/>
    <sheet name="AUX. CURVA" sheetId="6" state="visible" r:id="rId6"/>
    <sheet name="&quot;INCC-FGV&quot;" sheetId="7" state="visible" r:id="rId7"/>
    <sheet name="CURVA PREVISION" sheetId="8" state="visible" r:id="rId8"/>
    <sheet name="CP RESUMO" sheetId="9" state="visible" r:id="rId9"/>
    <sheet name="DADOS HISTORICOS" sheetId="10" state="visible" r:id="rId10"/>
    <sheet name="DADOS BRUTOS" sheetId="11" state="visible" r:id="rId11"/>
    <sheet name="PREMISSAS" sheetId="12" state="hidden" r:id="rId12"/>
    <sheet name="PROJETO" sheetId="13" state="visible" r:id="rId13"/>
    <sheet name="TAX. ADM" sheetId="14" state="visible" r:id="rId14"/>
    <sheet name="SEGUROS" sheetId="15" state="visible" r:id="rId15"/>
    <sheet name="TAX. DIVERSAS" sheetId="16" state="visible" r:id="rId16"/>
    <sheet name="BARRACÃO DE OBRA" sheetId="17" state="visible" r:id="rId17"/>
    <sheet name="LIG. PROVISÓRIAS" sheetId="18" state="visible" r:id="rId18"/>
    <sheet name="CONSUMOS" sheetId="19" state="visible" r:id="rId19"/>
    <sheet name="DIVERSOS" sheetId="20" state="visible" r:id="rId20"/>
    <sheet name="TRANSPORTES" sheetId="21" state="visible" r:id="rId21"/>
    <sheet name="CONSULTORIAS" sheetId="22" state="visible" r:id="rId22"/>
    <sheet name="MDO" sheetId="23" state="visible" r:id="rId23"/>
    <sheet name="EQUIP E FER" sheetId="24" state="visible" r:id="rId24"/>
    <sheet name="SERV. INICIAIS" sheetId="25" state="visible" r:id="rId25"/>
    <sheet name="CONTENÇÃO" sheetId="26" state="visible" r:id="rId26"/>
    <sheet name="TERRAPLENAGEM" sheetId="27" state="visible" r:id="rId27"/>
    <sheet name="FUND. PROF" sheetId="28" state="visible" r:id="rId28"/>
    <sheet name="FUND. SUP" sheetId="29" state="visible" r:id="rId29"/>
    <sheet name="ESTRUTURA" sheetId="30" state="visible" r:id="rId30"/>
    <sheet name="AUX.ESTRUTURA" sheetId="31" state="visible" r:id="rId31"/>
    <sheet name="ALVENARIA" sheetId="32" state="visible" r:id="rId32"/>
    <sheet name="IMPERMEABILIZAÇÃO" sheetId="33" state="visible" r:id="rId33"/>
    <sheet name="INST. ELÉTRICA" sheetId="34" state="visible" r:id="rId34"/>
    <sheet name="INST. HIDRO" sheetId="35" state="visible" r:id="rId35"/>
    <sheet name="INST. INC" sheetId="36" state="visible" r:id="rId36"/>
    <sheet name="INST. ESP" sheetId="37" state="visible" r:id="rId37"/>
    <sheet name="ELEVADORES " sheetId="38" state="visible" r:id="rId38"/>
    <sheet name="ESQUADRIAS" sheetId="39" state="visible" r:id="rId39"/>
    <sheet name="SERRALHERIA" sheetId="40" state="visible" r:id="rId40"/>
    <sheet name="MARCENARIA" sheetId="41" state="visible" r:id="rId41"/>
    <sheet name="REV. PISOS" sheetId="42" state="visible" r:id="rId42"/>
    <sheet name="REV. PAREDE" sheetId="43" state="visible" r:id="rId43"/>
    <sheet name="REV. ACAB" sheetId="44" state="visible" r:id="rId44"/>
    <sheet name="PAVIMENTAÇÃO" sheetId="45" state="visible" r:id="rId45"/>
    <sheet name="REV. FACHADA" sheetId="46" state="visible" r:id="rId46"/>
    <sheet name="FORRO" sheetId="47" state="visible" r:id="rId47"/>
    <sheet name="LOUÇAS" sheetId="48" state="visible" r:id="rId48"/>
    <sheet name="PINTURA" sheetId="49" state="visible" r:id="rId49"/>
    <sheet name="PAISAGISMO" sheetId="50" state="visible" r:id="rId50"/>
    <sheet name="LIMPEZA" sheetId="51" state="visible" r:id="rId5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mm/yyyy"/>
    <numFmt numFmtId="169" formatCode="mmm/yy"/>
    <numFmt numFmtId="170" formatCode="0.0%;[Red]-0.0%;&quot;-&quot;"/>
    <numFmt numFmtId="171" formatCode="0.0"/>
    <numFmt numFmtId="172" formatCode="0.0%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008000"/>
      <sz val="13"/>
    </font>
    <font>
      <name val="Arial"/>
      <i val="1"/>
      <color rgb="00595959"/>
      <sz val="9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C65911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" fontId="4" fillId="2" borderId="1" pivotButton="0" quotePrefix="0" xfId="0"/>
    <xf numFmtId="168" fontId="4" fillId="2" borderId="1" pivotButton="0" quotePrefix="0" xfId="0"/>
    <xf numFmtId="0" fontId="8" fillId="0" borderId="0" pivotButton="0" quotePrefix="0" xfId="0"/>
    <xf numFmtId="0" fontId="5" fillId="0" borderId="1" pivotButton="0" quotePrefix="0" xfId="0"/>
    <xf numFmtId="9" fontId="4" fillId="0" borderId="1" pivotButton="0" quotePrefix="0" xfId="0"/>
    <xf numFmtId="170" fontId="2" fillId="0" borderId="1" pivotButton="0" quotePrefix="0" xfId="0"/>
    <xf numFmtId="164" fontId="5" fillId="0" borderId="1" pivotButton="0" quotePrefix="0" xfId="0"/>
    <xf numFmtId="0" fontId="0" fillId="5" borderId="0" pivotButton="0" quotePrefix="0" xfId="0"/>
    <xf numFmtId="0" fontId="3" fillId="5" borderId="1" pivotButton="0" quotePrefix="0" xfId="0"/>
    <xf numFmtId="9" fontId="4" fillId="5" borderId="1" pivotButton="0" quotePrefix="0" xfId="0"/>
    <xf numFmtId="170" fontId="3" fillId="5" borderId="1" pivotButton="0" quotePrefix="0" xfId="0"/>
    <xf numFmtId="169" fontId="7" fillId="4" borderId="0" applyAlignment="1" pivotButton="0" quotePrefix="0" xfId="0">
      <alignment horizontal="center" vertical="center" wrapText="1"/>
    </xf>
    <xf numFmtId="164" fontId="5" fillId="0" borderId="0" pivotButton="0" quotePrefix="0" xfId="0"/>
    <xf numFmtId="165" fontId="3" fillId="0" borderId="1" pivotButton="0" quotePrefix="0" xfId="0"/>
    <xf numFmtId="169" fontId="5" fillId="0" borderId="1" pivotButton="0" quotePrefix="0" xfId="0"/>
    <xf numFmtId="10" fontId="4" fillId="0" borderId="1" pivotButton="0" quotePrefix="0" xfId="0"/>
    <xf numFmtId="168" fontId="4" fillId="0" borderId="1" pivotButton="0" quotePrefix="0" xfId="0"/>
    <xf numFmtId="10" fontId="2" fillId="0" borderId="0" pivotButton="0" quotePrefix="0" xfId="0"/>
    <xf numFmtId="0" fontId="9" fillId="0" borderId="0" pivotButton="0" quotePrefix="0" xfId="0"/>
    <xf numFmtId="168" fontId="4" fillId="0" borderId="0" pivotButton="0" quotePrefix="0" xfId="0"/>
    <xf numFmtId="4" fontId="4" fillId="0" borderId="0" pivotButton="0" quotePrefix="0" xfId="0"/>
    <xf numFmtId="168" fontId="5" fillId="0" borderId="1" pivotButton="0" quotePrefix="0" xfId="0"/>
    <xf numFmtId="1" fontId="9" fillId="0" borderId="0" pivotButton="0" quotePrefix="0" xfId="0"/>
    <xf numFmtId="169" fontId="7" fillId="4" borderId="1" pivotButton="0" quotePrefix="0" xfId="0"/>
    <xf numFmtId="171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6" borderId="1" applyAlignment="1" pivotButton="0" quotePrefix="0" xfId="0">
      <alignment horizontal="center" vertical="center" wrapText="1"/>
    </xf>
    <xf numFmtId="164" fontId="4" fillId="7" borderId="1" pivotButton="0" quotePrefix="0" xfId="0"/>
    <xf numFmtId="2" fontId="5" fillId="0" borderId="1" pivotButton="0" quotePrefix="0" xfId="0"/>
    <xf numFmtId="169" fontId="2" fillId="0" borderId="1" pivotButton="0" quotePrefix="0" xfId="0"/>
    <xf numFmtId="172" fontId="2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dxfs count="4"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styles" Target="styles.xml" Id="rId52" /><Relationship Type="http://schemas.openxmlformats.org/officeDocument/2006/relationships/theme" Target="theme/theme1.xml" Id="rId5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por ano (R$)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'RETRATO 2027'!$O$5:$O$11</f>
            </numRef>
          </cat>
          <val>
            <numRef>
              <f>'RETRATO 2027'!$P$5:$P$11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L10" authorId="0" shapeId="0">
      <text>
        <t>Projeção IEC. Arquivo original: VALOR POR PL!L (taxa de adm.: TAX. ADM!J9).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I2" authorId="0" shapeId="0">
      <text>
        <t>Os valores em INCC são convertidos para R$ com o índice deste mês (igual ao modelo original).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13</row>
      <rowOff>0</rowOff>
    </from>
    <ext cx="50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Se a coluna H estiver vazia, a curva vem do Prevision (abas CURVA PREVISION → CP RESUMO).</t>
        </is>
      </c>
    </row>
    <row r="9">
      <c r="A9" s="2" t="inlineStr">
        <is>
          <t>• DADOS HISTORICOS localiza cada grupo do ERP pelo NOME e cada mês pela DATA do cabeçalho (antes era por posição).</t>
        </is>
      </c>
    </row>
    <row r="10">
      <c r="A10" s="2" t="inlineStr"/>
    </row>
    <row r="11">
      <c r="A11" s="3" t="inlineStr">
        <is>
          <t>Atualização mensal</t>
        </is>
      </c>
    </row>
    <row r="12">
      <c r="A12" s="2" t="inlineStr">
        <is>
          <t>1. "INCC-FGV": acrescente o índice do mês (mês no formato 01/mm/aaaa).</t>
        </is>
      </c>
    </row>
    <row r="13">
      <c r="A13" s="2" t="inlineStr">
        <is>
          <t>2. VALOR POR PL: mude a DATA DE CORTE (K5) para o último mês com realizado fechado; atualize a PROJEÇÃO (coluna L).</t>
        </is>
      </c>
    </row>
    <row r="14">
      <c r="A14" s="2" t="inlineStr">
        <is>
          <t>3. DADOS BRUTOS: cole a tabela dinâmica do ERP a partir da célula A1 (mesmo formato de sempre: grupos nas linhas, meses nas colunas).</t>
        </is>
      </c>
    </row>
    <row r="15">
      <c r="A15" s="2" t="inlineStr">
        <is>
          <t xml:space="preserve">   Grupo destacado em vermelho = nome que não existe em DADOS HISTORICOS (colunas B/C). Cadastre-o ou coloque na lista de ignorados.</t>
        </is>
      </c>
    </row>
    <row r="16">
      <c r="A16" s="2" t="inlineStr">
        <is>
          <t>4. CURVA PREVISION: cole o export do Prevision a partir da célula A1 (opcional — só é usado quando a coluna H da disciplina está vazia).</t>
        </is>
      </c>
    </row>
    <row r="17">
      <c r="A17" s="2" t="inlineStr">
        <is>
          <t>5. Abas de disciplina: se quiser, digite a previsão por mês na coluna H (meses futuros).</t>
        </is>
      </c>
    </row>
    <row r="18">
      <c r="A18" s="2" t="inlineStr">
        <is>
          <t>6. VALOR POR PL, coluna N e bloco CONFERÊNCIA GERAL: tudo deve estar 'OK'.</t>
        </is>
      </c>
    </row>
    <row r="19">
      <c r="A19" s="2" t="inlineStr">
        <is>
          <t>7. RETRATO 2027: escolha o ano em F2 e o INCC em I2. A aba pode ser renomeada à vontade.</t>
        </is>
      </c>
    </row>
    <row r="20">
      <c r="A20" s="2" t="inlineStr"/>
    </row>
    <row r="21">
      <c r="A21" s="3" t="inlineStr">
        <is>
          <t>Convenção de cores</t>
        </is>
      </c>
    </row>
    <row r="22">
      <c r="A22" s="4" t="inlineStr">
        <is>
          <t>Texto azul = entrada (editar)</t>
        </is>
      </c>
    </row>
    <row r="23">
      <c r="A23" s="2" t="inlineStr">
        <is>
          <t>Texto preto = fórmula (não editar)</t>
        </is>
      </c>
    </row>
    <row r="24">
      <c r="A24" s="5" t="inlineStr">
        <is>
          <t>Texto verde = puxa de outra aba (não editar)</t>
        </is>
      </c>
    </row>
    <row r="25">
      <c r="A25" s="6" t="inlineStr">
        <is>
          <t>Fundo amarelo = parâmetro principal</t>
        </is>
      </c>
    </row>
    <row r="26">
      <c r="A26" s="7" t="inlineStr">
        <is>
          <t>Linhas cinza nas abas de disciplina = meses já realizados (até a data de corte)</t>
        </is>
      </c>
    </row>
    <row r="27">
      <c r="A27" s="2" t="inlineStr"/>
    </row>
    <row r="28">
      <c r="A28" s="3" t="inlineStr">
        <is>
          <t>Diferenças de abas em relação ao original</t>
        </is>
      </c>
    </row>
    <row r="29">
      <c r="A29" s="2" t="inlineStr">
        <is>
          <t>• Novas: LEIA-ME, SEGUROS e LIG. PROVISÓRIAS (essas duas disciplinas tinham projeção e realizado no ERP, mas nenhuma aba de distribuição).</t>
        </is>
      </c>
    </row>
    <row r="30">
      <c r="A30" s="2" t="inlineStr">
        <is>
          <t>• Removida: Planilha1 (era uma cópia com valores fixos do MODELO PARA BI).</t>
        </is>
      </c>
    </row>
    <row r="31">
      <c r="A31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B3:P59"/>
  <sheetViews>
    <sheetView tabSelected="1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2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2" customWidth="1" min="15" max="15"/>
    <col width="13" customWidth="1" min="16" max="16"/>
  </cols>
  <sheetData>
    <row r="3">
      <c r="B3" s="8" t="inlineStr">
        <is>
          <t>ORÇAMENTO SET/25 - BOTÂNICO</t>
        </is>
      </c>
      <c r="J3" s="3" t="inlineStr">
        <is>
          <t>ACOMPANHAMENTO IEC</t>
        </is>
      </c>
    </row>
    <row r="5">
      <c r="B5" s="9" t="inlineStr">
        <is>
          <t>INCC 10-25</t>
        </is>
      </c>
      <c r="C5" s="10" t="n">
        <v>1216.76</v>
      </c>
      <c r="D5" s="9" t="inlineStr">
        <is>
          <t>TOTAL</t>
        </is>
      </c>
      <c r="E5" s="11">
        <f>E50</f>
        <v/>
      </c>
      <c r="F5" s="12">
        <f>F50</f>
        <v/>
      </c>
      <c r="G5" s="12">
        <f>G50</f>
        <v/>
      </c>
      <c r="H5" s="9" t="inlineStr">
        <is>
          <t>INCC BASE DO ORÇAMENTO</t>
        </is>
      </c>
      <c r="J5" s="9" t="inlineStr">
        <is>
          <t>DATA DE CORTE -&gt;</t>
        </is>
      </c>
      <c r="K5" s="13" t="n">
        <v>46235</v>
      </c>
      <c r="O5" s="14" t="inlineStr">
        <is>
          <t>Corte (1º dia do mês)</t>
        </is>
      </c>
      <c r="P5" s="15">
        <f>DATE(YEAR(K5),MONTH(K5),1)</f>
        <v/>
      </c>
    </row>
    <row r="6">
      <c r="B6" s="9" t="inlineStr">
        <is>
          <t>ORÇ EM INCC</t>
        </is>
      </c>
      <c r="C6" s="16" t="n">
        <v>143557.19</v>
      </c>
      <c r="H6" s="10" t="n">
        <v>1216.706</v>
      </c>
      <c r="J6" s="9" t="inlineStr">
        <is>
          <t>INÍCIO DO FLUXO -&gt;</t>
        </is>
      </c>
      <c r="K6" s="13" t="n">
        <v>45627</v>
      </c>
      <c r="O6" s="14" t="inlineStr">
        <is>
          <t>Início (1º dia do mês)</t>
        </is>
      </c>
      <c r="P6" s="15">
        <f>DATE(YEAR(K6),MONTH(K6),1)</f>
        <v/>
      </c>
    </row>
    <row r="7">
      <c r="B7" s="9" t="inlineStr">
        <is>
          <t>ORÇ 10-25</t>
        </is>
      </c>
      <c r="C7" s="17">
        <f>C6*C5</f>
        <v/>
      </c>
      <c r="D7" s="9" t="inlineStr">
        <is>
          <t>TAXA DE ADMINISTRAÇÃO</t>
        </is>
      </c>
      <c r="E7" s="11">
        <f>IF(F49=0,0,F48/F49)</f>
        <v/>
      </c>
      <c r="F7" s="12">
        <f>F48</f>
        <v/>
      </c>
      <c r="G7" s="12">
        <f>G48</f>
        <v/>
      </c>
      <c r="O7" s="14" t="inlineStr">
        <is>
          <t>INCC no mês de corte</t>
        </is>
      </c>
      <c r="P7" s="18">
        <f>IFERROR(INDEX('"INCC-FGV"'!$B$2:$B$400,MATCH(P5,'"INCC-FGV"'!$A$2:$A$400,0)),"FALTA INCC")</f>
        <v/>
      </c>
    </row>
    <row r="8">
      <c r="D8" s="9" t="inlineStr">
        <is>
          <t>SUBTOTAL</t>
        </is>
      </c>
      <c r="E8" s="11">
        <f>IF(F50=0,0,F49/F50)</f>
        <v/>
      </c>
      <c r="F8" s="12">
        <f>F49</f>
        <v/>
      </c>
      <c r="G8" s="12">
        <f>G49</f>
        <v/>
      </c>
      <c r="O8" s="14" t="inlineStr">
        <is>
          <t>Último mês do horizonte</t>
        </is>
      </c>
      <c r="P8" s="15">
        <f>DATE(YEAR(P6),MONTH(P6)+71,1)</f>
        <v/>
      </c>
    </row>
    <row r="9">
      <c r="O9" s="14" t="inlineStr">
        <is>
          <t>Obra</t>
        </is>
      </c>
      <c r="P9" s="19" t="inlineStr">
        <is>
          <t>BOTÂNICO</t>
        </is>
      </c>
    </row>
    <row r="10" ht="45" customHeight="1">
      <c r="B10" s="20" t="inlineStr">
        <is>
          <t>CPU</t>
        </is>
      </c>
      <c r="C10" s="20" t="inlineStr">
        <is>
          <t>CÓDIGO</t>
        </is>
      </c>
      <c r="D10" s="20" t="inlineStr">
        <is>
          <t>DESCRIÇÃO / SERVIÇO</t>
        </is>
      </c>
      <c r="E10" s="20" t="inlineStr">
        <is>
          <t>PESO DO ORÇAMENTO</t>
        </is>
      </c>
      <c r="F10" s="20" t="inlineStr">
        <is>
          <t>VALOR EM R$
(orçamento base)</t>
        </is>
      </c>
      <c r="G10" s="20" t="inlineStr">
        <is>
          <t>VALOR EM INCC
(F ÷ INCC base)</t>
        </is>
      </c>
      <c r="H10" s="20" t="inlineStr">
        <is>
          <t>VALOR EM INCC</t>
        </is>
      </c>
      <c r="J10" s="20" t="inlineStr">
        <is>
          <t>PL</t>
        </is>
      </c>
      <c r="K10" s="20" t="inlineStr">
        <is>
          <t>ORÇAMENTO REAJUSTADO
(INCC do corte)</t>
        </is>
      </c>
      <c r="L10" s="20" t="inlineStr">
        <is>
          <t>PROJEÇÃO (R$)</t>
        </is>
      </c>
      <c r="M10" s="20" t="inlineStr">
        <is>
          <t>VARIAÇÃO</t>
        </is>
      </c>
      <c r="N10" s="20" t="inlineStr">
        <is>
          <t>CONFERÊNCIA</t>
        </is>
      </c>
    </row>
    <row r="11">
      <c r="B11" s="21" t="inlineStr">
        <is>
          <t>PL001.001</t>
        </is>
      </c>
      <c r="C11" s="21" t="inlineStr">
        <is>
          <t>01</t>
        </is>
      </c>
      <c r="D11" s="21" t="inlineStr">
        <is>
          <t>PROJETOS</t>
        </is>
      </c>
      <c r="E11" s="11">
        <f>IF($F$50=0,0,F11/$F$50)</f>
        <v/>
      </c>
      <c r="F11" s="16" t="n">
        <v>2400000</v>
      </c>
      <c r="G11" s="12">
        <f>IF($H$6=0,0,F11/$H$6)</f>
        <v/>
      </c>
      <c r="H11" s="12">
        <f>G11</f>
        <v/>
      </c>
      <c r="J11" s="21" t="inlineStr">
        <is>
          <t>PROJETOS</t>
        </is>
      </c>
      <c r="K11" s="12">
        <f>IF(ISNUMBER($P$7),G11*$P$7,0)</f>
        <v/>
      </c>
      <c r="L11" s="16" t="n">
        <v>2640655</v>
      </c>
      <c r="M11" s="12">
        <f>L11-K11</f>
        <v/>
      </c>
      <c r="N11" s="14">
        <f>IF(D11="","",IF('PROJETO'!$C$78&gt;L11+1,"⚠ Incorrido acima da projeção",IF(AND('PROJETO'!$K$14&gt;1,'PROJETO'!$K$13=0),"⚠ Saldo sem curva (preencha a coluna H da aba)",IF(ABS('PROJETO'!$D$80)&gt;1,"⚠ Verificar","OK"))))</f>
        <v/>
      </c>
    </row>
    <row r="12">
      <c r="B12" s="21" t="inlineStr">
        <is>
          <t>PL350.001</t>
        </is>
      </c>
      <c r="C12" s="21" t="inlineStr">
        <is>
          <t>02</t>
        </is>
      </c>
      <c r="D12" s="21" t="inlineStr">
        <is>
          <t>SEGUROS</t>
        </is>
      </c>
      <c r="E12" s="11">
        <f>IF($F$50=0,0,F12/$F$50)</f>
        <v/>
      </c>
      <c r="F12" s="16" t="n">
        <v>126154.98</v>
      </c>
      <c r="G12" s="12">
        <f>IF($H$6=0,0,F12/$H$6)</f>
        <v/>
      </c>
      <c r="H12" s="12">
        <f>G12</f>
        <v/>
      </c>
      <c r="J12" s="21" t="inlineStr">
        <is>
          <t xml:space="preserve">SEGURO DE OBRA </t>
        </is>
      </c>
      <c r="K12" s="12">
        <f>IF(ISNUMBER($P$7),G12*$P$7,0)</f>
        <v/>
      </c>
      <c r="L12" s="16" t="n">
        <v>127911.99</v>
      </c>
      <c r="M12" s="12">
        <f>L12-K12</f>
        <v/>
      </c>
      <c r="N12" s="14">
        <f>IF(D12="","",IF('SEGUROS'!$C$78&gt;L12+1,"⚠ Incorrido acima da projeção",IF(AND('SEGUROS'!$K$14&gt;1,'SEGUROS'!$K$13=0),"⚠ Saldo sem curva (preencha a coluna H da aba)",IF(ABS('SEGUROS'!$D$80)&gt;1,"⚠ Verificar","OK"))))</f>
        <v/>
      </c>
    </row>
    <row r="13">
      <c r="B13" s="21" t="inlineStr">
        <is>
          <t>PL001.016</t>
        </is>
      </c>
      <c r="C13" s="21" t="inlineStr">
        <is>
          <t>03</t>
        </is>
      </c>
      <c r="D13" s="21" t="inlineStr">
        <is>
          <t>TAXAS DIVERSAS</t>
        </is>
      </c>
      <c r="E13" s="11">
        <f>IF($F$50=0,0,F13/$F$50)</f>
        <v/>
      </c>
      <c r="F13" s="16" t="n">
        <v>150000</v>
      </c>
      <c r="G13" s="12">
        <f>IF($H$6=0,0,F13/$H$6)</f>
        <v/>
      </c>
      <c r="H13" s="12">
        <f>G13</f>
        <v/>
      </c>
      <c r="J13" s="21" t="inlineStr">
        <is>
          <t>TAXAS DIVERSAS</t>
        </is>
      </c>
      <c r="K13" s="12">
        <f>IF(ISNUMBER($P$7),G13*$P$7,0)</f>
        <v/>
      </c>
      <c r="L13" s="16" t="n">
        <v>158047.46</v>
      </c>
      <c r="M13" s="12">
        <f>L13-K13</f>
        <v/>
      </c>
      <c r="N13" s="14">
        <f>IF(D13="","",IF('TAX. DIVERSAS'!$C$78&gt;L13+1,"⚠ Incorrido acima da projeção",IF(AND('TAX. DIVERSAS'!$K$14&gt;1,'TAX. DIVERSAS'!$K$13=0),"⚠ Saldo sem curva (preencha a coluna H da aba)",IF(ABS('TAX. DIVERSAS'!$D$80)&gt;1,"⚠ Verificar","OK"))))</f>
        <v/>
      </c>
    </row>
    <row r="14">
      <c r="B14" s="21" t="inlineStr">
        <is>
          <t>PL010.005</t>
        </is>
      </c>
      <c r="C14" s="21" t="inlineStr">
        <is>
          <t>04</t>
        </is>
      </c>
      <c r="D14" s="21" t="inlineStr">
        <is>
          <t>BARRACAO DE OBRA</t>
        </is>
      </c>
      <c r="E14" s="11">
        <f>IF($F$50=0,0,F14/$F$50)</f>
        <v/>
      </c>
      <c r="F14" s="16" t="n">
        <v>934513.13</v>
      </c>
      <c r="G14" s="12">
        <f>IF($H$6=0,0,F14/$H$6)</f>
        <v/>
      </c>
      <c r="H14" s="12">
        <f>G14</f>
        <v/>
      </c>
      <c r="J14" s="21" t="inlineStr">
        <is>
          <t>BARRACAO DE OBRA</t>
        </is>
      </c>
      <c r="K14" s="12">
        <f>IF(ISNUMBER($P$7),G14*$P$7,0)</f>
        <v/>
      </c>
      <c r="L14" s="16" t="n">
        <v>1249911.07</v>
      </c>
      <c r="M14" s="12">
        <f>L14-K14</f>
        <v/>
      </c>
      <c r="N14" s="14">
        <f>IF(D14="","",IF('BARRACÃO DE OBRA'!$C$78&gt;L14+1,"⚠ Incorrido acima da projeção",IF(AND('BARRACÃO DE OBRA'!$K$14&gt;1,'BARRACÃO DE OBRA'!$K$13=0),"⚠ Saldo sem curva (preencha a coluna H da aba)",IF(ABS('BARRACÃO DE OBRA'!$D$80)&gt;1,"⚠ Verificar","OK"))))</f>
        <v/>
      </c>
    </row>
    <row r="15">
      <c r="B15" s="21" t="inlineStr">
        <is>
          <t>PL020.004</t>
        </is>
      </c>
      <c r="C15" s="21" t="inlineStr">
        <is>
          <t>05</t>
        </is>
      </c>
      <c r="D15" s="21" t="inlineStr">
        <is>
          <t>LIGAÇÕES PROVISÓRIAS AGUA, ENERGIA,TELEFONIA, ESGOTO</t>
        </is>
      </c>
      <c r="E15" s="11">
        <f>IF($F$50=0,0,F15/$F$50)</f>
        <v/>
      </c>
      <c r="F15" s="16" t="n">
        <v>50000</v>
      </c>
      <c r="G15" s="12">
        <f>IF($H$6=0,0,F15/$H$6)</f>
        <v/>
      </c>
      <c r="H15" s="12">
        <f>G15</f>
        <v/>
      </c>
      <c r="J15" s="21" t="inlineStr">
        <is>
          <t>LIGAÇÕES PROVISÓRIAS AGUA, ESGOTO, ENERGIA,TELEFONE, INTERNET</t>
        </is>
      </c>
      <c r="K15" s="12">
        <f>IF(ISNUMBER($P$7),G15*$P$7,0)</f>
        <v/>
      </c>
      <c r="L15" s="16" t="n">
        <v>85665.05</v>
      </c>
      <c r="M15" s="12">
        <f>L15-K15</f>
        <v/>
      </c>
      <c r="N15" s="14">
        <f>IF(D15="","",IF('LIG. PROVISÓRIAS'!$C$78&gt;L15+1,"⚠ Incorrido acima da projeção",IF(AND('LIG. PROVISÓRIAS'!$K$14&gt;1,'LIG. PROVISÓRIAS'!$K$13=0),"⚠ Saldo sem curva (preencha a coluna H da aba)",IF(ABS('LIG. PROVISÓRIAS'!$D$80)&gt;1,"⚠ Verificar","OK"))))</f>
        <v/>
      </c>
    </row>
    <row r="16">
      <c r="B16" s="21" t="inlineStr">
        <is>
          <t>PL020.005</t>
        </is>
      </c>
      <c r="C16" s="21" t="inlineStr">
        <is>
          <t>06</t>
        </is>
      </c>
      <c r="D16" s="21" t="inlineStr">
        <is>
          <t>CONSUMO DE ÁGUA, ENERGIA, ETC.</t>
        </is>
      </c>
      <c r="E16" s="11">
        <f>IF($F$50=0,0,F16/$F$50)</f>
        <v/>
      </c>
      <c r="F16" s="16" t="n">
        <v>521400</v>
      </c>
      <c r="G16" s="12">
        <f>IF($H$6=0,0,F16/$H$6)</f>
        <v/>
      </c>
      <c r="H16" s="12">
        <f>G16</f>
        <v/>
      </c>
      <c r="J16" s="21" t="inlineStr">
        <is>
          <t>CONSUMO DE ÁGUA, ENERGIA, TELEFONE, INTERNET</t>
        </is>
      </c>
      <c r="K16" s="12">
        <f>IF(ISNUMBER($P$7),G16*$P$7,0)</f>
        <v/>
      </c>
      <c r="L16" s="16" t="n">
        <v>544229.22</v>
      </c>
      <c r="M16" s="12">
        <f>L16-K16</f>
        <v/>
      </c>
      <c r="N16" s="14">
        <f>IF(D16="","",IF('CONSUMOS'!$C$78&gt;L16+1,"⚠ Incorrido acima da projeção",IF(AND('CONSUMOS'!$K$14&gt;1,'CONSUMOS'!$K$13=0),"⚠ Saldo sem curva (preencha a coluna H da aba)",IF(ABS('CONSUMOS'!$D$80)&gt;1,"⚠ Verificar","OK"))))</f>
        <v/>
      </c>
    </row>
    <row r="17">
      <c r="B17" s="21" t="inlineStr">
        <is>
          <t>PL310.007</t>
        </is>
      </c>
      <c r="C17" s="21" t="inlineStr">
        <is>
          <t>07</t>
        </is>
      </c>
      <c r="D17" s="21" t="inlineStr">
        <is>
          <t>DIVERSOS</t>
        </is>
      </c>
      <c r="E17" s="11">
        <f>IF($F$50=0,0,F17/$F$50)</f>
        <v/>
      </c>
      <c r="F17" s="16" t="n">
        <v>158400</v>
      </c>
      <c r="G17" s="12">
        <f>IF($H$6=0,0,F17/$H$6)</f>
        <v/>
      </c>
      <c r="H17" s="12">
        <f>G17</f>
        <v/>
      </c>
      <c r="J17" s="21" t="inlineStr">
        <is>
          <t>DIVERSOS</t>
        </is>
      </c>
      <c r="K17" s="12">
        <f>IF(ISNUMBER($P$7),G17*$P$7,0)</f>
        <v/>
      </c>
      <c r="L17" s="16" t="n">
        <v>194480.67</v>
      </c>
      <c r="M17" s="12">
        <f>L17-K17</f>
        <v/>
      </c>
      <c r="N17" s="14">
        <f>IF(D17="","",IF('DIVERSOS'!$C$78&gt;L17+1,"⚠ Incorrido acima da projeção",IF(AND('DIVERSOS'!$K$14&gt;1,'DIVERSOS'!$K$13=0),"⚠ Saldo sem curva (preencha a coluna H da aba)",IF(ABS('DIVERSOS'!$D$80)&gt;1,"⚠ Verificar","OK"))))</f>
        <v/>
      </c>
    </row>
    <row r="18">
      <c r="B18" s="21" t="inlineStr">
        <is>
          <t>PL570.001</t>
        </is>
      </c>
      <c r="C18" s="21" t="inlineStr">
        <is>
          <t>08</t>
        </is>
      </c>
      <c r="D18" s="21" t="inlineStr">
        <is>
          <t>TRANSPORTES</t>
        </is>
      </c>
      <c r="E18" s="11">
        <f>IF($F$50=0,0,F18/$F$50)</f>
        <v/>
      </c>
      <c r="F18" s="16" t="n">
        <v>779592</v>
      </c>
      <c r="G18" s="12">
        <f>IF($H$6=0,0,F18/$H$6)</f>
        <v/>
      </c>
      <c r="H18" s="12">
        <f>G18</f>
        <v/>
      </c>
      <c r="J18" s="21" t="inlineStr">
        <is>
          <t>FRETES E TRANSPORTES</t>
        </is>
      </c>
      <c r="K18" s="12">
        <f>IF(ISNUMBER($P$7),G18*$P$7,0)</f>
        <v/>
      </c>
      <c r="L18" s="16" t="n">
        <v>817599.4300000001</v>
      </c>
      <c r="M18" s="12">
        <f>L18-K18</f>
        <v/>
      </c>
      <c r="N18" s="14">
        <f>IF(D18="","",IF('TRANSPORTES'!$C$78&gt;L18+1,"⚠ Incorrido acima da projeção",IF(AND('TRANSPORTES'!$K$14&gt;1,'TRANSPORTES'!$K$13=0),"⚠ Saldo sem curva (preencha a coluna H da aba)",IF(ABS('TRANSPORTES'!$D$80)&gt;1,"⚠ Verificar","OK"))))</f>
        <v/>
      </c>
    </row>
    <row r="19">
      <c r="B19" s="21" t="inlineStr">
        <is>
          <t>PL001.051</t>
        </is>
      </c>
      <c r="C19" s="21" t="inlineStr">
        <is>
          <t>09</t>
        </is>
      </c>
      <c r="D19" s="21" t="inlineStr">
        <is>
          <t>CONSULTORIAS (OBRAS)</t>
        </is>
      </c>
      <c r="E19" s="11">
        <f>IF($F$50=0,0,F19/$F$50)</f>
        <v/>
      </c>
      <c r="F19" s="16" t="n">
        <v>1322660.98</v>
      </c>
      <c r="G19" s="12">
        <f>IF($H$6=0,0,F19/$H$6)</f>
        <v/>
      </c>
      <c r="H19" s="12">
        <f>G19</f>
        <v/>
      </c>
      <c r="J19" s="21" t="inlineStr">
        <is>
          <t>CONSULTORIAS (OBRAS)</t>
        </is>
      </c>
      <c r="K19" s="12">
        <f>IF(ISNUMBER($P$7),G19*$P$7,0)</f>
        <v/>
      </c>
      <c r="L19" s="16" t="n">
        <v>1371532.11</v>
      </c>
      <c r="M19" s="12">
        <f>L19-K19</f>
        <v/>
      </c>
      <c r="N19" s="14">
        <f>IF(D19="","",IF('CONSULTORIAS'!$C$78&gt;L19+1,"⚠ Incorrido acima da projeção",IF(AND('CONSULTORIAS'!$K$14&gt;1,'CONSULTORIAS'!$K$13=0),"⚠ Saldo sem curva (preencha a coluna H da aba)",IF(ABS('CONSULTORIAS'!$D$80)&gt;1,"⚠ Verificar","OK"))))</f>
        <v/>
      </c>
    </row>
    <row r="20">
      <c r="B20" s="21" t="inlineStr">
        <is>
          <t>PL700.001</t>
        </is>
      </c>
      <c r="C20" s="21" t="inlineStr">
        <is>
          <t>10</t>
        </is>
      </c>
      <c r="D20" s="21" t="inlineStr">
        <is>
          <t>MÃO DE OBRA PRÓPRIA</t>
        </is>
      </c>
      <c r="E20" s="11">
        <f>IF($F$50=0,0,F20/$F$50)</f>
        <v/>
      </c>
      <c r="F20" s="16" t="n">
        <v>20188024.55</v>
      </c>
      <c r="G20" s="12">
        <f>IF($H$6=0,0,F20/$H$6)</f>
        <v/>
      </c>
      <c r="H20" s="12">
        <f>G20</f>
        <v/>
      </c>
      <c r="J20" s="21" t="inlineStr">
        <is>
          <t>MÃO DE OBRA PRÓPRIA</t>
        </is>
      </c>
      <c r="K20" s="12">
        <f>IF(ISNUMBER($P$7),G20*$P$7,0)</f>
        <v/>
      </c>
      <c r="L20" s="16" t="n">
        <v>21271106.08</v>
      </c>
      <c r="M20" s="12">
        <f>L20-K20</f>
        <v/>
      </c>
      <c r="N20" s="14">
        <f>IF(D20="","",IF('MDO'!$C$78&gt;L20+1,"⚠ Incorrido acima da projeção",IF(AND('MDO'!$K$14&gt;1,'MDO'!$K$13=0),"⚠ Saldo sem curva (preencha a coluna H da aba)",IF(ABS('MDO'!$D$80)&gt;1,"⚠ Verificar","OK"))))</f>
        <v/>
      </c>
    </row>
    <row r="21">
      <c r="B21" s="21" t="inlineStr">
        <is>
          <t>PL530.001</t>
        </is>
      </c>
      <c r="C21" s="21" t="inlineStr">
        <is>
          <t>11</t>
        </is>
      </c>
      <c r="D21" s="21" t="inlineStr">
        <is>
          <t>EQUIPAMENTOS E FERRAMENTAS</t>
        </is>
      </c>
      <c r="E21" s="11">
        <f>IF($F$50=0,0,F21/$F$50)</f>
        <v/>
      </c>
      <c r="F21" s="16" t="n">
        <v>6467911.66</v>
      </c>
      <c r="G21" s="12">
        <f>IF($H$6=0,0,F21/$H$6)</f>
        <v/>
      </c>
      <c r="H21" s="12">
        <f>G21</f>
        <v/>
      </c>
      <c r="J21" s="21" t="inlineStr">
        <is>
          <t>EQUIPAMENTOS E FERRAMENTAS</t>
        </is>
      </c>
      <c r="K21" s="12">
        <f>IF(ISNUMBER($P$7),G21*$P$7,0)</f>
        <v/>
      </c>
      <c r="L21" s="16" t="n">
        <v>6774432.94</v>
      </c>
      <c r="M21" s="12">
        <f>L21-K21</f>
        <v/>
      </c>
      <c r="N21" s="14">
        <f>IF(D21="","",IF('EQUIP E FER'!$C$78&gt;L21+1,"⚠ Incorrido acima da projeção",IF(AND('EQUIP E FER'!$K$14&gt;1,'EQUIP E FER'!$K$13=0),"⚠ Saldo sem curva (preencha a coluna H da aba)",IF(ABS('EQUIP E FER'!$D$80)&gt;1,"⚠ Verificar","OK"))))</f>
        <v/>
      </c>
    </row>
    <row r="22">
      <c r="B22" s="21" t="inlineStr">
        <is>
          <t>PL010.022</t>
        </is>
      </c>
      <c r="C22" s="21" t="inlineStr">
        <is>
          <t>12</t>
        </is>
      </c>
      <c r="D22" s="21" t="inlineStr">
        <is>
          <t>SERVIÇOS INICIAIS</t>
        </is>
      </c>
      <c r="E22" s="11">
        <f>IF($F$50=0,0,F22/$F$50)</f>
        <v/>
      </c>
      <c r="F22" s="16" t="n">
        <v>175350.93</v>
      </c>
      <c r="G22" s="12">
        <f>IF($H$6=0,0,F22/$H$6)</f>
        <v/>
      </c>
      <c r="H22" s="12">
        <f>G22</f>
        <v/>
      </c>
      <c r="J22" s="21" t="inlineStr">
        <is>
          <t>SERVIÇOS INICIAIS</t>
        </is>
      </c>
      <c r="K22" s="12">
        <f>IF(ISNUMBER($P$7),G22*$P$7,0)</f>
        <v/>
      </c>
      <c r="L22" s="16" t="n">
        <v>176378.52</v>
      </c>
      <c r="M22" s="12">
        <f>L22-K22</f>
        <v/>
      </c>
      <c r="N22" s="14">
        <f>IF(D22="","",IF('SERV. INICIAIS'!$C$78&gt;L22+1,"⚠ Incorrido acima da projeção",IF(AND('SERV. INICIAIS'!$K$14&gt;1,'SERV. INICIAIS'!$K$13=0),"⚠ Saldo sem curva (preencha a coluna H da aba)",IF(ABS('SERV. INICIAIS'!$D$80)&gt;1,"⚠ Verificar","OK"))))</f>
        <v/>
      </c>
    </row>
    <row r="23">
      <c r="B23" s="21" t="inlineStr">
        <is>
          <t>PL001.023</t>
        </is>
      </c>
      <c r="C23" s="21" t="inlineStr">
        <is>
          <t>13</t>
        </is>
      </c>
      <c r="D23" s="21" t="inlineStr">
        <is>
          <t>CONTENÇÃO</t>
        </is>
      </c>
      <c r="E23" s="11">
        <f>IF($F$50=0,0,F23/$F$50)</f>
        <v/>
      </c>
      <c r="F23" s="16" t="n">
        <v>1644553.52</v>
      </c>
      <c r="G23" s="12">
        <f>IF($H$6=0,0,F23/$H$6)</f>
        <v/>
      </c>
      <c r="H23" s="12">
        <f>G23</f>
        <v/>
      </c>
      <c r="J23" s="21" t="inlineStr">
        <is>
          <t xml:space="preserve">CONTENÇÕES </t>
        </is>
      </c>
      <c r="K23" s="12">
        <f>IF(ISNUMBER($P$7),G23*$P$7,0)</f>
        <v/>
      </c>
      <c r="L23" s="16" t="n">
        <v>1475989.69</v>
      </c>
      <c r="M23" s="12">
        <f>L23-K23</f>
        <v/>
      </c>
      <c r="N23" s="14">
        <f>IF(D23="","",IF('CONTENÇÃO'!$C$78&gt;L23+1,"⚠ Incorrido acima da projeção",IF(AND('CONTENÇÃO'!$K$14&gt;1,'CONTENÇÃO'!$K$13=0),"⚠ Saldo sem curva (preencha a coluna H da aba)",IF(ABS('CONTENÇÃO'!$D$80)&gt;1,"⚠ Verificar","OK"))))</f>
        <v/>
      </c>
    </row>
    <row r="24">
      <c r="B24" s="21" t="inlineStr">
        <is>
          <t>PL040.001</t>
        </is>
      </c>
      <c r="C24" s="21" t="inlineStr">
        <is>
          <t>14</t>
        </is>
      </c>
      <c r="D24" s="21" t="inlineStr">
        <is>
          <t>TERRAPLENAGEM</t>
        </is>
      </c>
      <c r="E24" s="11">
        <f>IF($F$50=0,0,F24/$F$50)</f>
        <v/>
      </c>
      <c r="F24" s="16" t="n">
        <v>1259784.46</v>
      </c>
      <c r="G24" s="12">
        <f>IF($H$6=0,0,F24/$H$6)</f>
        <v/>
      </c>
      <c r="H24" s="12">
        <f>G24</f>
        <v/>
      </c>
      <c r="J24" s="21" t="inlineStr">
        <is>
          <t>TERRAPLENAGEM</t>
        </is>
      </c>
      <c r="K24" s="12">
        <f>IF(ISNUMBER($P$7),G24*$P$7,0)</f>
        <v/>
      </c>
      <c r="L24" s="16" t="n">
        <v>1293873.46</v>
      </c>
      <c r="M24" s="12">
        <f>L24-K24</f>
        <v/>
      </c>
      <c r="N24" s="14">
        <f>IF(D24="","",IF('TERRAPLENAGEM'!$C$78&gt;L24+1,"⚠ Incorrido acima da projeção",IF(AND('TERRAPLENAGEM'!$K$14&gt;1,'TERRAPLENAGEM'!$K$13=0),"⚠ Saldo sem curva (preencha a coluna H da aba)",IF(ABS('TERRAPLENAGEM'!$D$80)&gt;1,"⚠ Verificar","OK"))))</f>
        <v/>
      </c>
    </row>
    <row r="25">
      <c r="B25" s="21" t="inlineStr">
        <is>
          <t>PL050.004</t>
        </is>
      </c>
      <c r="C25" s="21" t="inlineStr">
        <is>
          <t>15</t>
        </is>
      </c>
      <c r="D25" s="21" t="inlineStr">
        <is>
          <t>FUNDAÇÃO PROFUNDA</t>
        </is>
      </c>
      <c r="E25" s="11">
        <f>IF($F$50=0,0,F25/$F$50)</f>
        <v/>
      </c>
      <c r="F25" s="16" t="n">
        <v>6226579.22</v>
      </c>
      <c r="G25" s="12">
        <f>IF($H$6=0,0,F25/$H$6)</f>
        <v/>
      </c>
      <c r="H25" s="12">
        <f>G25</f>
        <v/>
      </c>
      <c r="J25" s="21" t="inlineStr">
        <is>
          <t>FUNDAÇÃO PROFUNDA</t>
        </is>
      </c>
      <c r="K25" s="12">
        <f>IF(ISNUMBER($P$7),G25*$P$7,0)</f>
        <v/>
      </c>
      <c r="L25" s="16" t="n">
        <v>7012914.12</v>
      </c>
      <c r="M25" s="12">
        <f>L25-K25</f>
        <v/>
      </c>
      <c r="N25" s="14">
        <f>IF(D25="","",IF('FUND. PROF'!$C$78&gt;L25+1,"⚠ Incorrido acima da projeção",IF(AND('FUND. PROF'!$K$14&gt;1,'FUND. PROF'!$K$13=0),"⚠ Saldo sem curva (preencha a coluna H da aba)",IF(ABS('FUND. PROF'!$D$80)&gt;1,"⚠ Verificar","OK"))))</f>
        <v/>
      </c>
    </row>
    <row r="26">
      <c r="B26" s="21" t="inlineStr">
        <is>
          <t>PL060.004</t>
        </is>
      </c>
      <c r="C26" s="21" t="inlineStr">
        <is>
          <t>16</t>
        </is>
      </c>
      <c r="D26" s="21" t="inlineStr">
        <is>
          <t>FUNDAÇÃO SUPERFICIAL</t>
        </is>
      </c>
      <c r="E26" s="11">
        <f>IF($F$50=0,0,F26/$F$50)</f>
        <v/>
      </c>
      <c r="F26" s="16" t="n">
        <v>4057797.91</v>
      </c>
      <c r="G26" s="12">
        <f>IF($H$6=0,0,F26/$H$6)</f>
        <v/>
      </c>
      <c r="H26" s="12">
        <f>G26</f>
        <v/>
      </c>
      <c r="J26" s="21" t="inlineStr">
        <is>
          <t>FUNDAÇÃO SUPERFICIAL</t>
        </is>
      </c>
      <c r="K26" s="12">
        <f>IF(ISNUMBER($P$7),G26*$P$7,0)</f>
        <v/>
      </c>
      <c r="L26" s="16" t="n">
        <v>4346500.29</v>
      </c>
      <c r="M26" s="12">
        <f>L26-K26</f>
        <v/>
      </c>
      <c r="N26" s="14">
        <f>IF(D26="","",IF('FUND. SUP'!$C$78&gt;L26+1,"⚠ Incorrido acima da projeção",IF(AND('FUND. SUP'!$K$14&gt;1,'FUND. SUP'!$K$13=0),"⚠ Saldo sem curva (preencha a coluna H da aba)",IF(ABS('FUND. SUP'!$D$80)&gt;1,"⚠ Verificar","OK"))))</f>
        <v/>
      </c>
    </row>
    <row r="27">
      <c r="B27" s="21" t="inlineStr">
        <is>
          <t>PL100.011</t>
        </is>
      </c>
      <c r="C27" s="21" t="inlineStr">
        <is>
          <t>17</t>
        </is>
      </c>
      <c r="D27" s="21" t="inlineStr">
        <is>
          <t>ESTRUTURA EM CONCRETO ARMADO</t>
        </is>
      </c>
      <c r="E27" s="11">
        <f>IF($F$50=0,0,F27/$F$50)</f>
        <v/>
      </c>
      <c r="F27" s="16" t="n">
        <v>25651081.59</v>
      </c>
      <c r="G27" s="12">
        <f>IF($H$6=0,0,F27/$H$6)</f>
        <v/>
      </c>
      <c r="H27" s="12">
        <f>G27</f>
        <v/>
      </c>
      <c r="J27" s="21" t="inlineStr">
        <is>
          <t>ESTRUTURA EM CONCRETO ARMADO</t>
        </is>
      </c>
      <c r="K27" s="12">
        <f>IF(ISNUMBER($P$7),G27*$P$7,0)</f>
        <v/>
      </c>
      <c r="L27" s="16" t="n">
        <v>26850931.32</v>
      </c>
      <c r="M27" s="12">
        <f>L27-K27</f>
        <v/>
      </c>
      <c r="N27" s="14">
        <f>IF(D27="","",IF('ESTRUTURA'!$C$78&gt;L27+1,"⚠ Incorrido acima da projeção",IF(AND('ESTRUTURA'!$K$14&gt;1,'ESTRUTURA'!$K$13=0),"⚠ Saldo sem curva (preencha a coluna H da aba)",IF(ABS('ESTRUTURA'!$D$80)&gt;1,"⚠ Verificar","OK"))))</f>
        <v/>
      </c>
    </row>
    <row r="28">
      <c r="B28" s="21" t="inlineStr">
        <is>
          <t>PL120.001</t>
        </is>
      </c>
      <c r="C28" s="21" t="inlineStr">
        <is>
          <t>18</t>
        </is>
      </c>
      <c r="D28" s="21" t="inlineStr">
        <is>
          <t>ALVENARIA</t>
        </is>
      </c>
      <c r="E28" s="11">
        <f>IF($F$50=0,0,F28/$F$50)</f>
        <v/>
      </c>
      <c r="F28" s="16" t="n">
        <v>5927475.67</v>
      </c>
      <c r="G28" s="12">
        <f>IF($H$6=0,0,F28/$H$6)</f>
        <v/>
      </c>
      <c r="H28" s="12">
        <f>G28</f>
        <v/>
      </c>
      <c r="J28" s="21" t="inlineStr">
        <is>
          <t>ALVENARIA</t>
        </is>
      </c>
      <c r="K28" s="12">
        <f>IF(ISNUMBER($P$7),G28*$P$7,0)</f>
        <v/>
      </c>
      <c r="L28" s="16" t="n">
        <v>6245482.98</v>
      </c>
      <c r="M28" s="12">
        <f>L28-K28</f>
        <v/>
      </c>
      <c r="N28" s="14">
        <f>IF(D28="","",IF('ALVENARIA'!$C$78&gt;L28+1,"⚠ Incorrido acima da projeção",IF(AND('ALVENARIA'!$K$14&gt;1,'ALVENARIA'!$K$13=0),"⚠ Saldo sem curva (preencha a coluna H da aba)",IF(ABS('ALVENARIA'!$D$80)&gt;1,"⚠ Verificar","OK"))))</f>
        <v/>
      </c>
    </row>
    <row r="29">
      <c r="B29" s="21" t="inlineStr">
        <is>
          <t>PL140.004</t>
        </is>
      </c>
      <c r="C29" s="21" t="inlineStr">
        <is>
          <t>19</t>
        </is>
      </c>
      <c r="D29" s="21" t="inlineStr">
        <is>
          <t>IMPERMEABILIZAÇÃO</t>
        </is>
      </c>
      <c r="E29" s="11">
        <f>IF($F$50=0,0,F29/$F$50)</f>
        <v/>
      </c>
      <c r="F29" s="16" t="n">
        <v>3928343.29</v>
      </c>
      <c r="G29" s="12">
        <f>IF($H$6=0,0,F29/$H$6)</f>
        <v/>
      </c>
      <c r="H29" s="12">
        <f>G29</f>
        <v/>
      </c>
      <c r="J29" s="21" t="inlineStr">
        <is>
          <t>IMPERMEABILIZAÇÃO</t>
        </is>
      </c>
      <c r="K29" s="12">
        <f>IF(ISNUMBER($P$7),G29*$P$7,0)</f>
        <v/>
      </c>
      <c r="L29" s="16" t="n">
        <v>4139097.74</v>
      </c>
      <c r="M29" s="12">
        <f>L29-K29</f>
        <v/>
      </c>
      <c r="N29" s="14">
        <f>IF(D29="","",IF('IMPERMEABILIZAÇÃO'!$C$78&gt;L29+1,"⚠ Incorrido acima da projeção",IF(AND('IMPERMEABILIZAÇÃO'!$K$14&gt;1,'IMPERMEABILIZAÇÃO'!$K$13=0),"⚠ Saldo sem curva (preencha a coluna H da aba)",IF(ABS('IMPERMEABILIZAÇÃO'!$D$80)&gt;1,"⚠ Verificar","OK"))))</f>
        <v/>
      </c>
    </row>
    <row r="30">
      <c r="B30" s="21" t="inlineStr">
        <is>
          <t>PL110.018</t>
        </is>
      </c>
      <c r="C30" s="21" t="inlineStr">
        <is>
          <t>20</t>
        </is>
      </c>
      <c r="D30" s="21" t="inlineStr">
        <is>
          <t>INSTALAÇÕES ELÉTRICAS</t>
        </is>
      </c>
      <c r="E30" s="11">
        <f>IF($F$50=0,0,F30/$F$50)</f>
        <v/>
      </c>
      <c r="F30" s="16" t="n">
        <v>11262626.67</v>
      </c>
      <c r="G30" s="12">
        <f>IF($H$6=0,0,F30/$H$6)</f>
        <v/>
      </c>
      <c r="H30" s="12">
        <f>G30</f>
        <v/>
      </c>
      <c r="J30" s="21" t="inlineStr">
        <is>
          <t xml:space="preserve">INSTALAÇÕES ELÉTRICAS </t>
        </is>
      </c>
      <c r="K30" s="12">
        <f>IF(ISNUMBER($P$7),G30*$P$7,0)</f>
        <v/>
      </c>
      <c r="L30" s="16" t="n">
        <v>11595096.01</v>
      </c>
      <c r="M30" s="12">
        <f>L30-K30</f>
        <v/>
      </c>
      <c r="N30" s="14">
        <f>IF(D30="","",IF('INST. ELÉTRICA'!$C$78&gt;L30+1,"⚠ Incorrido acima da projeção",IF(AND('INST. ELÉTRICA'!$K$14&gt;1,'INST. ELÉTRICA'!$K$13=0),"⚠ Saldo sem curva (preencha a coluna H da aba)",IF(ABS('INST. ELÉTRICA'!$D$80)&gt;1,"⚠ Verificar","OK"))))</f>
        <v/>
      </c>
    </row>
    <row r="31">
      <c r="B31" s="21" t="inlineStr">
        <is>
          <t>PL110.007</t>
        </is>
      </c>
      <c r="C31" s="21" t="inlineStr">
        <is>
          <t>21</t>
        </is>
      </c>
      <c r="D31" s="21" t="inlineStr">
        <is>
          <t>INSTALAÇÕES HIDROSANITÁRIAS</t>
        </is>
      </c>
      <c r="E31" s="11">
        <f>IF($F$50=0,0,F31/$F$50)</f>
        <v/>
      </c>
      <c r="F31" s="16" t="n">
        <v>7374040</v>
      </c>
      <c r="G31" s="12">
        <f>IF($H$6=0,0,F31/$H$6)</f>
        <v/>
      </c>
      <c r="H31" s="12">
        <f>G31</f>
        <v/>
      </c>
      <c r="J31" s="21" t="inlineStr">
        <is>
          <t>INSTALAÇÕES HIDROSANITÁRIAS</t>
        </is>
      </c>
      <c r="K31" s="12">
        <f>IF(ISNUMBER($P$7),G31*$P$7,0)</f>
        <v/>
      </c>
      <c r="L31" s="16" t="n">
        <v>7769655.06</v>
      </c>
      <c r="M31" s="12">
        <f>L31-K31</f>
        <v/>
      </c>
      <c r="N31" s="14">
        <f>IF(D31="","",IF('INST. HIDRO'!$C$78&gt;L31+1,"⚠ Incorrido acima da projeção",IF(AND('INST. HIDRO'!$K$14&gt;1,'INST. HIDRO'!$K$13=0),"⚠ Saldo sem curva (preencha a coluna H da aba)",IF(ABS('INST. HIDRO'!$D$80)&gt;1,"⚠ Verificar","OK"))))</f>
        <v/>
      </c>
    </row>
    <row r="32">
      <c r="B32" s="21" t="inlineStr">
        <is>
          <t>PL110.017</t>
        </is>
      </c>
      <c r="C32" s="21" t="inlineStr">
        <is>
          <t>22</t>
        </is>
      </c>
      <c r="D32" s="21" t="inlineStr">
        <is>
          <t>INSTALAÇÕES COMBATE INCÊNDIO</t>
        </is>
      </c>
      <c r="E32" s="11">
        <f>IF($F$50=0,0,F32/$F$50)</f>
        <v/>
      </c>
      <c r="F32" s="16" t="n">
        <v>781560</v>
      </c>
      <c r="G32" s="12">
        <f>IF($H$6=0,0,F32/$H$6)</f>
        <v/>
      </c>
      <c r="H32" s="12">
        <f>G32</f>
        <v/>
      </c>
      <c r="J32" s="21" t="inlineStr">
        <is>
          <t>INSTALAÇÕES COMBATE INCÊNDIO</t>
        </is>
      </c>
      <c r="K32" s="12">
        <f>IF(ISNUMBER($P$7),G32*$P$7,0)</f>
        <v/>
      </c>
      <c r="L32" s="16" t="n">
        <v>823490.46</v>
      </c>
      <c r="M32" s="12">
        <f>L32-K32</f>
        <v/>
      </c>
      <c r="N32" s="14">
        <f>IF(D32="","",IF('INST. INC'!$C$78&gt;L32+1,"⚠ Incorrido acima da projeção",IF(AND('INST. INC'!$K$14&gt;1,'INST. INC'!$K$13=0),"⚠ Saldo sem curva (preencha a coluna H da aba)",IF(ABS('INST. INC'!$D$80)&gt;1,"⚠ Verificar","OK"))))</f>
        <v/>
      </c>
    </row>
    <row r="33">
      <c r="B33" s="21" t="inlineStr">
        <is>
          <t>PL110.027</t>
        </is>
      </c>
      <c r="C33" s="21" t="inlineStr">
        <is>
          <t>23</t>
        </is>
      </c>
      <c r="D33" s="21" t="inlineStr">
        <is>
          <t>INSTALAÇÕES ESPECIAIS</t>
        </is>
      </c>
      <c r="E33" s="11">
        <f>IF($F$50=0,0,F33/$F$50)</f>
        <v/>
      </c>
      <c r="F33" s="16" t="n">
        <v>2684762.92</v>
      </c>
      <c r="G33" s="12">
        <f>IF($H$6=0,0,F33/$H$6)</f>
        <v/>
      </c>
      <c r="H33" s="12">
        <f>G33</f>
        <v/>
      </c>
      <c r="J33" s="21" t="inlineStr">
        <is>
          <t>INSTALAÇÕES ESPECIAIS</t>
        </is>
      </c>
      <c r="K33" s="12">
        <f>IF(ISNUMBER($P$7),G33*$P$7,0)</f>
        <v/>
      </c>
      <c r="L33" s="16" t="n">
        <v>2828799.66</v>
      </c>
      <c r="M33" s="12">
        <f>L33-K33</f>
        <v/>
      </c>
      <c r="N33" s="14">
        <f>IF(D33="","",IF('INST. ESP'!$C$78&gt;L33+1,"⚠ Incorrido acima da projeção",IF(AND('INST. ESP'!$K$14&gt;1,'INST. ESP'!$K$13=0),"⚠ Saldo sem curva (preencha a coluna H da aba)",IF(ABS('INST. ESP'!$D$80)&gt;1,"⚠ Verificar","OK"))))</f>
        <v/>
      </c>
    </row>
    <row r="34">
      <c r="B34" s="21" t="inlineStr">
        <is>
          <t>PL220.002</t>
        </is>
      </c>
      <c r="C34" s="21" t="inlineStr">
        <is>
          <t>24</t>
        </is>
      </c>
      <c r="D34" s="21" t="inlineStr">
        <is>
          <t>ELEVADORES</t>
        </is>
      </c>
      <c r="E34" s="11">
        <f>IF($F$50=0,0,F34/$F$50)</f>
        <v/>
      </c>
      <c r="F34" s="16" t="n">
        <v>3236182.09</v>
      </c>
      <c r="G34" s="12">
        <f>IF($H$6=0,0,F34/$H$6)</f>
        <v/>
      </c>
      <c r="H34" s="12">
        <f>G34</f>
        <v/>
      </c>
      <c r="J34" s="21" t="inlineStr">
        <is>
          <t xml:space="preserve">ELEVADORES </t>
        </is>
      </c>
      <c r="K34" s="12">
        <f>IF(ISNUMBER($P$7),G34*$P$7,0)</f>
        <v/>
      </c>
      <c r="L34" s="16" t="n">
        <v>3409802.3</v>
      </c>
      <c r="M34" s="12">
        <f>L34-K34</f>
        <v/>
      </c>
      <c r="N34" s="14">
        <f>IF(D34="","",IF('ELEVADORES '!$C$78&gt;L34+1,"⚠ Incorrido acima da projeção",IF(AND('ELEVADORES '!$K$14&gt;1,'ELEVADORES '!$K$13=0),"⚠ Saldo sem curva (preencha a coluna H da aba)",IF(ABS('ELEVADORES '!$D$80)&gt;1,"⚠ Verificar","OK"))))</f>
        <v/>
      </c>
    </row>
    <row r="35">
      <c r="B35" s="21" t="inlineStr">
        <is>
          <t>PL250.001</t>
        </is>
      </c>
      <c r="C35" s="21" t="inlineStr">
        <is>
          <t>25</t>
        </is>
      </c>
      <c r="D35" s="21" t="inlineStr">
        <is>
          <t>ESQUADRIAS</t>
        </is>
      </c>
      <c r="E35" s="11">
        <f>IF($F$50=0,0,F35/$F$50)</f>
        <v/>
      </c>
      <c r="F35" s="16" t="n">
        <v>11181479.74</v>
      </c>
      <c r="G35" s="12">
        <f>IF($H$6=0,0,F35/$H$6)</f>
        <v/>
      </c>
      <c r="H35" s="12">
        <f>G35</f>
        <v/>
      </c>
      <c r="J35" s="21" t="inlineStr">
        <is>
          <t xml:space="preserve">ESQUADRIAS </t>
        </is>
      </c>
      <c r="K35" s="12">
        <f>IF(ISNUMBER($P$7),G35*$P$7,0)</f>
        <v/>
      </c>
      <c r="L35" s="16" t="n">
        <v>11781362.82</v>
      </c>
      <c r="M35" s="12">
        <f>L35-K35</f>
        <v/>
      </c>
      <c r="N35" s="14">
        <f>IF(D35="","",IF('ESQUADRIAS'!$C$78&gt;L35+1,"⚠ Incorrido acima da projeção",IF(AND('ESQUADRIAS'!$K$14&gt;1,'ESQUADRIAS'!$K$13=0),"⚠ Saldo sem curva (preencha a coluna H da aba)",IF(ABS('ESQUADRIAS'!$D$80)&gt;1,"⚠ Verificar","OK"))))</f>
        <v/>
      </c>
    </row>
    <row r="36">
      <c r="B36" s="21" t="inlineStr">
        <is>
          <t>PL240.000</t>
        </is>
      </c>
      <c r="C36" s="21" t="inlineStr">
        <is>
          <t>26</t>
        </is>
      </c>
      <c r="D36" s="21" t="inlineStr">
        <is>
          <t>SERRALHERIA</t>
        </is>
      </c>
      <c r="E36" s="11">
        <f>IF($F$50=0,0,F36/$F$50)</f>
        <v/>
      </c>
      <c r="F36" s="16" t="n">
        <v>482766.76</v>
      </c>
      <c r="G36" s="12">
        <f>IF($H$6=0,0,F36/$H$6)</f>
        <v/>
      </c>
      <c r="H36" s="12">
        <f>G36</f>
        <v/>
      </c>
      <c r="J36" s="21" t="inlineStr">
        <is>
          <t>SERRALHERIA</t>
        </is>
      </c>
      <c r="K36" s="12">
        <f>IF(ISNUMBER($P$7),G36*$P$7,0)</f>
        <v/>
      </c>
      <c r="L36" s="16" t="n">
        <v>508667.05</v>
      </c>
      <c r="M36" s="12">
        <f>L36-K36</f>
        <v/>
      </c>
      <c r="N36" s="14">
        <f>IF(D36="","",IF('SERRALHERIA'!$C$78&gt;L36+1,"⚠ Incorrido acima da projeção",IF(AND('SERRALHERIA'!$K$14&gt;1,'SERRALHERIA'!$K$13=0),"⚠ Saldo sem curva (preencha a coluna H da aba)",IF(ABS('SERRALHERIA'!$D$80)&gt;1,"⚠ Verificar","OK"))))</f>
        <v/>
      </c>
    </row>
    <row r="37">
      <c r="B37" s="21" t="inlineStr">
        <is>
          <t>PL240.020</t>
        </is>
      </c>
      <c r="C37" s="21" t="inlineStr">
        <is>
          <t>27</t>
        </is>
      </c>
      <c r="D37" s="21" t="inlineStr">
        <is>
          <t>MARCENARIA</t>
        </is>
      </c>
      <c r="E37" s="11">
        <f>IF($F$50=0,0,F37/$F$50)</f>
        <v/>
      </c>
      <c r="F37" s="16" t="n">
        <v>2977368.36</v>
      </c>
      <c r="G37" s="12">
        <f>IF($H$6=0,0,F37/$H$6)</f>
        <v/>
      </c>
      <c r="H37" s="12">
        <f>G37</f>
        <v/>
      </c>
      <c r="J37" s="21" t="inlineStr">
        <is>
          <t>MARCENARIA</t>
        </is>
      </c>
      <c r="K37" s="12">
        <f>IF(ISNUMBER($P$7),G37*$P$7,0)</f>
        <v/>
      </c>
      <c r="L37" s="16" t="n">
        <v>3137103.29</v>
      </c>
      <c r="M37" s="12">
        <f>L37-K37</f>
        <v/>
      </c>
      <c r="N37" s="14">
        <f>IF(D37="","",IF('MARCENARIA'!$C$78&gt;L37+1,"⚠ Incorrido acima da projeção",IF(AND('MARCENARIA'!$K$14&gt;1,'MARCENARIA'!$K$13=0),"⚠ Saldo sem curva (preencha a coluna H da aba)",IF(ABS('MARCENARIA'!$D$80)&gt;1,"⚠ Verificar","OK"))))</f>
        <v/>
      </c>
    </row>
    <row r="38">
      <c r="B38" s="21" t="inlineStr">
        <is>
          <t>PL160.001</t>
        </is>
      </c>
      <c r="C38" s="21" t="inlineStr">
        <is>
          <t>28</t>
        </is>
      </c>
      <c r="D38" s="21" t="inlineStr">
        <is>
          <t>REVESTIMENTOS DE MASSA EM PISOS</t>
        </is>
      </c>
      <c r="E38" s="11">
        <f>IF($F$50=0,0,F38/$F$50)</f>
        <v/>
      </c>
      <c r="F38" s="16" t="n">
        <v>1096073.33</v>
      </c>
      <c r="G38" s="12">
        <f>IF($H$6=0,0,F38/$H$6)</f>
        <v/>
      </c>
      <c r="H38" s="12">
        <f>G38</f>
        <v/>
      </c>
      <c r="J38" s="21" t="inlineStr">
        <is>
          <t>REVESTIMENTOS DE MASSA EM PISOS</t>
        </is>
      </c>
      <c r="K38" s="12">
        <f>IF(ISNUMBER($P$7),G38*$P$7,0)</f>
        <v/>
      </c>
      <c r="L38" s="16" t="n">
        <v>1154877.34</v>
      </c>
      <c r="M38" s="12">
        <f>L38-K38</f>
        <v/>
      </c>
      <c r="N38" s="14">
        <f>IF(D38="","",IF('REV. PISOS'!$C$78&gt;L38+1,"⚠ Incorrido acima da projeção",IF(AND('REV. PISOS'!$K$14&gt;1,'REV. PISOS'!$K$13=0),"⚠ Saldo sem curva (preencha a coluna H da aba)",IF(ABS('REV. PISOS'!$D$80)&gt;1,"⚠ Verificar","OK"))))</f>
        <v/>
      </c>
    </row>
    <row r="39">
      <c r="B39" s="21" t="inlineStr">
        <is>
          <t>PL150.001</t>
        </is>
      </c>
      <c r="C39" s="21" t="inlineStr">
        <is>
          <t>29</t>
        </is>
      </c>
      <c r="D39" s="21" t="inlineStr">
        <is>
          <t>REVESTIMENTOS DE MASSA EM PAREDES</t>
        </is>
      </c>
      <c r="E39" s="11">
        <f>IF($F$50=0,0,F39/$F$50)</f>
        <v/>
      </c>
      <c r="F39" s="16" t="n">
        <v>2518191.19</v>
      </c>
      <c r="G39" s="12">
        <f>IF($H$6=0,0,F39/$H$6)</f>
        <v/>
      </c>
      <c r="H39" s="12">
        <f>G39</f>
        <v/>
      </c>
      <c r="J39" s="21" t="inlineStr">
        <is>
          <t>REVESTIMENTOS DE MASSA EM PAREDES</t>
        </is>
      </c>
      <c r="K39" s="12">
        <f>IF(ISNUMBER($P$7),G39*$P$7,0)</f>
        <v/>
      </c>
      <c r="L39" s="16" t="n">
        <v>2653291.4</v>
      </c>
      <c r="M39" s="12">
        <f>L39-K39</f>
        <v/>
      </c>
      <c r="N39" s="14">
        <f>IF(D39="","",IF('REV. PAREDE'!$C$78&gt;L39+1,"⚠ Incorrido acima da projeção",IF(AND('REV. PAREDE'!$K$14&gt;1,'REV. PAREDE'!$K$13=0),"⚠ Saldo sem curva (preencha a coluna H da aba)",IF(ABS('REV. PAREDE'!$D$80)&gt;1,"⚠ Verificar","OK"))))</f>
        <v/>
      </c>
    </row>
    <row r="40">
      <c r="B40" s="21" t="inlineStr">
        <is>
          <t>PL170.004</t>
        </is>
      </c>
      <c r="C40" s="21" t="inlineStr">
        <is>
          <t>30</t>
        </is>
      </c>
      <c r="D40" s="21" t="inlineStr">
        <is>
          <t>REVESTIMENTOS DE ACABAMENTO</t>
        </is>
      </c>
      <c r="E40" s="11">
        <f>IF($F$50=0,0,F40/$F$50)</f>
        <v/>
      </c>
      <c r="F40" s="16" t="n">
        <v>10402356.25</v>
      </c>
      <c r="G40" s="12">
        <f>IF($H$6=0,0,F40/$H$6)</f>
        <v/>
      </c>
      <c r="H40" s="12">
        <f>G40</f>
        <v/>
      </c>
      <c r="J40" s="21" t="inlineStr">
        <is>
          <t>REVESTIMENTOS DE ACABAMENTO</t>
        </is>
      </c>
      <c r="K40" s="12">
        <f>IF(ISNUMBER($P$7),G40*$P$7,0)</f>
        <v/>
      </c>
      <c r="L40" s="16" t="n">
        <v>10960439.57</v>
      </c>
      <c r="M40" s="12">
        <f>L40-K40</f>
        <v/>
      </c>
      <c r="N40" s="14">
        <f>IF(D40="","",IF('REV. ACAB'!$C$78&gt;L40+1,"⚠ Incorrido acima da projeção",IF(AND('REV. ACAB'!$K$14&gt;1,'REV. ACAB'!$K$13=0),"⚠ Saldo sem curva (preencha a coluna H da aba)",IF(ABS('REV. ACAB'!$D$80)&gt;1,"⚠ Verificar","OK"))))</f>
        <v/>
      </c>
    </row>
    <row r="41">
      <c r="B41" s="21" t="inlineStr">
        <is>
          <t>PL320.001</t>
        </is>
      </c>
      <c r="C41" s="21" t="inlineStr">
        <is>
          <t>31</t>
        </is>
      </c>
      <c r="D41" s="21" t="inlineStr">
        <is>
          <t>PAVIMENTAÇÃO</t>
        </is>
      </c>
      <c r="E41" s="11">
        <f>IF($F$50=0,0,F41/$F$50)</f>
        <v/>
      </c>
      <c r="F41" s="16" t="n">
        <v>106895.67</v>
      </c>
      <c r="G41" s="12">
        <f>IF($H$6=0,0,F41/$H$6)</f>
        <v/>
      </c>
      <c r="H41" s="12">
        <f>G41</f>
        <v/>
      </c>
      <c r="J41" s="21" t="inlineStr">
        <is>
          <t>PAVIMENTÇÃO</t>
        </is>
      </c>
      <c r="K41" s="12">
        <f>IF(ISNUMBER($P$7),G41*$P$7,0)</f>
        <v/>
      </c>
      <c r="L41" s="16" t="n">
        <v>112630.59</v>
      </c>
      <c r="M41" s="12">
        <f>L41-K41</f>
        <v/>
      </c>
      <c r="N41" s="14">
        <f>IF(D41="","",IF('PAVIMENTAÇÃO'!$C$78&gt;L41+1,"⚠ Incorrido acima da projeção",IF(AND('PAVIMENTAÇÃO'!$K$14&gt;1,'PAVIMENTAÇÃO'!$K$13=0),"⚠ Saldo sem curva (preencha a coluna H da aba)",IF(ABS('PAVIMENTAÇÃO'!$D$80)&gt;1,"⚠ Verificar","OK"))))</f>
        <v/>
      </c>
    </row>
    <row r="42">
      <c r="B42" s="21" t="inlineStr">
        <is>
          <t>PL190.003</t>
        </is>
      </c>
      <c r="C42" s="21" t="inlineStr">
        <is>
          <t>32</t>
        </is>
      </c>
      <c r="D42" s="21" t="inlineStr">
        <is>
          <t>REVESTIMENTO DIVERSOS - FACHADA</t>
        </is>
      </c>
      <c r="E42" s="11">
        <f>IF($F$50=0,0,F42/$F$50)</f>
        <v/>
      </c>
      <c r="F42" s="16" t="n">
        <v>5055622.3</v>
      </c>
      <c r="G42" s="12">
        <f>IF($H$6=0,0,F42/$H$6)</f>
        <v/>
      </c>
      <c r="H42" s="12">
        <f>G42</f>
        <v/>
      </c>
      <c r="J42" s="21" t="inlineStr">
        <is>
          <t>REVESTIMENTO DIVERSOS - FACHADA</t>
        </is>
      </c>
      <c r="K42" s="12">
        <f>IF(ISNUMBER($P$7),G42*$P$7,0)</f>
        <v/>
      </c>
      <c r="L42" s="16" t="n">
        <v>5326854.93</v>
      </c>
      <c r="M42" s="12">
        <f>L42-K42</f>
        <v/>
      </c>
      <c r="N42" s="14">
        <f>IF(D42="","",IF('REV. FACHADA'!$C$78&gt;L42+1,"⚠ Incorrido acima da projeção",IF(AND('REV. FACHADA'!$K$14&gt;1,'REV. FACHADA'!$K$13=0),"⚠ Saldo sem curva (preencha a coluna H da aba)",IF(ABS('REV. FACHADA'!$D$80)&gt;1,"⚠ Verificar","OK"))))</f>
        <v/>
      </c>
    </row>
    <row r="43">
      <c r="B43" s="21" t="inlineStr">
        <is>
          <t>PL180.001</t>
        </is>
      </c>
      <c r="C43" s="21" t="inlineStr">
        <is>
          <t>33</t>
        </is>
      </c>
      <c r="D43" s="21" t="inlineStr">
        <is>
          <t>FORRO</t>
        </is>
      </c>
      <c r="E43" s="11">
        <f>IF($F$50=0,0,F43/$F$50)</f>
        <v/>
      </c>
      <c r="F43" s="16" t="n">
        <v>1690544.88</v>
      </c>
      <c r="G43" s="12">
        <f>IF($H$6=0,0,F43/$H$6)</f>
        <v/>
      </c>
      <c r="H43" s="12">
        <f>G43</f>
        <v/>
      </c>
      <c r="J43" s="21" t="inlineStr">
        <is>
          <t>FORROS DIVERSOS</t>
        </is>
      </c>
      <c r="K43" s="12">
        <f>IF(ISNUMBER($P$7),G43*$P$7,0)</f>
        <v/>
      </c>
      <c r="L43" s="16" t="n">
        <v>1781242.11</v>
      </c>
      <c r="M43" s="12">
        <f>L43-K43</f>
        <v/>
      </c>
      <c r="N43" s="14">
        <f>IF(D43="","",IF('FORRO'!$C$78&gt;L43+1,"⚠ Incorrido acima da projeção",IF(AND('FORRO'!$K$14&gt;1,'FORRO'!$K$13=0),"⚠ Saldo sem curva (preencha a coluna H da aba)",IF(ABS('FORRO'!$D$80)&gt;1,"⚠ Verificar","OK"))))</f>
        <v/>
      </c>
    </row>
    <row r="44">
      <c r="B44" s="21" t="inlineStr">
        <is>
          <t>PL290.002</t>
        </is>
      </c>
      <c r="C44" s="21" t="inlineStr">
        <is>
          <t>34</t>
        </is>
      </c>
      <c r="D44" s="21" t="inlineStr">
        <is>
          <t>LOUÇAS SANITÁRIAS</t>
        </is>
      </c>
      <c r="E44" s="11">
        <f>IF($F$50=0,0,F44/$F$50)</f>
        <v/>
      </c>
      <c r="F44" s="16" t="n">
        <v>2050613.5</v>
      </c>
      <c r="G44" s="12">
        <f>IF($H$6=0,0,F44/$H$6)</f>
        <v/>
      </c>
      <c r="H44" s="12">
        <f>G44</f>
        <v/>
      </c>
      <c r="J44" s="21" t="inlineStr">
        <is>
          <t>LOUÇAS E METAIS</t>
        </is>
      </c>
      <c r="K44" s="12">
        <f>IF(ISNUMBER($P$7),G44*$P$7,0)</f>
        <v/>
      </c>
      <c r="L44" s="16" t="n">
        <v>2160628.3</v>
      </c>
      <c r="M44" s="12">
        <f>L44-K44</f>
        <v/>
      </c>
      <c r="N44" s="14">
        <f>IF(D44="","",IF('LOUÇAS'!$C$78&gt;L44+1,"⚠ Incorrido acima da projeção",IF(AND('LOUÇAS'!$K$14&gt;1,'LOUÇAS'!$K$13=0),"⚠ Saldo sem curva (preencha a coluna H da aba)",IF(ABS('LOUÇAS'!$D$80)&gt;1,"⚠ Verificar","OK"))))</f>
        <v/>
      </c>
    </row>
    <row r="45">
      <c r="B45" s="21" t="inlineStr">
        <is>
          <t>PL280.003</t>
        </is>
      </c>
      <c r="C45" s="21" t="inlineStr">
        <is>
          <t>35</t>
        </is>
      </c>
      <c r="D45" s="21" t="inlineStr">
        <is>
          <t>PINTURA</t>
        </is>
      </c>
      <c r="E45" s="11">
        <f>IF($F$50=0,0,F45/$F$50)</f>
        <v/>
      </c>
      <c r="F45" s="16" t="n">
        <v>3676746.93</v>
      </c>
      <c r="G45" s="12">
        <f>IF($H$6=0,0,F45/$H$6)</f>
        <v/>
      </c>
      <c r="H45" s="12">
        <f>G45</f>
        <v/>
      </c>
      <c r="J45" s="21" t="inlineStr">
        <is>
          <t>PINTURAS</t>
        </is>
      </c>
      <c r="K45" s="12">
        <f>IF(ISNUMBER($P$7),G45*$P$7,0)</f>
        <v/>
      </c>
      <c r="L45" s="16" t="n">
        <v>3874003.32</v>
      </c>
      <c r="M45" s="12">
        <f>L45-K45</f>
        <v/>
      </c>
      <c r="N45" s="14">
        <f>IF(D45="","",IF('PINTURA'!$C$78&gt;L45+1,"⚠ Incorrido acima da projeção",IF(AND('PINTURA'!$K$14&gt;1,'PINTURA'!$K$13=0),"⚠ Saldo sem curva (preencha a coluna H da aba)",IF(ABS('PINTURA'!$D$80)&gt;1,"⚠ Verificar","OK"))))</f>
        <v/>
      </c>
    </row>
    <row r="46">
      <c r="B46" s="21" t="inlineStr">
        <is>
          <t>PL330.002</t>
        </is>
      </c>
      <c r="C46" s="21" t="inlineStr">
        <is>
          <t>36</t>
        </is>
      </c>
      <c r="D46" s="21" t="inlineStr">
        <is>
          <t>PAISAGISMO</t>
        </is>
      </c>
      <c r="E46" s="11">
        <f>IF($F$50=0,0,F46/$F$50)</f>
        <v/>
      </c>
      <c r="F46" s="16" t="n">
        <v>1116999.6</v>
      </c>
      <c r="G46" s="12">
        <f>IF($H$6=0,0,F46/$H$6)</f>
        <v/>
      </c>
      <c r="H46" s="12">
        <f>G46</f>
        <v/>
      </c>
      <c r="J46" s="21" t="inlineStr">
        <is>
          <t>PAISAGISMO</t>
        </is>
      </c>
      <c r="K46" s="12">
        <f>IF(ISNUMBER($P$7),G46*$P$7,0)</f>
        <v/>
      </c>
      <c r="L46" s="16" t="n">
        <v>1176926.3</v>
      </c>
      <c r="M46" s="12">
        <f>L46-K46</f>
        <v/>
      </c>
      <c r="N46" s="14">
        <f>IF(D46="","",IF('PAISAGISMO'!$C$78&gt;L46+1,"⚠ Incorrido acima da projeção",IF(AND('PAISAGISMO'!$K$14&gt;1,'PAISAGISMO'!$K$13=0),"⚠ Saldo sem curva (preencha a coluna H da aba)",IF(ABS('PAISAGISMO'!$D$80)&gt;1,"⚠ Verificar","OK"))))</f>
        <v/>
      </c>
    </row>
    <row r="47">
      <c r="B47" s="21" t="inlineStr">
        <is>
          <t>PL360.001</t>
        </is>
      </c>
      <c r="C47" s="21" t="inlineStr">
        <is>
          <t>37</t>
        </is>
      </c>
      <c r="D47" s="21" t="inlineStr">
        <is>
          <t>LIMPEZA FINAL DE OBRA</t>
        </is>
      </c>
      <c r="E47" s="11">
        <f>IF($F$50=0,0,F47/$F$50)</f>
        <v/>
      </c>
      <c r="F47" s="16" t="n">
        <v>887766.61</v>
      </c>
      <c r="G47" s="12">
        <f>IF($H$6=0,0,F47/$H$6)</f>
        <v/>
      </c>
      <c r="H47" s="12">
        <f>G47</f>
        <v/>
      </c>
      <c r="J47" s="21" t="inlineStr">
        <is>
          <t>LIMPEZA FINAL DE OBRA</t>
        </is>
      </c>
      <c r="K47" s="12">
        <f>IF(ISNUMBER($P$7),G47*$P$7,0)</f>
        <v/>
      </c>
      <c r="L47" s="16" t="n">
        <v>935395.03</v>
      </c>
      <c r="M47" s="12">
        <f>L47-K47</f>
        <v/>
      </c>
      <c r="N47" s="14">
        <f>IF(D47="","",IF('LIMPEZA'!$C$78&gt;L47+1,"⚠ Incorrido acima da projeção",IF(AND('LIMPEZA'!$K$14&gt;1,'LIMPEZA'!$K$13=0),"⚠ Saldo sem curva (preencha a coluna H da aba)",IF(ABS('LIMPEZA'!$D$80)&gt;1,"⚠ Verificar","OK"))))</f>
        <v/>
      </c>
    </row>
    <row r="48">
      <c r="B48" s="21" t="n"/>
      <c r="C48" s="21" t="inlineStr">
        <is>
          <t>38</t>
        </is>
      </c>
      <c r="D48" s="21" t="inlineStr">
        <is>
          <t>TAXA DE ADMINISTRAÇÃO</t>
        </is>
      </c>
      <c r="E48" s="11">
        <f>IF($F$50=0,0,F48/$F$50)</f>
        <v/>
      </c>
      <c r="F48" s="16" t="n">
        <v>566105.29</v>
      </c>
      <c r="G48" s="12">
        <f>IF($H$6=0,0,F48/$H$6)</f>
        <v/>
      </c>
      <c r="H48" s="12">
        <f>G48</f>
        <v/>
      </c>
      <c r="J48" s="21" t="inlineStr">
        <is>
          <t>TAXA DE ADMINISTRAÇÃO</t>
        </is>
      </c>
      <c r="K48" s="12">
        <f>IF(ISNUMBER($P$7),G48*$P$7,0)</f>
        <v/>
      </c>
      <c r="L48" s="16" t="n">
        <v>566105.29</v>
      </c>
      <c r="M48" s="12">
        <f>L48-K48</f>
        <v/>
      </c>
      <c r="N48" s="14">
        <f>IF(D48="","",IF('TAX. ADM'!$C$78&gt;L48+1,"⚠ Incorrido acima da projeção",IF(AND('TAX. ADM'!$K$14&gt;1,'TAX. ADM'!$K$13=0),"⚠ Saldo sem curva (preencha a coluna H da aba)",IF(ABS('TAX. ADM'!$D$80)&gt;1,"⚠ Verificar","OK"))))</f>
        <v/>
      </c>
    </row>
    <row r="49">
      <c r="D49" s="9" t="inlineStr">
        <is>
          <t>TOTAIS (sem taxa de adm.)</t>
        </is>
      </c>
      <c r="E49" s="22">
        <f>SUM(E11:E47)</f>
        <v/>
      </c>
      <c r="F49" s="23">
        <f>SUM(F11:F47)</f>
        <v/>
      </c>
      <c r="G49" s="23">
        <f>SUM(G11:G47)</f>
        <v/>
      </c>
      <c r="H49" s="23">
        <f>SUM(H11:H47)</f>
        <v/>
      </c>
      <c r="K49" s="23">
        <f>SUM(K11:K47)</f>
        <v/>
      </c>
      <c r="L49" s="23">
        <f>SUM(L11:L47)</f>
        <v/>
      </c>
      <c r="M49" s="23">
        <f>SUM(M11:M47)</f>
        <v/>
      </c>
    </row>
    <row r="50">
      <c r="D50" s="9" t="inlineStr">
        <is>
          <t>TOTAL COM TAXA DE ADMINISTRAÇÃO</t>
        </is>
      </c>
      <c r="E50" s="22">
        <f>SUM(E11:E48)</f>
        <v/>
      </c>
      <c r="F50" s="23">
        <f>SUM(F11:F48)</f>
        <v/>
      </c>
      <c r="G50" s="23">
        <f>SUM(G11:G48)</f>
        <v/>
      </c>
      <c r="H50" s="23">
        <f>SUM(H11:H48)</f>
        <v/>
      </c>
      <c r="K50" s="23">
        <f>SUM(K11:K48)</f>
        <v/>
      </c>
      <c r="L50" s="23">
        <f>SUM(L11:L48)</f>
        <v/>
      </c>
      <c r="M50" s="23">
        <f>SUM(M11:M48)</f>
        <v/>
      </c>
    </row>
    <row r="53">
      <c r="D53" s="24" t="inlineStr">
        <is>
          <t>CONFERÊNCIA GERAL</t>
        </is>
      </c>
      <c r="E53" s="24" t="inlineStr">
        <is>
          <t>RESULTADO</t>
        </is>
      </c>
      <c r="F53" s="24" t="inlineStr">
        <is>
          <t>STATUS</t>
        </is>
      </c>
      <c r="G53" s="25" t="n"/>
      <c r="H53" s="26" t="n"/>
    </row>
    <row r="54">
      <c r="D54" s="14" t="inlineStr">
        <is>
          <t>Disciplinas com pendência (coluna N)</t>
        </is>
      </c>
      <c r="E54" s="27">
        <f>COUNTIF(N11:N48,"⚠*")</f>
        <v/>
      </c>
      <c r="F54" s="14">
        <f>IF(E54=0,"OK","⚠ Veja a coluna N")</f>
        <v/>
      </c>
      <c r="G54" s="25" t="n"/>
      <c r="H54" s="26" t="n"/>
    </row>
    <row r="55">
      <c r="D55" s="14" t="inlineStr">
        <is>
          <t>Grupos do ERP sem correspondência</t>
        </is>
      </c>
      <c r="E55" s="28">
        <f>'DADOS HISTORICOS'!C2</f>
        <v/>
      </c>
      <c r="F55" s="14">
        <f>IF(E55=0,"OK","⚠ Veja nomes em vermelho em DADOS BRUTOS")</f>
        <v/>
      </c>
      <c r="G55" s="25" t="n"/>
      <c r="H55" s="26" t="n"/>
    </row>
    <row r="56">
      <c r="D56" s="14" t="inlineStr">
        <is>
          <t>Valores do ERP fora do horizonte (R$)</t>
        </is>
      </c>
      <c r="E56" s="29">
        <f>'DADOS HISTORICOS'!BX44</f>
        <v/>
      </c>
      <c r="F56" s="14">
        <f>IF(ABS(E56)&lt;1,"OK","⚠ Aumente o horizonte ou revise datas")</f>
        <v/>
      </c>
      <c r="G56" s="25" t="n"/>
      <c r="H56" s="26" t="n"/>
    </row>
    <row r="57">
      <c r="D57" s="14" t="inlineStr">
        <is>
          <t>INCC do mês de corte</t>
        </is>
      </c>
      <c r="E57" s="30">
        <f>IF(ISNUMBER(P7),P7,0)</f>
        <v/>
      </c>
      <c r="F57" s="14">
        <f>IF(E57&gt;0,"OK","⚠ Inclua o índice na aba INCC-FGV")</f>
        <v/>
      </c>
      <c r="G57" s="25" t="n"/>
      <c r="H57" s="26" t="n"/>
    </row>
    <row r="58">
      <c r="D58" s="14" t="inlineStr">
        <is>
          <t>Meses realizados sem INCC</t>
        </is>
      </c>
      <c r="E58" s="28">
        <f>SUMPRODUCT(('MODELO PARA BI'!$H$1:$CA$1&lt;=P5)*(COUNTIF('"INCC-FGV"'!$A$2:$A$400,'MODELO PARA BI'!$H$1:$CA$1)=0))</f>
        <v/>
      </c>
      <c r="F58" s="14">
        <f>IF(E58=0,"OK","⚠ Complete a aba INCC-FGV")</f>
        <v/>
      </c>
      <c r="G58" s="25" t="n"/>
      <c r="H58" s="26" t="n"/>
    </row>
    <row r="59">
      <c r="D59" s="14" t="inlineStr">
        <is>
          <t>Fluxo total − projeção total (R$)</t>
        </is>
      </c>
      <c r="E59" s="29">
        <f>'MODELO PARA BI'!E64-L50</f>
        <v/>
      </c>
      <c r="F59" s="14">
        <f>IF(ABS(E59)&lt;1,"OK","⚠ Há saldo sem distribuição")</f>
        <v/>
      </c>
      <c r="G59" s="25" t="n"/>
      <c r="H59" s="26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0">
      <formula>LEFT(N11,1)="⚠"</formula>
    </cfRule>
    <cfRule type="cellIs" priority="2" operator="equal" dxfId="1">
      <formula>"OK"</formula>
    </cfRule>
  </conditionalFormatting>
  <conditionalFormatting sqref="F54:F59">
    <cfRule type="expression" priority="3" dxfId="0">
      <formula>LEFT(F54,1)="⚠"</formula>
    </cfRule>
    <cfRule type="cellIs" priority="4" operator="equal" dxfId="1">
      <formula>"OK"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F4E78"/>
    <outlinePr summaryBelow="1" summaryRight="1"/>
    <pageSetUpPr/>
  </sheetPr>
  <dimension ref="C2:P46"/>
  <sheetViews>
    <sheetView tabSelected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11" customWidth="1" min="3" max="3"/>
    <col width="9" customWidth="1" min="4" max="4"/>
    <col width="46" customWidth="1" min="5" max="5"/>
    <col width="14" customWidth="1" min="6" max="6"/>
    <col width="18" customWidth="1" min="7" max="7"/>
    <col width="44" customWidth="1" min="8" max="8"/>
    <col width="30" customWidth="1" min="9" max="9"/>
    <col width="2" customWidth="1" min="10" max="10"/>
    <col width="18" customWidth="1" min="11" max="11"/>
    <col width="16" customWidth="1" min="12" max="12"/>
    <col width="16" customWidth="1" min="13" max="13"/>
    <col width="3" customWidth="1" min="14" max="14"/>
    <col width="8" customWidth="1" min="15" max="15"/>
    <col width="20" customWidth="1" min="16" max="16"/>
  </cols>
  <sheetData>
    <row r="2">
      <c r="E2" s="3" t="inlineStr">
        <is>
          <t>ANO SELECIONADO →</t>
        </is>
      </c>
      <c r="F2" s="31" t="n">
        <v>2027</v>
      </c>
      <c r="H2" s="3" t="inlineStr">
        <is>
          <t>INCC SELECIONADO →</t>
        </is>
      </c>
      <c r="I2" s="32" t="n">
        <v>46235</v>
      </c>
      <c r="J2" s="18">
        <f>IFERROR(INDEX('"INCC-FGV"'!$B$2:$B$400,MATCH(DATE(YEAR(I2),MONTH(I2),1),'"INCC-FGV"'!$A$2:$A$400,0)),"FALTA INCC")</f>
        <v/>
      </c>
    </row>
    <row r="3">
      <c r="E3" s="33">
        <f>'VALOR POR PL'!$P$9&amp;" - RETRATO DE "&amp;F2</f>
        <v/>
      </c>
    </row>
    <row r="4" ht="45" customHeight="1">
      <c r="C4" s="20" t="inlineStr">
        <is>
          <t>CPU</t>
        </is>
      </c>
      <c r="D4" s="20" t="inlineStr">
        <is>
          <t>CÓDIGO</t>
        </is>
      </c>
      <c r="E4" s="20" t="inlineStr">
        <is>
          <t>DESCRIÇÃO</t>
        </is>
      </c>
      <c r="F4" s="20" t="inlineStr">
        <is>
          <t>% DE AVANÇO ACUMULADO
(físico, informado)</t>
        </is>
      </c>
      <c r="G4" s="20" t="inlineStr">
        <is>
          <t>DESEMBOLSO ANUAL
(R$ no INCC selecionado)</t>
        </is>
      </c>
      <c r="H4" s="20" t="inlineStr">
        <is>
          <t>OBSERVAÇÕES</t>
        </is>
      </c>
      <c r="I4" s="20" t="inlineStr">
        <is>
          <t>JUSTIFICATIVA</t>
        </is>
      </c>
      <c r="K4" s="20" t="inlineStr">
        <is>
          <t>DESEMBOLSO ANUAL
(R$ nominal)</t>
        </is>
      </c>
      <c r="L4" s="20" t="inlineStr">
        <is>
          <t>AVANÇO FINANCEIRO
ACUMULADO (fim do ano)</t>
        </is>
      </c>
      <c r="M4" s="20" t="inlineStr">
        <is>
          <t>PROJEÇÃO (R$)</t>
        </is>
      </c>
      <c r="O4" s="24" t="inlineStr">
        <is>
          <t>ANO</t>
        </is>
      </c>
      <c r="P4" s="20" t="inlineStr">
        <is>
          <t>DESEMBOLSO (R$ nominal, com taxa)</t>
        </is>
      </c>
    </row>
    <row r="5">
      <c r="C5" s="34">
        <f>'VALOR POR PL'!B11</f>
        <v/>
      </c>
      <c r="D5" s="34">
        <f>'VALOR POR PL'!C11</f>
        <v/>
      </c>
      <c r="E5" s="34">
        <f>'VALOR POR PL'!D11</f>
        <v/>
      </c>
      <c r="F5" s="35" t="n"/>
      <c r="G5" s="12">
        <f>IF(ISNUMBER($J$2),SUMPRODUCT((YEAR('MODELO PARA BI'!$H$1:$CA$1)=$F$2)*'MODELO PARA BI'!$H$29:$CA$29)*$J$2,0)</f>
        <v/>
      </c>
      <c r="H5" s="21" t="n"/>
      <c r="I5" s="21" t="n"/>
      <c r="K5" s="12">
        <f>SUMPRODUCT((YEAR('PROJETO'!$B$5:$B$76)=$F$2)*('PROJETO'!$C$5:$C$76+'PROJETO'!$D$5:$D$76))</f>
        <v/>
      </c>
      <c r="L5" s="36">
        <f>IF('VALOR POR PL'!L11=0,0,SUMPRODUCT(('PROJETO'!$B$5:$B$76&lt;=DATE($F$2,12,1))*('PROJETO'!$C$5:$C$76+'PROJETO'!$D$5:$D$76))/'VALOR POR PL'!L11)</f>
        <v/>
      </c>
      <c r="M5" s="37">
        <f>'VALOR POR PL'!L11</f>
        <v/>
      </c>
      <c r="O5" s="28">
        <f>YEAR('VALOR POR PL'!$P$6)+0</f>
        <v/>
      </c>
      <c r="P5" s="17">
        <f>SUMPRODUCT((YEAR('MODELO PARA BI'!$H$1:$CA$1)=O5)*'MODELO PARA BI'!$H$63:$CA$63)</f>
        <v/>
      </c>
    </row>
    <row r="6">
      <c r="C6" s="34">
        <f>'VALOR POR PL'!B12</f>
        <v/>
      </c>
      <c r="D6" s="34">
        <f>'VALOR POR PL'!C12</f>
        <v/>
      </c>
      <c r="E6" s="34">
        <f>'VALOR POR PL'!D12</f>
        <v/>
      </c>
      <c r="F6" s="35" t="n"/>
      <c r="G6" s="12">
        <f>IF(ISNUMBER($J$2),SUMPRODUCT((YEAR('MODELO PARA BI'!$H$1:$CA$1)=$F$2)*'MODELO PARA BI'!$H$40:$CA$40)*$J$2,0)</f>
        <v/>
      </c>
      <c r="H6" s="21" t="n"/>
      <c r="I6" s="21" t="n"/>
      <c r="K6" s="12">
        <f>SUMPRODUCT((YEAR('SEGUROS'!$B$5:$B$76)=$F$2)*('SEGUROS'!$C$5:$C$76+'SEGUROS'!$D$5:$D$76))</f>
        <v/>
      </c>
      <c r="L6" s="36">
        <f>IF('VALOR POR PL'!L12=0,0,SUMPRODUCT(('SEGUROS'!$B$5:$B$76&lt;=DATE($F$2,12,1))*('SEGUROS'!$C$5:$C$76+'SEGUROS'!$D$5:$D$76))/'VALOR POR PL'!L12)</f>
        <v/>
      </c>
      <c r="M6" s="37">
        <f>'VALOR POR PL'!L12</f>
        <v/>
      </c>
      <c r="O6" s="28">
        <f>YEAR('VALOR POR PL'!$P$6)+1</f>
        <v/>
      </c>
      <c r="P6" s="17">
        <f>SUMPRODUCT((YEAR('MODELO PARA BI'!$H$1:$CA$1)=O6)*'MODELO PARA BI'!$H$63:$CA$63)</f>
        <v/>
      </c>
    </row>
    <row r="7">
      <c r="C7" s="34">
        <f>'VALOR POR PL'!B13</f>
        <v/>
      </c>
      <c r="D7" s="34">
        <f>'VALOR POR PL'!C13</f>
        <v/>
      </c>
      <c r="E7" s="34">
        <f>'VALOR POR PL'!D13</f>
        <v/>
      </c>
      <c r="F7" s="35" t="n"/>
      <c r="G7" s="12">
        <f>IF(ISNUMBER($J$2),SUMPRODUCT((YEAR('MODELO PARA BI'!$H$1:$CA$1)=$F$2)*'MODELO PARA BI'!$H$50:$CA$50)*$J$2,0)</f>
        <v/>
      </c>
      <c r="H7" s="21" t="n"/>
      <c r="I7" s="21" t="n"/>
      <c r="K7" s="12">
        <f>SUMPRODUCT((YEAR('TAX. DIVERSAS'!$B$5:$B$76)=$F$2)*('TAX. DIVERSAS'!$C$5:$C$76+'TAX. DIVERSAS'!$D$5:$D$76))</f>
        <v/>
      </c>
      <c r="L7" s="36">
        <f>IF('VALOR POR PL'!L13=0,0,SUMPRODUCT(('TAX. DIVERSAS'!$B$5:$B$76&lt;=DATE($F$2,12,1))*('TAX. DIVERSAS'!$C$5:$C$76+'TAX. DIVERSAS'!$D$5:$D$76))/'VALOR POR PL'!L13)</f>
        <v/>
      </c>
      <c r="M7" s="37">
        <f>'VALOR POR PL'!L13</f>
        <v/>
      </c>
      <c r="O7" s="28">
        <f>YEAR('VALOR POR PL'!$P$6)+2</f>
        <v/>
      </c>
      <c r="P7" s="17">
        <f>SUMPRODUCT((YEAR('MODELO PARA BI'!$H$1:$CA$1)=O7)*'MODELO PARA BI'!$H$63:$CA$63)</f>
        <v/>
      </c>
    </row>
    <row r="8">
      <c r="C8" s="34">
        <f>'VALOR POR PL'!B14</f>
        <v/>
      </c>
      <c r="D8" s="34">
        <f>'VALOR POR PL'!C14</f>
        <v/>
      </c>
      <c r="E8" s="34">
        <f>'VALOR POR PL'!D14</f>
        <v/>
      </c>
      <c r="F8" s="35" t="n"/>
      <c r="G8" s="12">
        <f>IF(ISNUMBER($J$2),SUMPRODUCT((YEAR('MODELO PARA BI'!$H$1:$CA$1)=$F$2)*'MODELO PARA BI'!$H$3:$CA$3)*$J$2,0)</f>
        <v/>
      </c>
      <c r="H8" s="21" t="n"/>
      <c r="I8" s="21" t="n"/>
      <c r="K8" s="12">
        <f>SUMPRODUCT((YEAR('BARRACÃO DE OBRA'!$B$5:$B$76)=$F$2)*('BARRACÃO DE OBRA'!$C$5:$C$76+'BARRACÃO DE OBRA'!$D$5:$D$76))</f>
        <v/>
      </c>
      <c r="L8" s="36">
        <f>IF('VALOR POR PL'!L14=0,0,SUMPRODUCT(('BARRACÃO DE OBRA'!$B$5:$B$76&lt;=DATE($F$2,12,1))*('BARRACÃO DE OBRA'!$C$5:$C$76+'BARRACÃO DE OBRA'!$D$5:$D$76))/'VALOR POR PL'!L14)</f>
        <v/>
      </c>
      <c r="M8" s="37">
        <f>'VALOR POR PL'!L14</f>
        <v/>
      </c>
      <c r="O8" s="28">
        <f>YEAR('VALOR POR PL'!$P$6)+3</f>
        <v/>
      </c>
      <c r="P8" s="17">
        <f>SUMPRODUCT((YEAR('MODELO PARA BI'!$H$1:$CA$1)=O8)*'MODELO PARA BI'!$H$63:$CA$63)</f>
        <v/>
      </c>
    </row>
    <row r="9">
      <c r="C9" s="34">
        <f>'VALOR POR PL'!B15</f>
        <v/>
      </c>
      <c r="D9" s="34">
        <f>'VALOR POR PL'!C15</f>
        <v/>
      </c>
      <c r="E9" s="34">
        <f>'VALOR POR PL'!D15</f>
        <v/>
      </c>
      <c r="F9" s="35" t="n"/>
      <c r="G9" s="12">
        <f>IF(ISNUMBER($J$2),SUMPRODUCT((YEAR('MODELO PARA BI'!$H$1:$CA$1)=$F$2)*'MODELO PARA BI'!$H$42:$CA$42)*$J$2,0)</f>
        <v/>
      </c>
      <c r="H9" s="21" t="n"/>
      <c r="I9" s="21" t="n"/>
      <c r="K9" s="12">
        <f>SUMPRODUCT((YEAR('LIG. PROVISÓRIAS'!$B$5:$B$76)=$F$2)*('LIG. PROVISÓRIAS'!$C$5:$C$76+'LIG. PROVISÓRIAS'!$D$5:$D$76))</f>
        <v/>
      </c>
      <c r="L9" s="36">
        <f>IF('VALOR POR PL'!L15=0,0,SUMPRODUCT(('LIG. PROVISÓRIAS'!$B$5:$B$76&lt;=DATE($F$2,12,1))*('LIG. PROVISÓRIAS'!$C$5:$C$76+'LIG. PROVISÓRIAS'!$D$5:$D$76))/'VALOR POR PL'!L15)</f>
        <v/>
      </c>
      <c r="M9" s="37">
        <f>'VALOR POR PL'!L15</f>
        <v/>
      </c>
      <c r="O9" s="28">
        <f>YEAR('VALOR POR PL'!$P$6)+4</f>
        <v/>
      </c>
      <c r="P9" s="17">
        <f>SUMPRODUCT((YEAR('MODELO PARA BI'!$H$1:$CA$1)=O9)*'MODELO PARA BI'!$H$63:$CA$63)</f>
        <v/>
      </c>
    </row>
    <row r="10">
      <c r="C10" s="34">
        <f>'VALOR POR PL'!B16</f>
        <v/>
      </c>
      <c r="D10" s="34">
        <f>'VALOR POR PL'!C16</f>
        <v/>
      </c>
      <c r="E10" s="34">
        <f>'VALOR POR PL'!D16</f>
        <v/>
      </c>
      <c r="F10" s="35" t="n"/>
      <c r="G10" s="12">
        <f>IF(ISNUMBER($J$2),SUMPRODUCT((YEAR('MODELO PARA BI'!$H$1:$CA$1)=$F$2)*'MODELO PARA BI'!$H$5:$CA$5)*$J$2,0)</f>
        <v/>
      </c>
      <c r="H10" s="21" t="n"/>
      <c r="I10" s="21" t="n"/>
      <c r="K10" s="12">
        <f>SUMPRODUCT((YEAR('CONSUMOS'!$B$5:$B$76)=$F$2)*('CONSUMOS'!$C$5:$C$76+'CONSUMOS'!$D$5:$D$76))</f>
        <v/>
      </c>
      <c r="L10" s="36">
        <f>IF('VALOR POR PL'!L16=0,0,SUMPRODUCT(('CONSUMOS'!$B$5:$B$76&lt;=DATE($F$2,12,1))*('CONSUMOS'!$C$5:$C$76+'CONSUMOS'!$D$5:$D$76))/'VALOR POR PL'!L16)</f>
        <v/>
      </c>
      <c r="M10" s="37">
        <f>'VALOR POR PL'!L16</f>
        <v/>
      </c>
      <c r="O10" s="28">
        <f>YEAR('VALOR POR PL'!$P$6)+5</f>
        <v/>
      </c>
      <c r="P10" s="17">
        <f>SUMPRODUCT((YEAR('MODELO PARA BI'!$H$1:$CA$1)=O10)*'MODELO PARA BI'!$H$63:$CA$63)</f>
        <v/>
      </c>
    </row>
    <row r="11">
      <c r="C11" s="34">
        <f>'VALOR POR PL'!B17</f>
        <v/>
      </c>
      <c r="D11" s="34">
        <f>'VALOR POR PL'!C17</f>
        <v/>
      </c>
      <c r="E11" s="34">
        <f>'VALOR POR PL'!D17</f>
        <v/>
      </c>
      <c r="F11" s="35" t="n"/>
      <c r="G11" s="12">
        <f>IF(ISNUMBER($J$2),SUMPRODUCT((YEAR('MODELO PARA BI'!$H$1:$CA$1)=$F$2)*'MODELO PARA BI'!$H$9:$CA$9)*$J$2,0)</f>
        <v/>
      </c>
      <c r="H11" s="21" t="n"/>
      <c r="I11" s="21" t="n"/>
      <c r="K11" s="12">
        <f>SUMPRODUCT((YEAR('DIVERSOS'!$B$5:$B$76)=$F$2)*('DIVERSOS'!$C$5:$C$76+'DIVERSOS'!$D$5:$D$76))</f>
        <v/>
      </c>
      <c r="L11" s="36">
        <f>IF('VALOR POR PL'!L17=0,0,SUMPRODUCT(('DIVERSOS'!$B$5:$B$76&lt;=DATE($F$2,12,1))*('DIVERSOS'!$C$5:$C$76+'DIVERSOS'!$D$5:$D$76))/'VALOR POR PL'!L17)</f>
        <v/>
      </c>
      <c r="M11" s="37">
        <f>'VALOR POR PL'!L17</f>
        <v/>
      </c>
      <c r="O11" s="28">
        <f>YEAR('VALOR POR PL'!$P$6)+6</f>
        <v/>
      </c>
      <c r="P11" s="17">
        <f>SUMPRODUCT((YEAR('MODELO PARA BI'!$H$1:$CA$1)=O11)*'MODELO PARA BI'!$H$63:$CA$63)</f>
        <v/>
      </c>
    </row>
    <row r="12">
      <c r="C12" s="34">
        <f>'VALOR POR PL'!B18</f>
        <v/>
      </c>
      <c r="D12" s="34">
        <f>'VALOR POR PL'!C18</f>
        <v/>
      </c>
      <c r="E12" s="34">
        <f>'VALOR POR PL'!D18</f>
        <v/>
      </c>
      <c r="F12" s="35" t="n"/>
      <c r="G12" s="12">
        <f>IF(ISNUMBER($J$2),SUMPRODUCT((YEAR('MODELO PARA BI'!$H$1:$CA$1)=$F$2)*'MODELO PARA BI'!$H$46:$CA$46)*$J$2,0)</f>
        <v/>
      </c>
      <c r="H12" s="21" t="n"/>
      <c r="I12" s="21" t="n"/>
      <c r="K12" s="12">
        <f>SUMPRODUCT((YEAR('TRANSPORTES'!$B$5:$B$76)=$F$2)*('TRANSPORTES'!$C$5:$C$76+'TRANSPORTES'!$D$5:$D$76))</f>
        <v/>
      </c>
      <c r="L12" s="36">
        <f>IF('VALOR POR PL'!L18=0,0,SUMPRODUCT(('TRANSPORTES'!$B$5:$B$76&lt;=DATE($F$2,12,1))*('TRANSPORTES'!$C$5:$C$76+'TRANSPORTES'!$D$5:$D$76))/'VALOR POR PL'!L18)</f>
        <v/>
      </c>
      <c r="M12" s="37">
        <f>'VALOR POR PL'!L18</f>
        <v/>
      </c>
    </row>
    <row r="13">
      <c r="C13" s="34">
        <f>'VALOR POR PL'!B19</f>
        <v/>
      </c>
      <c r="D13" s="34">
        <f>'VALOR POR PL'!C19</f>
        <v/>
      </c>
      <c r="E13" s="34">
        <f>'VALOR POR PL'!D19</f>
        <v/>
      </c>
      <c r="F13" s="35" t="n"/>
      <c r="G13" s="12">
        <f>IF(ISNUMBER($J$2),SUMPRODUCT((YEAR('MODELO PARA BI'!$H$1:$CA$1)=$F$2)*'MODELO PARA BI'!$H$4:$CA$4)*$J$2,0)</f>
        <v/>
      </c>
      <c r="H13" s="21" t="n"/>
      <c r="I13" s="21" t="n"/>
      <c r="K13" s="12">
        <f>SUMPRODUCT((YEAR('CONSULTORIAS'!$B$5:$B$76)=$F$2)*('CONSULTORIAS'!$C$5:$C$76+'CONSULTORIAS'!$D$5:$D$76))</f>
        <v/>
      </c>
      <c r="L13" s="36">
        <f>IF('VALOR POR PL'!L19=0,0,SUMPRODUCT(('CONSULTORIAS'!$B$5:$B$76&lt;=DATE($F$2,12,1))*('CONSULTORIAS'!$C$5:$C$76+'CONSULTORIAS'!$D$5:$D$76))/'VALOR POR PL'!L19)</f>
        <v/>
      </c>
      <c r="M13" s="37">
        <f>'VALOR POR PL'!L19</f>
        <v/>
      </c>
    </row>
    <row r="14">
      <c r="C14" s="34">
        <f>'VALOR POR PL'!B20</f>
        <v/>
      </c>
      <c r="D14" s="34">
        <f>'VALOR POR PL'!C20</f>
        <v/>
      </c>
      <c r="E14" s="34">
        <f>'VALOR POR PL'!D20</f>
        <v/>
      </c>
      <c r="F14" s="35" t="n"/>
      <c r="G14" s="12">
        <f>IF(ISNUMBER($J$2),SUMPRODUCT((YEAR('MODELO PARA BI'!$H$1:$CA$1)=$F$2)*'MODELO PARA BI'!$H$49:$CA$49)*$J$2,0)</f>
        <v/>
      </c>
      <c r="H14" s="21" t="n"/>
      <c r="I14" s="21" t="n"/>
      <c r="K14" s="12">
        <f>SUMPRODUCT((YEAR('MDO'!$B$5:$B$76)=$F$2)*('MDO'!$C$5:$C$76+'MDO'!$D$5:$D$76))</f>
        <v/>
      </c>
      <c r="L14" s="36">
        <f>IF('VALOR POR PL'!L20=0,0,SUMPRODUCT(('MDO'!$B$5:$B$76&lt;=DATE($F$2,12,1))*('MDO'!$C$5:$C$76+'MDO'!$D$5:$D$76))/'VALOR POR PL'!L20)</f>
        <v/>
      </c>
      <c r="M14" s="37">
        <f>'VALOR POR PL'!L20</f>
        <v/>
      </c>
    </row>
    <row r="15">
      <c r="C15" s="34">
        <f>'VALOR POR PL'!B21</f>
        <v/>
      </c>
      <c r="D15" s="34">
        <f>'VALOR POR PL'!C21</f>
        <v/>
      </c>
      <c r="E15" s="34">
        <f>'VALOR POR PL'!D21</f>
        <v/>
      </c>
      <c r="F15" s="35" t="n"/>
      <c r="G15" s="12">
        <f>IF(ISNUMBER($J$2),SUMPRODUCT((YEAR('MODELO PARA BI'!$H$1:$CA$1)=$F$2)*'MODELO PARA BI'!$H$11:$CA$11)*$J$2,0)</f>
        <v/>
      </c>
      <c r="H15" s="21" t="n"/>
      <c r="I15" s="21" t="n"/>
      <c r="K15" s="12">
        <f>SUMPRODUCT((YEAR('EQUIP E FER'!$B$5:$B$76)=$F$2)*('EQUIP E FER'!$C$5:$C$76+'EQUIP E FER'!$D$5:$D$76))</f>
        <v/>
      </c>
      <c r="L15" s="36">
        <f>IF('VALOR POR PL'!L21=0,0,SUMPRODUCT(('EQUIP E FER'!$B$5:$B$76&lt;=DATE($F$2,12,1))*('EQUIP E FER'!$C$5:$C$76+'EQUIP E FER'!$D$5:$D$76))/'VALOR POR PL'!L21)</f>
        <v/>
      </c>
      <c r="M15" s="37">
        <f>'VALOR POR PL'!L21</f>
        <v/>
      </c>
    </row>
    <row r="16">
      <c r="C16" s="38" t="n"/>
      <c r="D16" s="9" t="inlineStr">
        <is>
          <t>1 AO 11</t>
        </is>
      </c>
      <c r="E16" s="39" t="inlineStr">
        <is>
          <t>INDIRETOS</t>
        </is>
      </c>
      <c r="F16" s="40" t="n">
        <v>0.65</v>
      </c>
      <c r="G16" s="23">
        <f>SUM(G5:G15)</f>
        <v/>
      </c>
      <c r="H16" s="21" t="n"/>
      <c r="I16" s="21" t="n"/>
      <c r="K16" s="23">
        <f>SUM(K5:K15)</f>
        <v/>
      </c>
      <c r="L16" s="41">
        <f>IF(M16=0,0,SUMPRODUCT(L5:L15,M5:M15)/M16)</f>
        <v/>
      </c>
      <c r="M16" s="23">
        <f>SUM(M5:M15)</f>
        <v/>
      </c>
    </row>
    <row r="17">
      <c r="C17" s="34">
        <f>'VALOR POR PL'!B22</f>
        <v/>
      </c>
      <c r="D17" s="34">
        <f>'VALOR POR PL'!C22</f>
        <v/>
      </c>
      <c r="E17" s="34">
        <f>'VALOR POR PL'!D22</f>
        <v/>
      </c>
      <c r="F17" s="35" t="n">
        <v>0.98</v>
      </c>
      <c r="G17" s="12">
        <f>IF(ISNUMBER($J$2),SUMPRODUCT((YEAR('MODELO PARA BI'!$H$1:$CA$1)=$F$2)*'MODELO PARA BI'!$H$52:$CA$52)*$J$2,0)</f>
        <v/>
      </c>
      <c r="H17" s="21" t="n"/>
      <c r="I17" s="21" t="n"/>
      <c r="K17" s="12">
        <f>SUMPRODUCT((YEAR('SERV. INICIAIS'!$B$5:$B$76)=$F$2)*('SERV. INICIAIS'!$C$5:$C$76+'SERV. INICIAIS'!$D$5:$D$76))</f>
        <v/>
      </c>
      <c r="L17" s="36">
        <f>IF('VALOR POR PL'!L22=0,0,SUMPRODUCT(('SERV. INICIAIS'!$B$5:$B$76&lt;=DATE($F$2,12,1))*('SERV. INICIAIS'!$C$5:$C$76+'SERV. INICIAIS'!$D$5:$D$76))/'VALOR POR PL'!L22)</f>
        <v/>
      </c>
      <c r="M17" s="37">
        <f>'VALOR POR PL'!L22</f>
        <v/>
      </c>
    </row>
    <row r="18">
      <c r="C18" s="34">
        <f>'VALOR POR PL'!B23</f>
        <v/>
      </c>
      <c r="D18" s="34">
        <f>'VALOR POR PL'!C23</f>
        <v/>
      </c>
      <c r="E18" s="34">
        <f>'VALOR POR PL'!D23</f>
        <v/>
      </c>
      <c r="F18" s="35" t="n">
        <v>0.98</v>
      </c>
      <c r="G18" s="12">
        <f>IF(ISNUMBER($J$2),SUMPRODUCT((YEAR('MODELO PARA BI'!$H$1:$CA$1)=$F$2)*'MODELO PARA BI'!$H$6:$CA$6)*$J$2,0)</f>
        <v/>
      </c>
      <c r="H18" s="21" t="n"/>
      <c r="I18" s="21" t="n"/>
      <c r="K18" s="12">
        <f>SUMPRODUCT((YEAR('CONTENÇÃO'!$B$5:$B$76)=$F$2)*('CONTENÇÃO'!$C$5:$C$76+'CONTENÇÃO'!$D$5:$D$76))</f>
        <v/>
      </c>
      <c r="L18" s="36">
        <f>IF('VALOR POR PL'!L23=0,0,SUMPRODUCT(('CONTENÇÃO'!$B$5:$B$76&lt;=DATE($F$2,12,1))*('CONTENÇÃO'!$C$5:$C$76+'CONTENÇÃO'!$D$5:$D$76))/'VALOR POR PL'!L23)</f>
        <v/>
      </c>
      <c r="M18" s="37">
        <f>'VALOR POR PL'!L23</f>
        <v/>
      </c>
    </row>
    <row r="19">
      <c r="C19" s="34">
        <f>'VALOR POR PL'!B24</f>
        <v/>
      </c>
      <c r="D19" s="34">
        <f>'VALOR POR PL'!C24</f>
        <v/>
      </c>
      <c r="E19" s="34">
        <f>'VALOR POR PL'!D24</f>
        <v/>
      </c>
      <c r="F19" s="35" t="n">
        <v>0.98</v>
      </c>
      <c r="G19" s="12">
        <f>IF(ISNUMBER($J$2),SUMPRODUCT((YEAR('MODELO PARA BI'!$H$1:$CA$1)=$F$2)*'MODELO PARA BI'!$H$44:$CA$44)*$J$2,0)</f>
        <v/>
      </c>
      <c r="H19" s="21" t="n"/>
      <c r="I19" s="21" t="n"/>
      <c r="K19" s="12">
        <f>SUMPRODUCT((YEAR('TERRAPLENAGEM'!$B$5:$B$76)=$F$2)*('TERRAPLENAGEM'!$C$5:$C$76+'TERRAPLENAGEM'!$D$5:$D$76))</f>
        <v/>
      </c>
      <c r="L19" s="36">
        <f>IF('VALOR POR PL'!L24=0,0,SUMPRODUCT(('TERRAPLENAGEM'!$B$5:$B$76&lt;=DATE($F$2,12,1))*('TERRAPLENAGEM'!$C$5:$C$76+'TERRAPLENAGEM'!$D$5:$D$76))/'VALOR POR PL'!L24)</f>
        <v/>
      </c>
      <c r="M19" s="37">
        <f>'VALOR POR PL'!L24</f>
        <v/>
      </c>
    </row>
    <row r="20">
      <c r="C20" s="34">
        <f>'VALOR POR PL'!B25</f>
        <v/>
      </c>
      <c r="D20" s="34">
        <f>'VALOR POR PL'!C25</f>
        <v/>
      </c>
      <c r="E20" s="34">
        <f>'VALOR POR PL'!D25</f>
        <v/>
      </c>
      <c r="F20" s="35" t="n">
        <v>0.98</v>
      </c>
      <c r="G20" s="12">
        <f>IF(ISNUMBER($J$2),SUMPRODUCT((YEAR('MODELO PARA BI'!$H$1:$CA$1)=$F$2)*'MODELO PARA BI'!$H$15:$CA$15)*$J$2,0)</f>
        <v/>
      </c>
      <c r="H20" s="21" t="n"/>
      <c r="I20" s="21" t="n"/>
      <c r="K20" s="12">
        <f>SUMPRODUCT((YEAR('FUND. PROF'!$B$5:$B$76)=$F$2)*('FUND. PROF'!$C$5:$C$76+'FUND. PROF'!$D$5:$D$76))</f>
        <v/>
      </c>
      <c r="L20" s="36">
        <f>IF('VALOR POR PL'!L25=0,0,SUMPRODUCT(('FUND. PROF'!$B$5:$B$76&lt;=DATE($F$2,12,1))*('FUND. PROF'!$C$5:$C$76+'FUND. PROF'!$D$5:$D$76))/'VALOR POR PL'!L25)</f>
        <v/>
      </c>
      <c r="M20" s="37">
        <f>'VALOR POR PL'!L25</f>
        <v/>
      </c>
    </row>
    <row r="21">
      <c r="C21" s="34">
        <f>'VALOR POR PL'!B26</f>
        <v/>
      </c>
      <c r="D21" s="34">
        <f>'VALOR POR PL'!C26</f>
        <v/>
      </c>
      <c r="E21" s="34">
        <f>'VALOR POR PL'!D26</f>
        <v/>
      </c>
      <c r="F21" s="35" t="n">
        <v>0.98</v>
      </c>
      <c r="G21" s="12">
        <f>IF(ISNUMBER($J$2),SUMPRODUCT((YEAR('MODELO PARA BI'!$H$1:$CA$1)=$F$2)*'MODELO PARA BI'!$H$16:$CA$16)*$J$2,0)</f>
        <v/>
      </c>
      <c r="H21" s="21" t="n"/>
      <c r="I21" s="21" t="n"/>
      <c r="K21" s="12">
        <f>SUMPRODUCT((YEAR('FUND. SUP'!$B$5:$B$76)=$F$2)*('FUND. SUP'!$C$5:$C$76+'FUND. SUP'!$D$5:$D$76))</f>
        <v/>
      </c>
      <c r="L21" s="36">
        <f>IF('VALOR POR PL'!L26=0,0,SUMPRODUCT(('FUND. SUP'!$B$5:$B$76&lt;=DATE($F$2,12,1))*('FUND. SUP'!$C$5:$C$76+'FUND. SUP'!$D$5:$D$76))/'VALOR POR PL'!L26)</f>
        <v/>
      </c>
      <c r="M21" s="37">
        <f>'VALOR POR PL'!L26</f>
        <v/>
      </c>
    </row>
    <row r="22">
      <c r="C22" s="38" t="n"/>
      <c r="D22" s="9" t="inlineStr">
        <is>
          <t>12 a 16</t>
        </is>
      </c>
      <c r="E22" s="39" t="inlineStr">
        <is>
          <t>SERVIÇOS INICIAIS, CONTENÇÃO, TERRAPLENAGEM E FUNDAÇÕES</t>
        </is>
      </c>
      <c r="F22" s="40" t="n">
        <v>0.98</v>
      </c>
      <c r="G22" s="23">
        <f>SUM(G17:G21)</f>
        <v/>
      </c>
      <c r="H22" s="21" t="inlineStr">
        <is>
          <t>TODAS AS ATIVIDADES (EXCETO RESERVATÓRIO DE RETENÇÃO)</t>
        </is>
      </c>
      <c r="I22" s="21" t="n"/>
      <c r="K22" s="23">
        <f>SUM(K17:K21)</f>
        <v/>
      </c>
      <c r="L22" s="41">
        <f>IF(M22=0,0,SUMPRODUCT(L17:L21,M17:M21)/M22)</f>
        <v/>
      </c>
      <c r="M22" s="23">
        <f>SUM(M17:M21)</f>
        <v/>
      </c>
    </row>
    <row r="23">
      <c r="C23" s="34">
        <f>'VALOR POR PL'!B27</f>
        <v/>
      </c>
      <c r="D23" s="34">
        <f>'VALOR POR PL'!C27</f>
        <v/>
      </c>
      <c r="E23" s="34">
        <f>'VALOR POR PL'!D27</f>
        <v/>
      </c>
      <c r="F23" s="35" t="n">
        <v>0.9</v>
      </c>
      <c r="G23" s="12">
        <f>IF(ISNUMBER($J$2),SUMPRODUCT((YEAR('MODELO PARA BI'!$H$1:$CA$1)=$F$2)*'MODELO PARA BI'!$H$13:$CA$13)*$J$2,0)</f>
        <v/>
      </c>
      <c r="H23" s="21" t="inlineStr">
        <is>
          <t>ATÉ O COBERTURA - 32º PAVIMENTO</t>
        </is>
      </c>
      <c r="I23" s="21" t="n"/>
      <c r="K23" s="12">
        <f>SUMPRODUCT((YEAR('ESTRUTURA'!$B$5:$B$76)=$F$2)*('ESTRUTURA'!$C$5:$C$76+'ESTRUTURA'!$D$5:$D$76))</f>
        <v/>
      </c>
      <c r="L23" s="36">
        <f>IF('VALOR POR PL'!L27=0,0,SUMPRODUCT(('ESTRUTURA'!$B$5:$B$76&lt;=DATE($F$2,12,1))*('ESTRUTURA'!$C$5:$C$76+'ESTRUTURA'!$D$5:$D$76))/'VALOR POR PL'!L27)</f>
        <v/>
      </c>
      <c r="M23" s="37">
        <f>'VALOR POR PL'!L27</f>
        <v/>
      </c>
    </row>
    <row r="24">
      <c r="C24" s="34">
        <f>'VALOR POR PL'!B28</f>
        <v/>
      </c>
      <c r="D24" s="34">
        <f>'VALOR POR PL'!C28</f>
        <v/>
      </c>
      <c r="E24" s="34">
        <f>'VALOR POR PL'!D28</f>
        <v/>
      </c>
      <c r="F24" s="35" t="n">
        <v>0.6</v>
      </c>
      <c r="G24" s="12">
        <f>IF(ISNUMBER($J$2),SUMPRODUCT((YEAR('MODELO PARA BI'!$H$1:$CA$1)=$F$2)*'MODELO PARA BI'!$H$2:$CA$2)*$J$2,0)</f>
        <v/>
      </c>
      <c r="H24" s="21" t="inlineStr">
        <is>
          <t>ALVENARIA - ATÉ 27º PAVIMENTO / GESSO ACARTONADO - 2ª FACE - ATÉ 16º PAVIMENTO</t>
        </is>
      </c>
      <c r="I24" s="21" t="n"/>
      <c r="K24" s="12">
        <f>SUMPRODUCT((YEAR('ALVENARIA'!$B$5:$B$76)=$F$2)*('ALVENARIA'!$C$5:$C$76+'ALVENARIA'!$D$5:$D$76))</f>
        <v/>
      </c>
      <c r="L24" s="36">
        <f>IF('VALOR POR PL'!L28=0,0,SUMPRODUCT(('ALVENARIA'!$B$5:$B$76&lt;=DATE($F$2,12,1))*('ALVENARIA'!$C$5:$C$76+'ALVENARIA'!$D$5:$D$76))/'VALOR POR PL'!L28)</f>
        <v/>
      </c>
      <c r="M24" s="37">
        <f>'VALOR POR PL'!L28</f>
        <v/>
      </c>
    </row>
    <row r="25">
      <c r="C25" s="34">
        <f>'VALOR POR PL'!B29</f>
        <v/>
      </c>
      <c r="D25" s="34">
        <f>'VALOR POR PL'!C29</f>
        <v/>
      </c>
      <c r="E25" s="34">
        <f>'VALOR POR PL'!D29</f>
        <v/>
      </c>
      <c r="F25" s="35" t="n">
        <v>0.3</v>
      </c>
      <c r="G25" s="12">
        <f>IF(ISNUMBER($J$2),SUMPRODUCT((YEAR('MODELO PARA BI'!$H$1:$CA$1)=$F$2)*'MODELO PARA BI'!$H$17:$CA$17)*$J$2,0)</f>
        <v/>
      </c>
      <c r="H25" s="21" t="inlineStr">
        <is>
          <t>ATÉ O 15º PAVIMENTO</t>
        </is>
      </c>
      <c r="I25" s="21" t="n"/>
      <c r="K25" s="12">
        <f>SUMPRODUCT((YEAR('IMPERMEABILIZAÇÃO'!$B$5:$B$76)=$F$2)*('IMPERMEABILIZAÇÃO'!$C$5:$C$76+'IMPERMEABILIZAÇÃO'!$D$5:$D$76))</f>
        <v/>
      </c>
      <c r="L25" s="36">
        <f>IF('VALOR POR PL'!L29=0,0,SUMPRODUCT(('IMPERMEABILIZAÇÃO'!$B$5:$B$76&lt;=DATE($F$2,12,1))*('IMPERMEABILIZAÇÃO'!$C$5:$C$76+'IMPERMEABILIZAÇÃO'!$D$5:$D$76))/'VALOR POR PL'!L29)</f>
        <v/>
      </c>
      <c r="M25" s="37">
        <f>'VALOR POR PL'!L29</f>
        <v/>
      </c>
    </row>
    <row r="26">
      <c r="C26" s="34">
        <f>'VALOR POR PL'!B30</f>
        <v/>
      </c>
      <c r="D26" s="34">
        <f>'VALOR POR PL'!C30</f>
        <v/>
      </c>
      <c r="E26" s="34">
        <f>'VALOR POR PL'!D30</f>
        <v/>
      </c>
      <c r="F26" s="35" t="n">
        <v>0.3</v>
      </c>
      <c r="G26" s="12">
        <f>IF(ISNUMBER($J$2),SUMPRODUCT((YEAR('MODELO PARA BI'!$H$1:$CA$1)=$F$2)*'MODELO PARA BI'!$H$19:$CA$19)*$J$2,0)</f>
        <v/>
      </c>
      <c r="H26" s="21" t="inlineStr">
        <is>
          <t>INFRAESTRUTURA - ATÉ O 14º PAVIMENTO / FIAÇÃO - ATÉ O 10º PAVIMENTO</t>
        </is>
      </c>
      <c r="I26" s="21" t="n"/>
      <c r="K26" s="12">
        <f>SUMPRODUCT((YEAR('INST. ELÉTRICA'!$B$5:$B$76)=$F$2)*('INST. ELÉTRICA'!$C$5:$C$76+'INST. ELÉTRICA'!$D$5:$D$76))</f>
        <v/>
      </c>
      <c r="L26" s="36">
        <f>IF('VALOR POR PL'!L30=0,0,SUMPRODUCT(('INST. ELÉTRICA'!$B$5:$B$76&lt;=DATE($F$2,12,1))*('INST. ELÉTRICA'!$C$5:$C$76+'INST. ELÉTRICA'!$D$5:$D$76))/'VALOR POR PL'!L30)</f>
        <v/>
      </c>
      <c r="M26" s="37">
        <f>'VALOR POR PL'!L30</f>
        <v/>
      </c>
    </row>
    <row r="27">
      <c r="C27" s="34">
        <f>'VALOR POR PL'!B31</f>
        <v/>
      </c>
      <c r="D27" s="34">
        <f>'VALOR POR PL'!C31</f>
        <v/>
      </c>
      <c r="E27" s="34">
        <f>'VALOR POR PL'!D31</f>
        <v/>
      </c>
      <c r="F27" s="35" t="n">
        <v>0.3</v>
      </c>
      <c r="G27" s="12">
        <f>IF(ISNUMBER($J$2),SUMPRODUCT((YEAR('MODELO PARA BI'!$H$1:$CA$1)=$F$2)*'MODELO PARA BI'!$H$21:$CA$21)*$J$2,0)</f>
        <v/>
      </c>
      <c r="H27" s="21" t="inlineStr">
        <is>
          <t xml:space="preserve">INFRAESTRUTURA - ATÉ O 15º PAVIMENTO </t>
        </is>
      </c>
      <c r="I27" s="21" t="n"/>
      <c r="K27" s="12">
        <f>SUMPRODUCT((YEAR('INST. HIDRO'!$B$5:$B$76)=$F$2)*('INST. HIDRO'!$C$5:$C$76+'INST. HIDRO'!$D$5:$D$76))</f>
        <v/>
      </c>
      <c r="L27" s="36">
        <f>IF('VALOR POR PL'!L31=0,0,SUMPRODUCT(('INST. HIDRO'!$B$5:$B$76&lt;=DATE($F$2,12,1))*('INST. HIDRO'!$C$5:$C$76+'INST. HIDRO'!$D$5:$D$76))/'VALOR POR PL'!L31)</f>
        <v/>
      </c>
      <c r="M27" s="37">
        <f>'VALOR POR PL'!L31</f>
        <v/>
      </c>
    </row>
    <row r="28">
      <c r="C28" s="34">
        <f>'VALOR POR PL'!B32</f>
        <v/>
      </c>
      <c r="D28" s="34">
        <f>'VALOR POR PL'!C32</f>
        <v/>
      </c>
      <c r="E28" s="34">
        <f>'VALOR POR PL'!D32</f>
        <v/>
      </c>
      <c r="F28" s="35" t="n">
        <v>0.3</v>
      </c>
      <c r="G28" s="12">
        <f>IF(ISNUMBER($J$2),SUMPRODUCT((YEAR('MODELO PARA BI'!$H$1:$CA$1)=$F$2)*'MODELO PARA BI'!$H$18:$CA$18)*$J$2,0)</f>
        <v/>
      </c>
      <c r="H28" s="21" t="inlineStr">
        <is>
          <t>PRUMADA - ATÉ 28º PAVIMENTO</t>
        </is>
      </c>
      <c r="I28" s="21" t="n"/>
      <c r="K28" s="12">
        <f>SUMPRODUCT((YEAR('INST. INC'!$B$5:$B$76)=$F$2)*('INST. INC'!$C$5:$C$76+'INST. INC'!$D$5:$D$76))</f>
        <v/>
      </c>
      <c r="L28" s="36">
        <f>IF('VALOR POR PL'!L32=0,0,SUMPRODUCT(('INST. INC'!$B$5:$B$76&lt;=DATE($F$2,12,1))*('INST. INC'!$C$5:$C$76+'INST. INC'!$D$5:$D$76))/'VALOR POR PL'!L32)</f>
        <v/>
      </c>
      <c r="M28" s="37">
        <f>'VALOR POR PL'!L32</f>
        <v/>
      </c>
    </row>
    <row r="29">
      <c r="C29" s="34">
        <f>'VALOR POR PL'!B33</f>
        <v/>
      </c>
      <c r="D29" s="34">
        <f>'VALOR POR PL'!C33</f>
        <v/>
      </c>
      <c r="E29" s="34">
        <f>'VALOR POR PL'!D33</f>
        <v/>
      </c>
      <c r="F29" s="35" t="n">
        <v>0.2</v>
      </c>
      <c r="G29" s="12">
        <f>IF(ISNUMBER($J$2),SUMPRODUCT((YEAR('MODELO PARA BI'!$H$1:$CA$1)=$F$2)*'MODELO PARA BI'!$H$20:$CA$20)*$J$2,0)</f>
        <v/>
      </c>
      <c r="H29" s="21" t="inlineStr">
        <is>
          <t>RENOVAÇÃO DE AR - SUBSOLO</t>
        </is>
      </c>
      <c r="I29" s="21" t="n"/>
      <c r="K29" s="12">
        <f>SUMPRODUCT((YEAR('INST. ESP'!$B$5:$B$76)=$F$2)*('INST. ESP'!$C$5:$C$76+'INST. ESP'!$D$5:$D$76))</f>
        <v/>
      </c>
      <c r="L29" s="36">
        <f>IF('VALOR POR PL'!L33=0,0,SUMPRODUCT(('INST. ESP'!$B$5:$B$76&lt;=DATE($F$2,12,1))*('INST. ESP'!$C$5:$C$76+'INST. ESP'!$D$5:$D$76))/'VALOR POR PL'!L33)</f>
        <v/>
      </c>
      <c r="M29" s="37">
        <f>'VALOR POR PL'!L33</f>
        <v/>
      </c>
    </row>
    <row r="30">
      <c r="C30" s="34">
        <f>'VALOR POR PL'!B34</f>
        <v/>
      </c>
      <c r="D30" s="34">
        <f>'VALOR POR PL'!C34</f>
        <v/>
      </c>
      <c r="E30" s="34">
        <f>'VALOR POR PL'!D34</f>
        <v/>
      </c>
      <c r="F30" s="35" t="n">
        <v>0</v>
      </c>
      <c r="G30" s="12">
        <f>IF(ISNUMBER($J$2),SUMPRODUCT((YEAR('MODELO PARA BI'!$H$1:$CA$1)=$F$2)*'MODELO PARA BI'!$H$10:$CA$10)*$J$2,0)</f>
        <v/>
      </c>
      <c r="H30" s="21" t="inlineStr">
        <is>
          <t>APENAS DESEMBOLSO FINANCEIRO - MONTAGEM PARA 2028</t>
        </is>
      </c>
      <c r="I30" s="21" t="n"/>
      <c r="K30" s="12">
        <f>SUMPRODUCT((YEAR('ELEVADORES '!$B$5:$B$76)=$F$2)*('ELEVADORES '!$C$5:$C$76+'ELEVADORES '!$D$5:$D$76))</f>
        <v/>
      </c>
      <c r="L30" s="36">
        <f>IF('VALOR POR PL'!L34=0,0,SUMPRODUCT(('ELEVADORES '!$B$5:$B$76&lt;=DATE($F$2,12,1))*('ELEVADORES '!$C$5:$C$76+'ELEVADORES '!$D$5:$D$76))/'VALOR POR PL'!L34)</f>
        <v/>
      </c>
      <c r="M30" s="37">
        <f>'VALOR POR PL'!L34</f>
        <v/>
      </c>
    </row>
    <row r="31">
      <c r="C31" s="34">
        <f>'VALOR POR PL'!B35</f>
        <v/>
      </c>
      <c r="D31" s="34">
        <f>'VALOR POR PL'!C35</f>
        <v/>
      </c>
      <c r="E31" s="34">
        <f>'VALOR POR PL'!D35</f>
        <v/>
      </c>
      <c r="F31" s="35" t="n">
        <v>0</v>
      </c>
      <c r="G31" s="12">
        <f>IF(ISNUMBER($J$2),SUMPRODUCT((YEAR('MODELO PARA BI'!$H$1:$CA$1)=$F$2)*'MODELO PARA BI'!$H$12:$CA$12)*$J$2,0)</f>
        <v/>
      </c>
      <c r="H31" s="21" t="inlineStr">
        <is>
          <t>APENAS DESEMBOLSO FINANCEIRO - MONTAGEM PARA 2028</t>
        </is>
      </c>
      <c r="I31" s="21" t="n"/>
      <c r="K31" s="12">
        <f>SUMPRODUCT((YEAR('ESQUADRIAS'!$B$5:$B$76)=$F$2)*('ESQUADRIAS'!$C$5:$C$76+'ESQUADRIAS'!$D$5:$D$76))</f>
        <v/>
      </c>
      <c r="L31" s="36">
        <f>IF('VALOR POR PL'!L35=0,0,SUMPRODUCT(('ESQUADRIAS'!$B$5:$B$76&lt;=DATE($F$2,12,1))*('ESQUADRIAS'!$C$5:$C$76+'ESQUADRIAS'!$D$5:$D$76))/'VALOR POR PL'!L35)</f>
        <v/>
      </c>
      <c r="M31" s="37">
        <f>'VALOR POR PL'!L35</f>
        <v/>
      </c>
    </row>
    <row r="32">
      <c r="C32" s="34">
        <f>'VALOR POR PL'!B36</f>
        <v/>
      </c>
      <c r="D32" s="34">
        <f>'VALOR POR PL'!C36</f>
        <v/>
      </c>
      <c r="E32" s="34">
        <f>'VALOR POR PL'!D36</f>
        <v/>
      </c>
      <c r="F32" s="35" t="n">
        <v>0.1</v>
      </c>
      <c r="G32" s="12">
        <f>IF(ISNUMBER($J$2),SUMPRODUCT((YEAR('MODELO PARA BI'!$H$1:$CA$1)=$F$2)*'MODELO PARA BI'!$H$41:$CA$41)*$J$2,0)</f>
        <v/>
      </c>
      <c r="H32" s="21" t="n"/>
      <c r="I32" s="21" t="n"/>
      <c r="K32" s="12">
        <f>SUMPRODUCT((YEAR('SERRALHERIA'!$B$5:$B$76)=$F$2)*('SERRALHERIA'!$C$5:$C$76+'SERRALHERIA'!$D$5:$D$76))</f>
        <v/>
      </c>
      <c r="L32" s="36">
        <f>IF('VALOR POR PL'!L36=0,0,SUMPRODUCT(('SERRALHERIA'!$B$5:$B$76&lt;=DATE($F$2,12,1))*('SERRALHERIA'!$C$5:$C$76+'SERRALHERIA'!$D$5:$D$76))/'VALOR POR PL'!L36)</f>
        <v/>
      </c>
      <c r="M32" s="37">
        <f>'VALOR POR PL'!L36</f>
        <v/>
      </c>
    </row>
    <row r="33">
      <c r="C33" s="34">
        <f>'VALOR POR PL'!B37</f>
        <v/>
      </c>
      <c r="D33" s="34">
        <f>'VALOR POR PL'!C37</f>
        <v/>
      </c>
      <c r="E33" s="34">
        <f>'VALOR POR PL'!D37</f>
        <v/>
      </c>
      <c r="F33" s="35" t="n">
        <v>0</v>
      </c>
      <c r="G33" s="12">
        <f>IF(ISNUMBER($J$2),SUMPRODUCT((YEAR('MODELO PARA BI'!$H$1:$CA$1)=$F$2)*'MODELO PARA BI'!$H$25:$CA$25)*$J$2,0)</f>
        <v/>
      </c>
      <c r="H33" s="21" t="n"/>
      <c r="I33" s="21" t="n"/>
      <c r="K33" s="12">
        <f>SUMPRODUCT((YEAR('MARCENARIA'!$B$5:$B$76)=$F$2)*('MARCENARIA'!$C$5:$C$76+'MARCENARIA'!$D$5:$D$76))</f>
        <v/>
      </c>
      <c r="L33" s="36">
        <f>IF('VALOR POR PL'!L37=0,0,SUMPRODUCT(('MARCENARIA'!$B$5:$B$76&lt;=DATE($F$2,12,1))*('MARCENARIA'!$C$5:$C$76+'MARCENARIA'!$D$5:$D$76))/'VALOR POR PL'!L37)</f>
        <v/>
      </c>
      <c r="M33" s="37">
        <f>'VALOR POR PL'!L37</f>
        <v/>
      </c>
    </row>
    <row r="34">
      <c r="C34" s="34">
        <f>'VALOR POR PL'!B38</f>
        <v/>
      </c>
      <c r="D34" s="34">
        <f>'VALOR POR PL'!C38</f>
        <v/>
      </c>
      <c r="E34" s="34">
        <f>'VALOR POR PL'!D38</f>
        <v/>
      </c>
      <c r="F34" s="35" t="n">
        <v>0.5</v>
      </c>
      <c r="G34" s="12">
        <f>IF(ISNUMBER($J$2),SUMPRODUCT((YEAR('MODELO PARA BI'!$H$1:$CA$1)=$F$2)*'MODELO PARA BI'!$H$33:$CA$33)*$J$2,0)</f>
        <v/>
      </c>
      <c r="H34" s="21" t="inlineStr">
        <is>
          <t>ATÉ O 21º PAVIMENTO</t>
        </is>
      </c>
      <c r="I34" s="21" t="n"/>
      <c r="K34" s="12">
        <f>SUMPRODUCT((YEAR('REV. PISOS'!$B$5:$B$76)=$F$2)*('REV. PISOS'!$C$5:$C$76+'REV. PISOS'!$D$5:$D$76))</f>
        <v/>
      </c>
      <c r="L34" s="36">
        <f>IF('VALOR POR PL'!L38=0,0,SUMPRODUCT(('REV. PISOS'!$B$5:$B$76&lt;=DATE($F$2,12,1))*('REV. PISOS'!$C$5:$C$76+'REV. PISOS'!$D$5:$D$76))/'VALOR POR PL'!L38)</f>
        <v/>
      </c>
      <c r="M34" s="37">
        <f>'VALOR POR PL'!L38</f>
        <v/>
      </c>
    </row>
    <row r="35">
      <c r="C35" s="34">
        <f>'VALOR POR PL'!B39</f>
        <v/>
      </c>
      <c r="D35" s="34">
        <f>'VALOR POR PL'!C39</f>
        <v/>
      </c>
      <c r="E35" s="34">
        <f>'VALOR POR PL'!D39</f>
        <v/>
      </c>
      <c r="F35" s="35" t="n">
        <v>0.55</v>
      </c>
      <c r="G35" s="12">
        <f>IF(ISNUMBER($J$2),SUMPRODUCT((YEAR('MODELO PARA BI'!$H$1:$CA$1)=$F$2)*'MODELO PARA BI'!$H$34:$CA$34)*$J$2,0)</f>
        <v/>
      </c>
      <c r="H35" s="21" t="inlineStr">
        <is>
          <t>ATÉ O 23º PAVIMENTO</t>
        </is>
      </c>
      <c r="I35" s="21" t="n"/>
      <c r="K35" s="12">
        <f>SUMPRODUCT((YEAR('REV. PAREDE'!$B$5:$B$76)=$F$2)*('REV. PAREDE'!$C$5:$C$76+'REV. PAREDE'!$D$5:$D$76))</f>
        <v/>
      </c>
      <c r="L35" s="36">
        <f>IF('VALOR POR PL'!L39=0,0,SUMPRODUCT(('REV. PAREDE'!$B$5:$B$76&lt;=DATE($F$2,12,1))*('REV. PAREDE'!$C$5:$C$76+'REV. PAREDE'!$D$5:$D$76))/'VALOR POR PL'!L39)</f>
        <v/>
      </c>
      <c r="M35" s="37">
        <f>'VALOR POR PL'!L39</f>
        <v/>
      </c>
    </row>
    <row r="36">
      <c r="C36" s="34">
        <f>'VALOR POR PL'!B40</f>
        <v/>
      </c>
      <c r="D36" s="34">
        <f>'VALOR POR PL'!C40</f>
        <v/>
      </c>
      <c r="E36" s="34">
        <f>'VALOR POR PL'!D40</f>
        <v/>
      </c>
      <c r="F36" s="35" t="n">
        <v>0.2</v>
      </c>
      <c r="G36" s="12">
        <f>IF(ISNUMBER($J$2),SUMPRODUCT((YEAR('MODELO PARA BI'!$H$1:$CA$1)=$F$2)*'MODELO PARA BI'!$H$32:$CA$32)*$J$2,0)</f>
        <v/>
      </c>
      <c r="H36" s="21" t="inlineStr">
        <is>
          <t>PAREDES - ATÉ O 15º PAVIMENTO / PISOS - ATÉ O 14º PAVIMENTO</t>
        </is>
      </c>
      <c r="I36" s="21" t="n"/>
      <c r="K36" s="12">
        <f>SUMPRODUCT((YEAR('REV. ACAB'!$B$5:$B$76)=$F$2)*('REV. ACAB'!$C$5:$C$76+'REV. ACAB'!$D$5:$D$76))</f>
        <v/>
      </c>
      <c r="L36" s="36">
        <f>IF('VALOR POR PL'!L40=0,0,SUMPRODUCT(('REV. ACAB'!$B$5:$B$76&lt;=DATE($F$2,12,1))*('REV. ACAB'!$C$5:$C$76+'REV. ACAB'!$D$5:$D$76))/'VALOR POR PL'!L40)</f>
        <v/>
      </c>
      <c r="M36" s="37">
        <f>'VALOR POR PL'!L40</f>
        <v/>
      </c>
    </row>
    <row r="37">
      <c r="C37" s="34">
        <f>'VALOR POR PL'!B41</f>
        <v/>
      </c>
      <c r="D37" s="34">
        <f>'VALOR POR PL'!C41</f>
        <v/>
      </c>
      <c r="E37" s="34">
        <f>'VALOR POR PL'!D41</f>
        <v/>
      </c>
      <c r="F37" s="35" t="n"/>
      <c r="G37" s="12">
        <f>IF(ISNUMBER($J$2),SUMPRODUCT((YEAR('MODELO PARA BI'!$H$1:$CA$1)=$F$2)*'MODELO PARA BI'!$H$27:$CA$27)*$J$2,0)</f>
        <v/>
      </c>
      <c r="H37" s="21" t="n"/>
      <c r="I37" s="21" t="n"/>
      <c r="K37" s="12">
        <f>SUMPRODUCT((YEAR('PAVIMENTAÇÃO'!$B$5:$B$76)=$F$2)*('PAVIMENTAÇÃO'!$C$5:$C$76+'PAVIMENTAÇÃO'!$D$5:$D$76))</f>
        <v/>
      </c>
      <c r="L37" s="36">
        <f>IF('VALOR POR PL'!L41=0,0,SUMPRODUCT(('PAVIMENTAÇÃO'!$B$5:$B$76&lt;=DATE($F$2,12,1))*('PAVIMENTAÇÃO'!$C$5:$C$76+'PAVIMENTAÇÃO'!$D$5:$D$76))/'VALOR POR PL'!L41)</f>
        <v/>
      </c>
      <c r="M37" s="37">
        <f>'VALOR POR PL'!L41</f>
        <v/>
      </c>
    </row>
    <row r="38">
      <c r="C38" s="34">
        <f>'VALOR POR PL'!B42</f>
        <v/>
      </c>
      <c r="D38" s="34">
        <f>'VALOR POR PL'!C42</f>
        <v/>
      </c>
      <c r="E38" s="34">
        <f>'VALOR POR PL'!D42</f>
        <v/>
      </c>
      <c r="F38" s="35" t="n">
        <v>0.35</v>
      </c>
      <c r="G38" s="12">
        <f>IF(ISNUMBER($J$2),SUMPRODUCT((YEAR('MODELO PARA BI'!$H$1:$CA$1)=$F$2)*'MODELO PARA BI'!$H$31:$CA$31)*$J$2,0)</f>
        <v/>
      </c>
      <c r="H38" s="21" t="inlineStr">
        <is>
          <t>1ª ETAPA DE FACHADA - 70 % FINAIZADA</t>
        </is>
      </c>
      <c r="I38" s="21" t="n"/>
      <c r="K38" s="12">
        <f>SUMPRODUCT((YEAR('REV. FACHADA'!$B$5:$B$76)=$F$2)*('REV. FACHADA'!$C$5:$C$76+'REV. FACHADA'!$D$5:$D$76))</f>
        <v/>
      </c>
      <c r="L38" s="36">
        <f>IF('VALOR POR PL'!L42=0,0,SUMPRODUCT(('REV. FACHADA'!$B$5:$B$76&lt;=DATE($F$2,12,1))*('REV. FACHADA'!$C$5:$C$76+'REV. FACHADA'!$D$5:$D$76))/'VALOR POR PL'!L42)</f>
        <v/>
      </c>
      <c r="M38" s="37">
        <f>'VALOR POR PL'!L42</f>
        <v/>
      </c>
    </row>
    <row r="39">
      <c r="C39" s="34">
        <f>'VALOR POR PL'!B43</f>
        <v/>
      </c>
      <c r="D39" s="34">
        <f>'VALOR POR PL'!C43</f>
        <v/>
      </c>
      <c r="E39" s="34">
        <f>'VALOR POR PL'!D43</f>
        <v/>
      </c>
      <c r="F39" s="35" t="n">
        <v>0.15</v>
      </c>
      <c r="G39" s="12">
        <f>IF(ISNUMBER($J$2),SUMPRODUCT((YEAR('MODELO PARA BI'!$H$1:$CA$1)=$F$2)*'MODELO PARA BI'!$H$14:$CA$14)*$J$2,0)</f>
        <v/>
      </c>
      <c r="H39" s="21" t="inlineStr">
        <is>
          <t>ATÉ O 11º PAVIMENTO</t>
        </is>
      </c>
      <c r="I39" s="21" t="n"/>
      <c r="K39" s="12">
        <f>SUMPRODUCT((YEAR('FORRO'!$B$5:$B$76)=$F$2)*('FORRO'!$C$5:$C$76+'FORRO'!$D$5:$D$76))</f>
        <v/>
      </c>
      <c r="L39" s="36">
        <f>IF('VALOR POR PL'!L43=0,0,SUMPRODUCT(('FORRO'!$B$5:$B$76&lt;=DATE($F$2,12,1))*('FORRO'!$C$5:$C$76+'FORRO'!$D$5:$D$76))/'VALOR POR PL'!L43)</f>
        <v/>
      </c>
      <c r="M39" s="37">
        <f>'VALOR POR PL'!L43</f>
        <v/>
      </c>
    </row>
    <row r="40">
      <c r="C40" s="34">
        <f>'VALOR POR PL'!B44</f>
        <v/>
      </c>
      <c r="D40" s="34">
        <f>'VALOR POR PL'!C44</f>
        <v/>
      </c>
      <c r="E40" s="34">
        <f>'VALOR POR PL'!D44</f>
        <v/>
      </c>
      <c r="F40" s="35" t="n"/>
      <c r="G40" s="12">
        <f>IF(ISNUMBER($J$2),SUMPRODUCT((YEAR('MODELO PARA BI'!$H$1:$CA$1)=$F$2)*'MODELO PARA BI'!$H$23:$CA$23)*$J$2,0)</f>
        <v/>
      </c>
      <c r="H40" s="21" t="n"/>
      <c r="I40" s="21" t="n"/>
      <c r="K40" s="12">
        <f>SUMPRODUCT((YEAR('LOUÇAS'!$B$5:$B$76)=$F$2)*('LOUÇAS'!$C$5:$C$76+'LOUÇAS'!$D$5:$D$76))</f>
        <v/>
      </c>
      <c r="L40" s="36">
        <f>IF('VALOR POR PL'!L44=0,0,SUMPRODUCT(('LOUÇAS'!$B$5:$B$76&lt;=DATE($F$2,12,1))*('LOUÇAS'!$C$5:$C$76+'LOUÇAS'!$D$5:$D$76))/'VALOR POR PL'!L44)</f>
        <v/>
      </c>
      <c r="M40" s="37">
        <f>'VALOR POR PL'!L44</f>
        <v/>
      </c>
    </row>
    <row r="41">
      <c r="C41" s="34">
        <f>'VALOR POR PL'!B45</f>
        <v/>
      </c>
      <c r="D41" s="34">
        <f>'VALOR POR PL'!C45</f>
        <v/>
      </c>
      <c r="E41" s="34">
        <f>'VALOR POR PL'!D45</f>
        <v/>
      </c>
      <c r="F41" s="35" t="n">
        <v>0.1</v>
      </c>
      <c r="G41" s="12">
        <f>IF(ISNUMBER($J$2),SUMPRODUCT((YEAR('MODELO PARA BI'!$H$1:$CA$1)=$F$2)*'MODELO PARA BI'!$H$28:$CA$28)*$J$2,0)</f>
        <v/>
      </c>
      <c r="H41" s="21" t="inlineStr">
        <is>
          <t>TRATAMENTO DE CONCRETO APARENTE</t>
        </is>
      </c>
      <c r="I41" s="21" t="n"/>
      <c r="K41" s="12">
        <f>SUMPRODUCT((YEAR('PINTURA'!$B$5:$B$76)=$F$2)*('PINTURA'!$C$5:$C$76+'PINTURA'!$D$5:$D$76))</f>
        <v/>
      </c>
      <c r="L41" s="36">
        <f>IF('VALOR POR PL'!L45=0,0,SUMPRODUCT(('PINTURA'!$B$5:$B$76&lt;=DATE($F$2,12,1))*('PINTURA'!$C$5:$C$76+'PINTURA'!$D$5:$D$76))/'VALOR POR PL'!L45)</f>
        <v/>
      </c>
      <c r="M41" s="37">
        <f>'VALOR POR PL'!L45</f>
        <v/>
      </c>
    </row>
    <row r="42">
      <c r="C42" s="34">
        <f>'VALOR POR PL'!B46</f>
        <v/>
      </c>
      <c r="D42" s="34">
        <f>'VALOR POR PL'!C46</f>
        <v/>
      </c>
      <c r="E42" s="34">
        <f>'VALOR POR PL'!D46</f>
        <v/>
      </c>
      <c r="F42" s="35" t="n">
        <v>0</v>
      </c>
      <c r="G42" s="12">
        <f>IF(ISNUMBER($J$2),SUMPRODUCT((YEAR('MODELO PARA BI'!$H$1:$CA$1)=$F$2)*'MODELO PARA BI'!$H$26:$CA$26)*$J$2,0)</f>
        <v/>
      </c>
      <c r="H42" s="21" t="n"/>
      <c r="I42" s="21" t="n"/>
      <c r="K42" s="12">
        <f>SUMPRODUCT((YEAR('PAISAGISMO'!$B$5:$B$76)=$F$2)*('PAISAGISMO'!$C$5:$C$76+'PAISAGISMO'!$D$5:$D$76))</f>
        <v/>
      </c>
      <c r="L42" s="36">
        <f>IF('VALOR POR PL'!L46=0,0,SUMPRODUCT(('PAISAGISMO'!$B$5:$B$76&lt;=DATE($F$2,12,1))*('PAISAGISMO'!$C$5:$C$76+'PAISAGISMO'!$D$5:$D$76))/'VALOR POR PL'!L46)</f>
        <v/>
      </c>
      <c r="M42" s="37">
        <f>'VALOR POR PL'!L46</f>
        <v/>
      </c>
    </row>
    <row r="43">
      <c r="C43" s="34">
        <f>'VALOR POR PL'!B47</f>
        <v/>
      </c>
      <c r="D43" s="34">
        <f>'VALOR POR PL'!C47</f>
        <v/>
      </c>
      <c r="E43" s="34">
        <f>'VALOR POR PL'!D47</f>
        <v/>
      </c>
      <c r="F43" s="35" t="n">
        <v>0</v>
      </c>
      <c r="G43" s="12">
        <f>IF(ISNUMBER($J$2),SUMPRODUCT((YEAR('MODELO PARA BI'!$H$1:$CA$1)=$F$2)*'MODELO PARA BI'!$H$24:$CA$24)*$J$2,0)</f>
        <v/>
      </c>
      <c r="H43" s="21" t="n"/>
      <c r="I43" s="21" t="n"/>
      <c r="K43" s="12">
        <f>SUMPRODUCT((YEAR('LIMPEZA'!$B$5:$B$76)=$F$2)*('LIMPEZA'!$C$5:$C$76+'LIMPEZA'!$D$5:$D$76))</f>
        <v/>
      </c>
      <c r="L43" s="36">
        <f>IF('VALOR POR PL'!L47=0,0,SUMPRODUCT(('LIMPEZA'!$B$5:$B$76&lt;=DATE($F$2,12,1))*('LIMPEZA'!$C$5:$C$76+'LIMPEZA'!$D$5:$D$76))/'VALOR POR PL'!L47)</f>
        <v/>
      </c>
      <c r="M43" s="37">
        <f>'VALOR POR PL'!L47</f>
        <v/>
      </c>
    </row>
    <row r="44">
      <c r="D44" s="9" t="inlineStr">
        <is>
          <t>DESEMBOLSO ANUAL (sem taxa de adm.)</t>
        </is>
      </c>
      <c r="E44" s="26" t="n"/>
      <c r="G44" s="23">
        <f>SUM(G22:G43,G16)</f>
        <v/>
      </c>
      <c r="K44" s="23">
        <f>SUM(K22:K43,K16)</f>
        <v/>
      </c>
    </row>
    <row r="45">
      <c r="D45" s="34" t="inlineStr">
        <is>
          <t>38</t>
        </is>
      </c>
      <c r="E45" s="14" t="inlineStr">
        <is>
          <t>TAXA DE ADMINISTRAÇÃO</t>
        </is>
      </c>
      <c r="G45" s="12">
        <f>IF(ISNUMBER($J$2),SUMPRODUCT((YEAR('MODELO PARA BI'!$H$1:$CA$1)=$F$2)*'MODELO PARA BI'!$H$43:$CA$43)*$J$2,0)</f>
        <v/>
      </c>
      <c r="K45" s="12">
        <f>SUMPRODUCT((YEAR('TAX. ADM'!$B$5:$B$76)=$F$2)*('TAX. ADM'!$C$5:$C$76+'TAX. ADM'!$D$5:$D$76))</f>
        <v/>
      </c>
    </row>
    <row r="46">
      <c r="D46" s="9" t="inlineStr">
        <is>
          <t>DESEMBOLSO ANUAL COM TAXA DE ADM.</t>
        </is>
      </c>
      <c r="E46" s="26" t="n"/>
      <c r="G46" s="23">
        <f>G44+G45</f>
        <v/>
      </c>
      <c r="K46" s="23">
        <f>K44+K45</f>
        <v/>
      </c>
    </row>
  </sheetData>
  <mergeCells count="2">
    <mergeCell ref="D44:E44"/>
    <mergeCell ref="D46:E46"/>
  </mergeCells>
  <conditionalFormatting sqref="G5:K46">
    <cfRule type="cellIs" priority="1" operator="lessThan" dxfId="2">
      <formula>-0.5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20" t="inlineStr">
        <is>
          <t>COD EMPREENDIMENTO</t>
        </is>
      </c>
      <c r="B1" s="20" t="inlineStr">
        <is>
          <t>COD GRUPO 1</t>
        </is>
      </c>
      <c r="C1" s="20" t="inlineStr">
        <is>
          <t>GRUPO 1</t>
        </is>
      </c>
      <c r="D1" s="20" t="inlineStr">
        <is>
          <t>VALOR ORÇADO
(INCC)</t>
        </is>
      </c>
      <c r="E1" s="20" t="inlineStr">
        <is>
          <t>SOMA DA DISTRIBUIÇÃO
(INCC)</t>
        </is>
      </c>
      <c r="F1" s="20" t="inlineStr">
        <is>
          <t>VARIAÇÃO
(ORÇADO − DISTRIBUÍDO)</t>
        </is>
      </c>
      <c r="H1" s="42">
        <f>'VALOR POR PL'!$P$6</f>
        <v/>
      </c>
      <c r="I1" s="42">
        <f>DATE(YEAR(H1),MONTH(H1)+1,1)</f>
        <v/>
      </c>
      <c r="J1" s="42">
        <f>DATE(YEAR(I1),MONTH(I1)+1,1)</f>
        <v/>
      </c>
      <c r="K1" s="42">
        <f>DATE(YEAR(J1),MONTH(J1)+1,1)</f>
        <v/>
      </c>
      <c r="L1" s="42">
        <f>DATE(YEAR(K1),MONTH(K1)+1,1)</f>
        <v/>
      </c>
      <c r="M1" s="42">
        <f>DATE(YEAR(L1),MONTH(L1)+1,1)</f>
        <v/>
      </c>
      <c r="N1" s="42">
        <f>DATE(YEAR(M1),MONTH(M1)+1,1)</f>
        <v/>
      </c>
      <c r="O1" s="42">
        <f>DATE(YEAR(N1),MONTH(N1)+1,1)</f>
        <v/>
      </c>
      <c r="P1" s="42">
        <f>DATE(YEAR(O1),MONTH(O1)+1,1)</f>
        <v/>
      </c>
      <c r="Q1" s="42">
        <f>DATE(YEAR(P1),MONTH(P1)+1,1)</f>
        <v/>
      </c>
      <c r="R1" s="42">
        <f>DATE(YEAR(Q1),MONTH(Q1)+1,1)</f>
        <v/>
      </c>
      <c r="S1" s="42">
        <f>DATE(YEAR(R1),MONTH(R1)+1,1)</f>
        <v/>
      </c>
      <c r="T1" s="42">
        <f>DATE(YEAR(S1),MONTH(S1)+1,1)</f>
        <v/>
      </c>
      <c r="U1" s="42">
        <f>DATE(YEAR(T1),MONTH(T1)+1,1)</f>
        <v/>
      </c>
      <c r="V1" s="42">
        <f>DATE(YEAR(U1),MONTH(U1)+1,1)</f>
        <v/>
      </c>
      <c r="W1" s="42">
        <f>DATE(YEAR(V1),MONTH(V1)+1,1)</f>
        <v/>
      </c>
      <c r="X1" s="42">
        <f>DATE(YEAR(W1),MONTH(W1)+1,1)</f>
        <v/>
      </c>
      <c r="Y1" s="42">
        <f>DATE(YEAR(X1),MONTH(X1)+1,1)</f>
        <v/>
      </c>
      <c r="Z1" s="42">
        <f>DATE(YEAR(Y1),MONTH(Y1)+1,1)</f>
        <v/>
      </c>
      <c r="AA1" s="42">
        <f>DATE(YEAR(Z1),MONTH(Z1)+1,1)</f>
        <v/>
      </c>
      <c r="AB1" s="42">
        <f>DATE(YEAR(AA1),MONTH(AA1)+1,1)</f>
        <v/>
      </c>
      <c r="AC1" s="42">
        <f>DATE(YEAR(AB1),MONTH(AB1)+1,1)</f>
        <v/>
      </c>
      <c r="AD1" s="42">
        <f>DATE(YEAR(AC1),MONTH(AC1)+1,1)</f>
        <v/>
      </c>
      <c r="AE1" s="42">
        <f>DATE(YEAR(AD1),MONTH(AD1)+1,1)</f>
        <v/>
      </c>
      <c r="AF1" s="42">
        <f>DATE(YEAR(AE1),MONTH(AE1)+1,1)</f>
        <v/>
      </c>
      <c r="AG1" s="42">
        <f>DATE(YEAR(AF1),MONTH(AF1)+1,1)</f>
        <v/>
      </c>
      <c r="AH1" s="42">
        <f>DATE(YEAR(AG1),MONTH(AG1)+1,1)</f>
        <v/>
      </c>
      <c r="AI1" s="42">
        <f>DATE(YEAR(AH1),MONTH(AH1)+1,1)</f>
        <v/>
      </c>
      <c r="AJ1" s="42">
        <f>DATE(YEAR(AI1),MONTH(AI1)+1,1)</f>
        <v/>
      </c>
      <c r="AK1" s="42">
        <f>DATE(YEAR(AJ1),MONTH(AJ1)+1,1)</f>
        <v/>
      </c>
      <c r="AL1" s="42">
        <f>DATE(YEAR(AK1),MONTH(AK1)+1,1)</f>
        <v/>
      </c>
      <c r="AM1" s="42">
        <f>DATE(YEAR(AL1),MONTH(AL1)+1,1)</f>
        <v/>
      </c>
      <c r="AN1" s="42">
        <f>DATE(YEAR(AM1),MONTH(AM1)+1,1)</f>
        <v/>
      </c>
      <c r="AO1" s="42">
        <f>DATE(YEAR(AN1),MONTH(AN1)+1,1)</f>
        <v/>
      </c>
      <c r="AP1" s="42">
        <f>DATE(YEAR(AO1),MONTH(AO1)+1,1)</f>
        <v/>
      </c>
      <c r="AQ1" s="42">
        <f>DATE(YEAR(AP1),MONTH(AP1)+1,1)</f>
        <v/>
      </c>
      <c r="AR1" s="42">
        <f>DATE(YEAR(AQ1),MONTH(AQ1)+1,1)</f>
        <v/>
      </c>
      <c r="AS1" s="42">
        <f>DATE(YEAR(AR1),MONTH(AR1)+1,1)</f>
        <v/>
      </c>
      <c r="AT1" s="42">
        <f>DATE(YEAR(AS1),MONTH(AS1)+1,1)</f>
        <v/>
      </c>
      <c r="AU1" s="42">
        <f>DATE(YEAR(AT1),MONTH(AT1)+1,1)</f>
        <v/>
      </c>
      <c r="AV1" s="42">
        <f>DATE(YEAR(AU1),MONTH(AU1)+1,1)</f>
        <v/>
      </c>
      <c r="AW1" s="42">
        <f>DATE(YEAR(AV1),MONTH(AV1)+1,1)</f>
        <v/>
      </c>
      <c r="AX1" s="42">
        <f>DATE(YEAR(AW1),MONTH(AW1)+1,1)</f>
        <v/>
      </c>
      <c r="AY1" s="42">
        <f>DATE(YEAR(AX1),MONTH(AX1)+1,1)</f>
        <v/>
      </c>
      <c r="AZ1" s="42">
        <f>DATE(YEAR(AY1),MONTH(AY1)+1,1)</f>
        <v/>
      </c>
      <c r="BA1" s="42">
        <f>DATE(YEAR(AZ1),MONTH(AZ1)+1,1)</f>
        <v/>
      </c>
      <c r="BB1" s="42">
        <f>DATE(YEAR(BA1),MONTH(BA1)+1,1)</f>
        <v/>
      </c>
      <c r="BC1" s="42">
        <f>DATE(YEAR(BB1),MONTH(BB1)+1,1)</f>
        <v/>
      </c>
      <c r="BD1" s="42">
        <f>DATE(YEAR(BC1),MONTH(BC1)+1,1)</f>
        <v/>
      </c>
      <c r="BE1" s="42">
        <f>DATE(YEAR(BD1),MONTH(BD1)+1,1)</f>
        <v/>
      </c>
      <c r="BF1" s="42">
        <f>DATE(YEAR(BE1),MONTH(BE1)+1,1)</f>
        <v/>
      </c>
      <c r="BG1" s="42">
        <f>DATE(YEAR(BF1),MONTH(BF1)+1,1)</f>
        <v/>
      </c>
      <c r="BH1" s="42">
        <f>DATE(YEAR(BG1),MONTH(BG1)+1,1)</f>
        <v/>
      </c>
      <c r="BI1" s="42">
        <f>DATE(YEAR(BH1),MONTH(BH1)+1,1)</f>
        <v/>
      </c>
      <c r="BJ1" s="42">
        <f>DATE(YEAR(BI1),MONTH(BI1)+1,1)</f>
        <v/>
      </c>
      <c r="BK1" s="42">
        <f>DATE(YEAR(BJ1),MONTH(BJ1)+1,1)</f>
        <v/>
      </c>
      <c r="BL1" s="42">
        <f>DATE(YEAR(BK1),MONTH(BK1)+1,1)</f>
        <v/>
      </c>
      <c r="BM1" s="42">
        <f>DATE(YEAR(BL1),MONTH(BL1)+1,1)</f>
        <v/>
      </c>
      <c r="BN1" s="42">
        <f>DATE(YEAR(BM1),MONTH(BM1)+1,1)</f>
        <v/>
      </c>
      <c r="BO1" s="42">
        <f>DATE(YEAR(BN1),MONTH(BN1)+1,1)</f>
        <v/>
      </c>
      <c r="BP1" s="42">
        <f>DATE(YEAR(BO1),MONTH(BO1)+1,1)</f>
        <v/>
      </c>
      <c r="BQ1" s="42">
        <f>DATE(YEAR(BP1),MONTH(BP1)+1,1)</f>
        <v/>
      </c>
      <c r="BR1" s="42">
        <f>DATE(YEAR(BQ1),MONTH(BQ1)+1,1)</f>
        <v/>
      </c>
      <c r="BS1" s="42">
        <f>DATE(YEAR(BR1),MONTH(BR1)+1,1)</f>
        <v/>
      </c>
      <c r="BT1" s="42">
        <f>DATE(YEAR(BS1),MONTH(BS1)+1,1)</f>
        <v/>
      </c>
      <c r="BU1" s="42">
        <f>DATE(YEAR(BT1),MONTH(BT1)+1,1)</f>
        <v/>
      </c>
      <c r="BV1" s="42">
        <f>DATE(YEAR(BU1),MONTH(BU1)+1,1)</f>
        <v/>
      </c>
      <c r="BW1" s="42">
        <f>DATE(YEAR(BV1),MONTH(BV1)+1,1)</f>
        <v/>
      </c>
      <c r="BX1" s="42">
        <f>DATE(YEAR(BW1),MONTH(BW1)+1,1)</f>
        <v/>
      </c>
      <c r="BY1" s="42">
        <f>DATE(YEAR(BX1),MONTH(BX1)+1,1)</f>
        <v/>
      </c>
      <c r="BZ1" s="42">
        <f>DATE(YEAR(BY1),MONTH(BY1)+1,1)</f>
        <v/>
      </c>
      <c r="CA1" s="42">
        <f>DATE(YEAR(BZ1),MONTH(BZ1)+1,1)</f>
        <v/>
      </c>
    </row>
    <row r="2">
      <c r="A2" s="21" t="inlineStr">
        <is>
          <t>G041.002</t>
        </is>
      </c>
      <c r="B2" s="21" t="inlineStr">
        <is>
          <t>1030-1070-280</t>
        </is>
      </c>
      <c r="C2" s="21" t="inlineStr">
        <is>
          <t>ALVENARIA</t>
        </is>
      </c>
      <c r="D2" s="37">
        <f>'ALVENARIA'!$K$5</f>
        <v/>
      </c>
      <c r="E2" s="12">
        <f>SUM(H2:CA2)</f>
        <v/>
      </c>
      <c r="F2" s="12">
        <f>IF(D2="","",D2-E2)</f>
        <v/>
      </c>
      <c r="H2" s="43">
        <f>'ALVENARIA'!E5</f>
        <v/>
      </c>
      <c r="I2" s="43">
        <f>'ALVENARIA'!E6</f>
        <v/>
      </c>
      <c r="J2" s="43">
        <f>'ALVENARIA'!E7</f>
        <v/>
      </c>
      <c r="K2" s="43">
        <f>'ALVENARIA'!E8</f>
        <v/>
      </c>
      <c r="L2" s="43">
        <f>'ALVENARIA'!E9</f>
        <v/>
      </c>
      <c r="M2" s="43">
        <f>'ALVENARIA'!E10</f>
        <v/>
      </c>
      <c r="N2" s="43">
        <f>'ALVENARIA'!E11</f>
        <v/>
      </c>
      <c r="O2" s="43">
        <f>'ALVENARIA'!E12</f>
        <v/>
      </c>
      <c r="P2" s="43">
        <f>'ALVENARIA'!E13</f>
        <v/>
      </c>
      <c r="Q2" s="43">
        <f>'ALVENARIA'!E14</f>
        <v/>
      </c>
      <c r="R2" s="43">
        <f>'ALVENARIA'!E15</f>
        <v/>
      </c>
      <c r="S2" s="43">
        <f>'ALVENARIA'!E16</f>
        <v/>
      </c>
      <c r="T2" s="43">
        <f>'ALVENARIA'!E17</f>
        <v/>
      </c>
      <c r="U2" s="43">
        <f>'ALVENARIA'!E18</f>
        <v/>
      </c>
      <c r="V2" s="43">
        <f>'ALVENARIA'!E19</f>
        <v/>
      </c>
      <c r="W2" s="43">
        <f>'ALVENARIA'!E20</f>
        <v/>
      </c>
      <c r="X2" s="43">
        <f>'ALVENARIA'!E21</f>
        <v/>
      </c>
      <c r="Y2" s="43">
        <f>'ALVENARIA'!E22</f>
        <v/>
      </c>
      <c r="Z2" s="43">
        <f>'ALVENARIA'!E23</f>
        <v/>
      </c>
      <c r="AA2" s="43">
        <f>'ALVENARIA'!E24</f>
        <v/>
      </c>
      <c r="AB2" s="43">
        <f>'ALVENARIA'!E25</f>
        <v/>
      </c>
      <c r="AC2" s="43">
        <f>'ALVENARIA'!E26</f>
        <v/>
      </c>
      <c r="AD2" s="43">
        <f>'ALVENARIA'!E27</f>
        <v/>
      </c>
      <c r="AE2" s="43">
        <f>'ALVENARIA'!E28</f>
        <v/>
      </c>
      <c r="AF2" s="43">
        <f>'ALVENARIA'!E29</f>
        <v/>
      </c>
      <c r="AG2" s="43">
        <f>'ALVENARIA'!E30</f>
        <v/>
      </c>
      <c r="AH2" s="43">
        <f>'ALVENARIA'!E31</f>
        <v/>
      </c>
      <c r="AI2" s="43">
        <f>'ALVENARIA'!E32</f>
        <v/>
      </c>
      <c r="AJ2" s="43">
        <f>'ALVENARIA'!E33</f>
        <v/>
      </c>
      <c r="AK2" s="43">
        <f>'ALVENARIA'!E34</f>
        <v/>
      </c>
      <c r="AL2" s="43">
        <f>'ALVENARIA'!E35</f>
        <v/>
      </c>
      <c r="AM2" s="43">
        <f>'ALVENARIA'!E36</f>
        <v/>
      </c>
      <c r="AN2" s="43">
        <f>'ALVENARIA'!E37</f>
        <v/>
      </c>
      <c r="AO2" s="43">
        <f>'ALVENARIA'!E38</f>
        <v/>
      </c>
      <c r="AP2" s="43">
        <f>'ALVENARIA'!E39</f>
        <v/>
      </c>
      <c r="AQ2" s="43">
        <f>'ALVENARIA'!E40</f>
        <v/>
      </c>
      <c r="AR2" s="43">
        <f>'ALVENARIA'!E41</f>
        <v/>
      </c>
      <c r="AS2" s="43">
        <f>'ALVENARIA'!E42</f>
        <v/>
      </c>
      <c r="AT2" s="43">
        <f>'ALVENARIA'!E43</f>
        <v/>
      </c>
      <c r="AU2" s="43">
        <f>'ALVENARIA'!E44</f>
        <v/>
      </c>
      <c r="AV2" s="43">
        <f>'ALVENARIA'!E45</f>
        <v/>
      </c>
      <c r="AW2" s="43">
        <f>'ALVENARIA'!E46</f>
        <v/>
      </c>
      <c r="AX2" s="43">
        <f>'ALVENARIA'!E47</f>
        <v/>
      </c>
      <c r="AY2" s="43">
        <f>'ALVENARIA'!E48</f>
        <v/>
      </c>
      <c r="AZ2" s="43">
        <f>'ALVENARIA'!E49</f>
        <v/>
      </c>
      <c r="BA2" s="43">
        <f>'ALVENARIA'!E50</f>
        <v/>
      </c>
      <c r="BB2" s="43">
        <f>'ALVENARIA'!E51</f>
        <v/>
      </c>
      <c r="BC2" s="43">
        <f>'ALVENARIA'!E52</f>
        <v/>
      </c>
      <c r="BD2" s="43">
        <f>'ALVENARIA'!E53</f>
        <v/>
      </c>
      <c r="BE2" s="43">
        <f>'ALVENARIA'!E54</f>
        <v/>
      </c>
      <c r="BF2" s="43">
        <f>'ALVENARIA'!E55</f>
        <v/>
      </c>
      <c r="BG2" s="43">
        <f>'ALVENARIA'!E56</f>
        <v/>
      </c>
      <c r="BH2" s="43">
        <f>'ALVENARIA'!E57</f>
        <v/>
      </c>
      <c r="BI2" s="43">
        <f>'ALVENARIA'!E58</f>
        <v/>
      </c>
      <c r="BJ2" s="43">
        <f>'ALVENARIA'!E59</f>
        <v/>
      </c>
      <c r="BK2" s="43">
        <f>'ALVENARIA'!E60</f>
        <v/>
      </c>
      <c r="BL2" s="43">
        <f>'ALVENARIA'!E61</f>
        <v/>
      </c>
      <c r="BM2" s="43">
        <f>'ALVENARIA'!E62</f>
        <v/>
      </c>
      <c r="BN2" s="43">
        <f>'ALVENARIA'!E63</f>
        <v/>
      </c>
      <c r="BO2" s="43">
        <f>'ALVENARIA'!E64</f>
        <v/>
      </c>
      <c r="BP2" s="43">
        <f>'ALVENARIA'!E65</f>
        <v/>
      </c>
      <c r="BQ2" s="43">
        <f>'ALVENARIA'!E66</f>
        <v/>
      </c>
      <c r="BR2" s="43">
        <f>'ALVENARIA'!E67</f>
        <v/>
      </c>
      <c r="BS2" s="43">
        <f>'ALVENARIA'!E68</f>
        <v/>
      </c>
      <c r="BT2" s="43">
        <f>'ALVENARIA'!E69</f>
        <v/>
      </c>
      <c r="BU2" s="43">
        <f>'ALVENARIA'!E70</f>
        <v/>
      </c>
      <c r="BV2" s="43">
        <f>'ALVENARIA'!E71</f>
        <v/>
      </c>
      <c r="BW2" s="43">
        <f>'ALVENARIA'!E72</f>
        <v/>
      </c>
      <c r="BX2" s="43">
        <f>'ALVENARIA'!E73</f>
        <v/>
      </c>
      <c r="BY2" s="43">
        <f>'ALVENARIA'!E74</f>
        <v/>
      </c>
      <c r="BZ2" s="43">
        <f>'ALVENARIA'!E75</f>
        <v/>
      </c>
      <c r="CA2" s="43">
        <f>'ALVENARIA'!E76</f>
        <v/>
      </c>
    </row>
    <row r="3">
      <c r="A3" s="21" t="inlineStr">
        <is>
          <t>G041.002</t>
        </is>
      </c>
      <c r="B3" s="21" t="inlineStr">
        <is>
          <t>1030-1070-140</t>
        </is>
      </c>
      <c r="C3" s="21" t="inlineStr">
        <is>
          <t>BARRACAO DE OBRA</t>
        </is>
      </c>
      <c r="D3" s="37">
        <f>'BARRACÃO DE OBRA'!$K$5</f>
        <v/>
      </c>
      <c r="E3" s="12">
        <f>SUM(H3:CA3)</f>
        <v/>
      </c>
      <c r="F3" s="12">
        <f>IF(D3="","",D3-E3)</f>
        <v/>
      </c>
      <c r="H3" s="43">
        <f>'BARRACÃO DE OBRA'!E5</f>
        <v/>
      </c>
      <c r="I3" s="43">
        <f>'BARRACÃO DE OBRA'!E6</f>
        <v/>
      </c>
      <c r="J3" s="43">
        <f>'BARRACÃO DE OBRA'!E7</f>
        <v/>
      </c>
      <c r="K3" s="43">
        <f>'BARRACÃO DE OBRA'!E8</f>
        <v/>
      </c>
      <c r="L3" s="43">
        <f>'BARRACÃO DE OBRA'!E9</f>
        <v/>
      </c>
      <c r="M3" s="43">
        <f>'BARRACÃO DE OBRA'!E10</f>
        <v/>
      </c>
      <c r="N3" s="43">
        <f>'BARRACÃO DE OBRA'!E11</f>
        <v/>
      </c>
      <c r="O3" s="43">
        <f>'BARRACÃO DE OBRA'!E12</f>
        <v/>
      </c>
      <c r="P3" s="43">
        <f>'BARRACÃO DE OBRA'!E13</f>
        <v/>
      </c>
      <c r="Q3" s="43">
        <f>'BARRACÃO DE OBRA'!E14</f>
        <v/>
      </c>
      <c r="R3" s="43">
        <f>'BARRACÃO DE OBRA'!E15</f>
        <v/>
      </c>
      <c r="S3" s="43">
        <f>'BARRACÃO DE OBRA'!E16</f>
        <v/>
      </c>
      <c r="T3" s="43">
        <f>'BARRACÃO DE OBRA'!E17</f>
        <v/>
      </c>
      <c r="U3" s="43">
        <f>'BARRACÃO DE OBRA'!E18</f>
        <v/>
      </c>
      <c r="V3" s="43">
        <f>'BARRACÃO DE OBRA'!E19</f>
        <v/>
      </c>
      <c r="W3" s="43">
        <f>'BARRACÃO DE OBRA'!E20</f>
        <v/>
      </c>
      <c r="X3" s="43">
        <f>'BARRACÃO DE OBRA'!E21</f>
        <v/>
      </c>
      <c r="Y3" s="43">
        <f>'BARRACÃO DE OBRA'!E22</f>
        <v/>
      </c>
      <c r="Z3" s="43">
        <f>'BARRACÃO DE OBRA'!E23</f>
        <v/>
      </c>
      <c r="AA3" s="43">
        <f>'BARRACÃO DE OBRA'!E24</f>
        <v/>
      </c>
      <c r="AB3" s="43">
        <f>'BARRACÃO DE OBRA'!E25</f>
        <v/>
      </c>
      <c r="AC3" s="43">
        <f>'BARRACÃO DE OBRA'!E26</f>
        <v/>
      </c>
      <c r="AD3" s="43">
        <f>'BARRACÃO DE OBRA'!E27</f>
        <v/>
      </c>
      <c r="AE3" s="43">
        <f>'BARRACÃO DE OBRA'!E28</f>
        <v/>
      </c>
      <c r="AF3" s="43">
        <f>'BARRACÃO DE OBRA'!E29</f>
        <v/>
      </c>
      <c r="AG3" s="43">
        <f>'BARRACÃO DE OBRA'!E30</f>
        <v/>
      </c>
      <c r="AH3" s="43">
        <f>'BARRACÃO DE OBRA'!E31</f>
        <v/>
      </c>
      <c r="AI3" s="43">
        <f>'BARRACÃO DE OBRA'!E32</f>
        <v/>
      </c>
      <c r="AJ3" s="43">
        <f>'BARRACÃO DE OBRA'!E33</f>
        <v/>
      </c>
      <c r="AK3" s="43">
        <f>'BARRACÃO DE OBRA'!E34</f>
        <v/>
      </c>
      <c r="AL3" s="43">
        <f>'BARRACÃO DE OBRA'!E35</f>
        <v/>
      </c>
      <c r="AM3" s="43">
        <f>'BARRACÃO DE OBRA'!E36</f>
        <v/>
      </c>
      <c r="AN3" s="43">
        <f>'BARRACÃO DE OBRA'!E37</f>
        <v/>
      </c>
      <c r="AO3" s="43">
        <f>'BARRACÃO DE OBRA'!E38</f>
        <v/>
      </c>
      <c r="AP3" s="43">
        <f>'BARRACÃO DE OBRA'!E39</f>
        <v/>
      </c>
      <c r="AQ3" s="43">
        <f>'BARRACÃO DE OBRA'!E40</f>
        <v/>
      </c>
      <c r="AR3" s="43">
        <f>'BARRACÃO DE OBRA'!E41</f>
        <v/>
      </c>
      <c r="AS3" s="43">
        <f>'BARRACÃO DE OBRA'!E42</f>
        <v/>
      </c>
      <c r="AT3" s="43">
        <f>'BARRACÃO DE OBRA'!E43</f>
        <v/>
      </c>
      <c r="AU3" s="43">
        <f>'BARRACÃO DE OBRA'!E44</f>
        <v/>
      </c>
      <c r="AV3" s="43">
        <f>'BARRACÃO DE OBRA'!E45</f>
        <v/>
      </c>
      <c r="AW3" s="43">
        <f>'BARRACÃO DE OBRA'!E46</f>
        <v/>
      </c>
      <c r="AX3" s="43">
        <f>'BARRACÃO DE OBRA'!E47</f>
        <v/>
      </c>
      <c r="AY3" s="43">
        <f>'BARRACÃO DE OBRA'!E48</f>
        <v/>
      </c>
      <c r="AZ3" s="43">
        <f>'BARRACÃO DE OBRA'!E49</f>
        <v/>
      </c>
      <c r="BA3" s="43">
        <f>'BARRACÃO DE OBRA'!E50</f>
        <v/>
      </c>
      <c r="BB3" s="43">
        <f>'BARRACÃO DE OBRA'!E51</f>
        <v/>
      </c>
      <c r="BC3" s="43">
        <f>'BARRACÃO DE OBRA'!E52</f>
        <v/>
      </c>
      <c r="BD3" s="43">
        <f>'BARRACÃO DE OBRA'!E53</f>
        <v/>
      </c>
      <c r="BE3" s="43">
        <f>'BARRACÃO DE OBRA'!E54</f>
        <v/>
      </c>
      <c r="BF3" s="43">
        <f>'BARRACÃO DE OBRA'!E55</f>
        <v/>
      </c>
      <c r="BG3" s="43">
        <f>'BARRACÃO DE OBRA'!E56</f>
        <v/>
      </c>
      <c r="BH3" s="43">
        <f>'BARRACÃO DE OBRA'!E57</f>
        <v/>
      </c>
      <c r="BI3" s="43">
        <f>'BARRACÃO DE OBRA'!E58</f>
        <v/>
      </c>
      <c r="BJ3" s="43">
        <f>'BARRACÃO DE OBRA'!E59</f>
        <v/>
      </c>
      <c r="BK3" s="43">
        <f>'BARRACÃO DE OBRA'!E60</f>
        <v/>
      </c>
      <c r="BL3" s="43">
        <f>'BARRACÃO DE OBRA'!E61</f>
        <v/>
      </c>
      <c r="BM3" s="43">
        <f>'BARRACÃO DE OBRA'!E62</f>
        <v/>
      </c>
      <c r="BN3" s="43">
        <f>'BARRACÃO DE OBRA'!E63</f>
        <v/>
      </c>
      <c r="BO3" s="43">
        <f>'BARRACÃO DE OBRA'!E64</f>
        <v/>
      </c>
      <c r="BP3" s="43">
        <f>'BARRACÃO DE OBRA'!E65</f>
        <v/>
      </c>
      <c r="BQ3" s="43">
        <f>'BARRACÃO DE OBRA'!E66</f>
        <v/>
      </c>
      <c r="BR3" s="43">
        <f>'BARRACÃO DE OBRA'!E67</f>
        <v/>
      </c>
      <c r="BS3" s="43">
        <f>'BARRACÃO DE OBRA'!E68</f>
        <v/>
      </c>
      <c r="BT3" s="43">
        <f>'BARRACÃO DE OBRA'!E69</f>
        <v/>
      </c>
      <c r="BU3" s="43">
        <f>'BARRACÃO DE OBRA'!E70</f>
        <v/>
      </c>
      <c r="BV3" s="43">
        <f>'BARRACÃO DE OBRA'!E71</f>
        <v/>
      </c>
      <c r="BW3" s="43">
        <f>'BARRACÃO DE OBRA'!E72</f>
        <v/>
      </c>
      <c r="BX3" s="43">
        <f>'BARRACÃO DE OBRA'!E73</f>
        <v/>
      </c>
      <c r="BY3" s="43">
        <f>'BARRACÃO DE OBRA'!E74</f>
        <v/>
      </c>
      <c r="BZ3" s="43">
        <f>'BARRACÃO DE OBRA'!E75</f>
        <v/>
      </c>
      <c r="CA3" s="43">
        <f>'BARRACÃO DE OBRA'!E76</f>
        <v/>
      </c>
    </row>
    <row r="4">
      <c r="A4" s="21" t="inlineStr">
        <is>
          <t>G041.002</t>
        </is>
      </c>
      <c r="B4" s="21" t="inlineStr">
        <is>
          <t>1030-1070-160</t>
        </is>
      </c>
      <c r="C4" s="21" t="inlineStr">
        <is>
          <t>CONSULTORIAS (OBRAS)</t>
        </is>
      </c>
      <c r="D4" s="37">
        <f>'CONSULTORIAS'!$K$5</f>
        <v/>
      </c>
      <c r="E4" s="12">
        <f>SUM(H4:CA4)</f>
        <v/>
      </c>
      <c r="F4" s="12">
        <f>IF(D4="","",D4-E4)</f>
        <v/>
      </c>
      <c r="H4" s="43">
        <f>'CONSULTORIAS'!E5</f>
        <v/>
      </c>
      <c r="I4" s="43">
        <f>'CONSULTORIAS'!E6</f>
        <v/>
      </c>
      <c r="J4" s="43">
        <f>'CONSULTORIAS'!E7</f>
        <v/>
      </c>
      <c r="K4" s="43">
        <f>'CONSULTORIAS'!E8</f>
        <v/>
      </c>
      <c r="L4" s="43">
        <f>'CONSULTORIAS'!E9</f>
        <v/>
      </c>
      <c r="M4" s="43">
        <f>'CONSULTORIAS'!E10</f>
        <v/>
      </c>
      <c r="N4" s="43">
        <f>'CONSULTORIAS'!E11</f>
        <v/>
      </c>
      <c r="O4" s="43">
        <f>'CONSULTORIAS'!E12</f>
        <v/>
      </c>
      <c r="P4" s="43">
        <f>'CONSULTORIAS'!E13</f>
        <v/>
      </c>
      <c r="Q4" s="43">
        <f>'CONSULTORIAS'!E14</f>
        <v/>
      </c>
      <c r="R4" s="43">
        <f>'CONSULTORIAS'!E15</f>
        <v/>
      </c>
      <c r="S4" s="43">
        <f>'CONSULTORIAS'!E16</f>
        <v/>
      </c>
      <c r="T4" s="43">
        <f>'CONSULTORIAS'!E17</f>
        <v/>
      </c>
      <c r="U4" s="43">
        <f>'CONSULTORIAS'!E18</f>
        <v/>
      </c>
      <c r="V4" s="43">
        <f>'CONSULTORIAS'!E19</f>
        <v/>
      </c>
      <c r="W4" s="43">
        <f>'CONSULTORIAS'!E20</f>
        <v/>
      </c>
      <c r="X4" s="43">
        <f>'CONSULTORIAS'!E21</f>
        <v/>
      </c>
      <c r="Y4" s="43">
        <f>'CONSULTORIAS'!E22</f>
        <v/>
      </c>
      <c r="Z4" s="43">
        <f>'CONSULTORIAS'!E23</f>
        <v/>
      </c>
      <c r="AA4" s="43">
        <f>'CONSULTORIAS'!E24</f>
        <v/>
      </c>
      <c r="AB4" s="43">
        <f>'CONSULTORIAS'!E25</f>
        <v/>
      </c>
      <c r="AC4" s="43">
        <f>'CONSULTORIAS'!E26</f>
        <v/>
      </c>
      <c r="AD4" s="43">
        <f>'CONSULTORIAS'!E27</f>
        <v/>
      </c>
      <c r="AE4" s="43">
        <f>'CONSULTORIAS'!E28</f>
        <v/>
      </c>
      <c r="AF4" s="43">
        <f>'CONSULTORIAS'!E29</f>
        <v/>
      </c>
      <c r="AG4" s="43">
        <f>'CONSULTORIAS'!E30</f>
        <v/>
      </c>
      <c r="AH4" s="43">
        <f>'CONSULTORIAS'!E31</f>
        <v/>
      </c>
      <c r="AI4" s="43">
        <f>'CONSULTORIAS'!E32</f>
        <v/>
      </c>
      <c r="AJ4" s="43">
        <f>'CONSULTORIAS'!E33</f>
        <v/>
      </c>
      <c r="AK4" s="43">
        <f>'CONSULTORIAS'!E34</f>
        <v/>
      </c>
      <c r="AL4" s="43">
        <f>'CONSULTORIAS'!E35</f>
        <v/>
      </c>
      <c r="AM4" s="43">
        <f>'CONSULTORIAS'!E36</f>
        <v/>
      </c>
      <c r="AN4" s="43">
        <f>'CONSULTORIAS'!E37</f>
        <v/>
      </c>
      <c r="AO4" s="43">
        <f>'CONSULTORIAS'!E38</f>
        <v/>
      </c>
      <c r="AP4" s="43">
        <f>'CONSULTORIAS'!E39</f>
        <v/>
      </c>
      <c r="AQ4" s="43">
        <f>'CONSULTORIAS'!E40</f>
        <v/>
      </c>
      <c r="AR4" s="43">
        <f>'CONSULTORIAS'!E41</f>
        <v/>
      </c>
      <c r="AS4" s="43">
        <f>'CONSULTORIAS'!E42</f>
        <v/>
      </c>
      <c r="AT4" s="43">
        <f>'CONSULTORIAS'!E43</f>
        <v/>
      </c>
      <c r="AU4" s="43">
        <f>'CONSULTORIAS'!E44</f>
        <v/>
      </c>
      <c r="AV4" s="43">
        <f>'CONSULTORIAS'!E45</f>
        <v/>
      </c>
      <c r="AW4" s="43">
        <f>'CONSULTORIAS'!E46</f>
        <v/>
      </c>
      <c r="AX4" s="43">
        <f>'CONSULTORIAS'!E47</f>
        <v/>
      </c>
      <c r="AY4" s="43">
        <f>'CONSULTORIAS'!E48</f>
        <v/>
      </c>
      <c r="AZ4" s="43">
        <f>'CONSULTORIAS'!E49</f>
        <v/>
      </c>
      <c r="BA4" s="43">
        <f>'CONSULTORIAS'!E50</f>
        <v/>
      </c>
      <c r="BB4" s="43">
        <f>'CONSULTORIAS'!E51</f>
        <v/>
      </c>
      <c r="BC4" s="43">
        <f>'CONSULTORIAS'!E52</f>
        <v/>
      </c>
      <c r="BD4" s="43">
        <f>'CONSULTORIAS'!E53</f>
        <v/>
      </c>
      <c r="BE4" s="43">
        <f>'CONSULTORIAS'!E54</f>
        <v/>
      </c>
      <c r="BF4" s="43">
        <f>'CONSULTORIAS'!E55</f>
        <v/>
      </c>
      <c r="BG4" s="43">
        <f>'CONSULTORIAS'!E56</f>
        <v/>
      </c>
      <c r="BH4" s="43">
        <f>'CONSULTORIAS'!E57</f>
        <v/>
      </c>
      <c r="BI4" s="43">
        <f>'CONSULTORIAS'!E58</f>
        <v/>
      </c>
      <c r="BJ4" s="43">
        <f>'CONSULTORIAS'!E59</f>
        <v/>
      </c>
      <c r="BK4" s="43">
        <f>'CONSULTORIAS'!E60</f>
        <v/>
      </c>
      <c r="BL4" s="43">
        <f>'CONSULTORIAS'!E61</f>
        <v/>
      </c>
      <c r="BM4" s="43">
        <f>'CONSULTORIAS'!E62</f>
        <v/>
      </c>
      <c r="BN4" s="43">
        <f>'CONSULTORIAS'!E63</f>
        <v/>
      </c>
      <c r="BO4" s="43">
        <f>'CONSULTORIAS'!E64</f>
        <v/>
      </c>
      <c r="BP4" s="43">
        <f>'CONSULTORIAS'!E65</f>
        <v/>
      </c>
      <c r="BQ4" s="43">
        <f>'CONSULTORIAS'!E66</f>
        <v/>
      </c>
      <c r="BR4" s="43">
        <f>'CONSULTORIAS'!E67</f>
        <v/>
      </c>
      <c r="BS4" s="43">
        <f>'CONSULTORIAS'!E68</f>
        <v/>
      </c>
      <c r="BT4" s="43">
        <f>'CONSULTORIAS'!E69</f>
        <v/>
      </c>
      <c r="BU4" s="43">
        <f>'CONSULTORIAS'!E70</f>
        <v/>
      </c>
      <c r="BV4" s="43">
        <f>'CONSULTORIAS'!E71</f>
        <v/>
      </c>
      <c r="BW4" s="43">
        <f>'CONSULTORIAS'!E72</f>
        <v/>
      </c>
      <c r="BX4" s="43">
        <f>'CONSULTORIAS'!E73</f>
        <v/>
      </c>
      <c r="BY4" s="43">
        <f>'CONSULTORIAS'!E74</f>
        <v/>
      </c>
      <c r="BZ4" s="43">
        <f>'CONSULTORIAS'!E75</f>
        <v/>
      </c>
      <c r="CA4" s="43">
        <f>'CONSULTORIAS'!E76</f>
        <v/>
      </c>
    </row>
    <row r="5">
      <c r="A5" s="21" t="inlineStr">
        <is>
          <t>G041.002</t>
        </is>
      </c>
      <c r="B5" s="21" t="inlineStr">
        <is>
          <t>1030-1070-170</t>
        </is>
      </c>
      <c r="C5" s="21" t="inlineStr">
        <is>
          <t>CONSUMO DE ÁGUA, ENERGIA, ETC.</t>
        </is>
      </c>
      <c r="D5" s="37">
        <f>'CONSUMOS'!$K$5</f>
        <v/>
      </c>
      <c r="E5" s="12">
        <f>SUM(H5:CA5)</f>
        <v/>
      </c>
      <c r="F5" s="12">
        <f>IF(D5="","",D5-E5)</f>
        <v/>
      </c>
      <c r="H5" s="43">
        <f>'CONSUMOS'!E5</f>
        <v/>
      </c>
      <c r="I5" s="43">
        <f>'CONSUMOS'!E6</f>
        <v/>
      </c>
      <c r="J5" s="43">
        <f>'CONSUMOS'!E7</f>
        <v/>
      </c>
      <c r="K5" s="43">
        <f>'CONSUMOS'!E8</f>
        <v/>
      </c>
      <c r="L5" s="43">
        <f>'CONSUMOS'!E9</f>
        <v/>
      </c>
      <c r="M5" s="43">
        <f>'CONSUMOS'!E10</f>
        <v/>
      </c>
      <c r="N5" s="43">
        <f>'CONSUMOS'!E11</f>
        <v/>
      </c>
      <c r="O5" s="43">
        <f>'CONSUMOS'!E12</f>
        <v/>
      </c>
      <c r="P5" s="43">
        <f>'CONSUMOS'!E13</f>
        <v/>
      </c>
      <c r="Q5" s="43">
        <f>'CONSUMOS'!E14</f>
        <v/>
      </c>
      <c r="R5" s="43">
        <f>'CONSUMOS'!E15</f>
        <v/>
      </c>
      <c r="S5" s="43">
        <f>'CONSUMOS'!E16</f>
        <v/>
      </c>
      <c r="T5" s="43">
        <f>'CONSUMOS'!E17</f>
        <v/>
      </c>
      <c r="U5" s="43">
        <f>'CONSUMOS'!E18</f>
        <v/>
      </c>
      <c r="V5" s="43">
        <f>'CONSUMOS'!E19</f>
        <v/>
      </c>
      <c r="W5" s="43">
        <f>'CONSUMOS'!E20</f>
        <v/>
      </c>
      <c r="X5" s="43">
        <f>'CONSUMOS'!E21</f>
        <v/>
      </c>
      <c r="Y5" s="43">
        <f>'CONSUMOS'!E22</f>
        <v/>
      </c>
      <c r="Z5" s="43">
        <f>'CONSUMOS'!E23</f>
        <v/>
      </c>
      <c r="AA5" s="43">
        <f>'CONSUMOS'!E24</f>
        <v/>
      </c>
      <c r="AB5" s="43">
        <f>'CONSUMOS'!E25</f>
        <v/>
      </c>
      <c r="AC5" s="43">
        <f>'CONSUMOS'!E26</f>
        <v/>
      </c>
      <c r="AD5" s="43">
        <f>'CONSUMOS'!E27</f>
        <v/>
      </c>
      <c r="AE5" s="43">
        <f>'CONSUMOS'!E28</f>
        <v/>
      </c>
      <c r="AF5" s="43">
        <f>'CONSUMOS'!E29</f>
        <v/>
      </c>
      <c r="AG5" s="43">
        <f>'CONSUMOS'!E30</f>
        <v/>
      </c>
      <c r="AH5" s="43">
        <f>'CONSUMOS'!E31</f>
        <v/>
      </c>
      <c r="AI5" s="43">
        <f>'CONSUMOS'!E32</f>
        <v/>
      </c>
      <c r="AJ5" s="43">
        <f>'CONSUMOS'!E33</f>
        <v/>
      </c>
      <c r="AK5" s="43">
        <f>'CONSUMOS'!E34</f>
        <v/>
      </c>
      <c r="AL5" s="43">
        <f>'CONSUMOS'!E35</f>
        <v/>
      </c>
      <c r="AM5" s="43">
        <f>'CONSUMOS'!E36</f>
        <v/>
      </c>
      <c r="AN5" s="43">
        <f>'CONSUMOS'!E37</f>
        <v/>
      </c>
      <c r="AO5" s="43">
        <f>'CONSUMOS'!E38</f>
        <v/>
      </c>
      <c r="AP5" s="43">
        <f>'CONSUMOS'!E39</f>
        <v/>
      </c>
      <c r="AQ5" s="43">
        <f>'CONSUMOS'!E40</f>
        <v/>
      </c>
      <c r="AR5" s="43">
        <f>'CONSUMOS'!E41</f>
        <v/>
      </c>
      <c r="AS5" s="43">
        <f>'CONSUMOS'!E42</f>
        <v/>
      </c>
      <c r="AT5" s="43">
        <f>'CONSUMOS'!E43</f>
        <v/>
      </c>
      <c r="AU5" s="43">
        <f>'CONSUMOS'!E44</f>
        <v/>
      </c>
      <c r="AV5" s="43">
        <f>'CONSUMOS'!E45</f>
        <v/>
      </c>
      <c r="AW5" s="43">
        <f>'CONSUMOS'!E46</f>
        <v/>
      </c>
      <c r="AX5" s="43">
        <f>'CONSUMOS'!E47</f>
        <v/>
      </c>
      <c r="AY5" s="43">
        <f>'CONSUMOS'!E48</f>
        <v/>
      </c>
      <c r="AZ5" s="43">
        <f>'CONSUMOS'!E49</f>
        <v/>
      </c>
      <c r="BA5" s="43">
        <f>'CONSUMOS'!E50</f>
        <v/>
      </c>
      <c r="BB5" s="43">
        <f>'CONSUMOS'!E51</f>
        <v/>
      </c>
      <c r="BC5" s="43">
        <f>'CONSUMOS'!E52</f>
        <v/>
      </c>
      <c r="BD5" s="43">
        <f>'CONSUMOS'!E53</f>
        <v/>
      </c>
      <c r="BE5" s="43">
        <f>'CONSUMOS'!E54</f>
        <v/>
      </c>
      <c r="BF5" s="43">
        <f>'CONSUMOS'!E55</f>
        <v/>
      </c>
      <c r="BG5" s="43">
        <f>'CONSUMOS'!E56</f>
        <v/>
      </c>
      <c r="BH5" s="43">
        <f>'CONSUMOS'!E57</f>
        <v/>
      </c>
      <c r="BI5" s="43">
        <f>'CONSUMOS'!E58</f>
        <v/>
      </c>
      <c r="BJ5" s="43">
        <f>'CONSUMOS'!E59</f>
        <v/>
      </c>
      <c r="BK5" s="43">
        <f>'CONSUMOS'!E60</f>
        <v/>
      </c>
      <c r="BL5" s="43">
        <f>'CONSUMOS'!E61</f>
        <v/>
      </c>
      <c r="BM5" s="43">
        <f>'CONSUMOS'!E62</f>
        <v/>
      </c>
      <c r="BN5" s="43">
        <f>'CONSUMOS'!E63</f>
        <v/>
      </c>
      <c r="BO5" s="43">
        <f>'CONSUMOS'!E64</f>
        <v/>
      </c>
      <c r="BP5" s="43">
        <f>'CONSUMOS'!E65</f>
        <v/>
      </c>
      <c r="BQ5" s="43">
        <f>'CONSUMOS'!E66</f>
        <v/>
      </c>
      <c r="BR5" s="43">
        <f>'CONSUMOS'!E67</f>
        <v/>
      </c>
      <c r="BS5" s="43">
        <f>'CONSUMOS'!E68</f>
        <v/>
      </c>
      <c r="BT5" s="43">
        <f>'CONSUMOS'!E69</f>
        <v/>
      </c>
      <c r="BU5" s="43">
        <f>'CONSUMOS'!E70</f>
        <v/>
      </c>
      <c r="BV5" s="43">
        <f>'CONSUMOS'!E71</f>
        <v/>
      </c>
      <c r="BW5" s="43">
        <f>'CONSUMOS'!E72</f>
        <v/>
      </c>
      <c r="BX5" s="43">
        <f>'CONSUMOS'!E73</f>
        <v/>
      </c>
      <c r="BY5" s="43">
        <f>'CONSUMOS'!E74</f>
        <v/>
      </c>
      <c r="BZ5" s="43">
        <f>'CONSUMOS'!E75</f>
        <v/>
      </c>
      <c r="CA5" s="43">
        <f>'CONSUMOS'!E76</f>
        <v/>
      </c>
    </row>
    <row r="6">
      <c r="A6" s="21" t="inlineStr">
        <is>
          <t>G041.002</t>
        </is>
      </c>
      <c r="B6" s="21" t="inlineStr">
        <is>
          <t>1030-1070-190</t>
        </is>
      </c>
      <c r="C6" s="21" t="inlineStr">
        <is>
          <t>CONTENÇÃO</t>
        </is>
      </c>
      <c r="D6" s="37">
        <f>'CONTENÇÃO'!$K$5</f>
        <v/>
      </c>
      <c r="E6" s="12">
        <f>SUM(H6:CA6)</f>
        <v/>
      </c>
      <c r="F6" s="12">
        <f>IF(D6="","",D6-E6)</f>
        <v/>
      </c>
      <c r="H6" s="43">
        <f>'CONTENÇÃO'!E5</f>
        <v/>
      </c>
      <c r="I6" s="43">
        <f>'CONTENÇÃO'!E6</f>
        <v/>
      </c>
      <c r="J6" s="43">
        <f>'CONTENÇÃO'!E7</f>
        <v/>
      </c>
      <c r="K6" s="43">
        <f>'CONTENÇÃO'!E8</f>
        <v/>
      </c>
      <c r="L6" s="43">
        <f>'CONTENÇÃO'!E9</f>
        <v/>
      </c>
      <c r="M6" s="43">
        <f>'CONTENÇÃO'!E10</f>
        <v/>
      </c>
      <c r="N6" s="43">
        <f>'CONTENÇÃO'!E11</f>
        <v/>
      </c>
      <c r="O6" s="43">
        <f>'CONTENÇÃO'!E12</f>
        <v/>
      </c>
      <c r="P6" s="43">
        <f>'CONTENÇÃO'!E13</f>
        <v/>
      </c>
      <c r="Q6" s="43">
        <f>'CONTENÇÃO'!E14</f>
        <v/>
      </c>
      <c r="R6" s="43">
        <f>'CONTENÇÃO'!E15</f>
        <v/>
      </c>
      <c r="S6" s="43">
        <f>'CONTENÇÃO'!E16</f>
        <v/>
      </c>
      <c r="T6" s="43">
        <f>'CONTENÇÃO'!E17</f>
        <v/>
      </c>
      <c r="U6" s="43">
        <f>'CONTENÇÃO'!E18</f>
        <v/>
      </c>
      <c r="V6" s="43">
        <f>'CONTENÇÃO'!E19</f>
        <v/>
      </c>
      <c r="W6" s="43">
        <f>'CONTENÇÃO'!E20</f>
        <v/>
      </c>
      <c r="X6" s="43">
        <f>'CONTENÇÃO'!E21</f>
        <v/>
      </c>
      <c r="Y6" s="43">
        <f>'CONTENÇÃO'!E22</f>
        <v/>
      </c>
      <c r="Z6" s="43">
        <f>'CONTENÇÃO'!E23</f>
        <v/>
      </c>
      <c r="AA6" s="43">
        <f>'CONTENÇÃO'!E24</f>
        <v/>
      </c>
      <c r="AB6" s="43">
        <f>'CONTENÇÃO'!E25</f>
        <v/>
      </c>
      <c r="AC6" s="43">
        <f>'CONTENÇÃO'!E26</f>
        <v/>
      </c>
      <c r="AD6" s="43">
        <f>'CONTENÇÃO'!E27</f>
        <v/>
      </c>
      <c r="AE6" s="43">
        <f>'CONTENÇÃO'!E28</f>
        <v/>
      </c>
      <c r="AF6" s="43">
        <f>'CONTENÇÃO'!E29</f>
        <v/>
      </c>
      <c r="AG6" s="43">
        <f>'CONTENÇÃO'!E30</f>
        <v/>
      </c>
      <c r="AH6" s="43">
        <f>'CONTENÇÃO'!E31</f>
        <v/>
      </c>
      <c r="AI6" s="43">
        <f>'CONTENÇÃO'!E32</f>
        <v/>
      </c>
      <c r="AJ6" s="43">
        <f>'CONTENÇÃO'!E33</f>
        <v/>
      </c>
      <c r="AK6" s="43">
        <f>'CONTENÇÃO'!E34</f>
        <v/>
      </c>
      <c r="AL6" s="43">
        <f>'CONTENÇÃO'!E35</f>
        <v/>
      </c>
      <c r="AM6" s="43">
        <f>'CONTENÇÃO'!E36</f>
        <v/>
      </c>
      <c r="AN6" s="43">
        <f>'CONTENÇÃO'!E37</f>
        <v/>
      </c>
      <c r="AO6" s="43">
        <f>'CONTENÇÃO'!E38</f>
        <v/>
      </c>
      <c r="AP6" s="43">
        <f>'CONTENÇÃO'!E39</f>
        <v/>
      </c>
      <c r="AQ6" s="43">
        <f>'CONTENÇÃO'!E40</f>
        <v/>
      </c>
      <c r="AR6" s="43">
        <f>'CONTENÇÃO'!E41</f>
        <v/>
      </c>
      <c r="AS6" s="43">
        <f>'CONTENÇÃO'!E42</f>
        <v/>
      </c>
      <c r="AT6" s="43">
        <f>'CONTENÇÃO'!E43</f>
        <v/>
      </c>
      <c r="AU6" s="43">
        <f>'CONTENÇÃO'!E44</f>
        <v/>
      </c>
      <c r="AV6" s="43">
        <f>'CONTENÇÃO'!E45</f>
        <v/>
      </c>
      <c r="AW6" s="43">
        <f>'CONTENÇÃO'!E46</f>
        <v/>
      </c>
      <c r="AX6" s="43">
        <f>'CONTENÇÃO'!E47</f>
        <v/>
      </c>
      <c r="AY6" s="43">
        <f>'CONTENÇÃO'!E48</f>
        <v/>
      </c>
      <c r="AZ6" s="43">
        <f>'CONTENÇÃO'!E49</f>
        <v/>
      </c>
      <c r="BA6" s="43">
        <f>'CONTENÇÃO'!E50</f>
        <v/>
      </c>
      <c r="BB6" s="43">
        <f>'CONTENÇÃO'!E51</f>
        <v/>
      </c>
      <c r="BC6" s="43">
        <f>'CONTENÇÃO'!E52</f>
        <v/>
      </c>
      <c r="BD6" s="43">
        <f>'CONTENÇÃO'!E53</f>
        <v/>
      </c>
      <c r="BE6" s="43">
        <f>'CONTENÇÃO'!E54</f>
        <v/>
      </c>
      <c r="BF6" s="43">
        <f>'CONTENÇÃO'!E55</f>
        <v/>
      </c>
      <c r="BG6" s="43">
        <f>'CONTENÇÃO'!E56</f>
        <v/>
      </c>
      <c r="BH6" s="43">
        <f>'CONTENÇÃO'!E57</f>
        <v/>
      </c>
      <c r="BI6" s="43">
        <f>'CONTENÇÃO'!E58</f>
        <v/>
      </c>
      <c r="BJ6" s="43">
        <f>'CONTENÇÃO'!E59</f>
        <v/>
      </c>
      <c r="BK6" s="43">
        <f>'CONTENÇÃO'!E60</f>
        <v/>
      </c>
      <c r="BL6" s="43">
        <f>'CONTENÇÃO'!E61</f>
        <v/>
      </c>
      <c r="BM6" s="43">
        <f>'CONTENÇÃO'!E62</f>
        <v/>
      </c>
      <c r="BN6" s="43">
        <f>'CONTENÇÃO'!E63</f>
        <v/>
      </c>
      <c r="BO6" s="43">
        <f>'CONTENÇÃO'!E64</f>
        <v/>
      </c>
      <c r="BP6" s="43">
        <f>'CONTENÇÃO'!E65</f>
        <v/>
      </c>
      <c r="BQ6" s="43">
        <f>'CONTENÇÃO'!E66</f>
        <v/>
      </c>
      <c r="BR6" s="43">
        <f>'CONTENÇÃO'!E67</f>
        <v/>
      </c>
      <c r="BS6" s="43">
        <f>'CONTENÇÃO'!E68</f>
        <v/>
      </c>
      <c r="BT6" s="43">
        <f>'CONTENÇÃO'!E69</f>
        <v/>
      </c>
      <c r="BU6" s="43">
        <f>'CONTENÇÃO'!E70</f>
        <v/>
      </c>
      <c r="BV6" s="43">
        <f>'CONTENÇÃO'!E71</f>
        <v/>
      </c>
      <c r="BW6" s="43">
        <f>'CONTENÇÃO'!E72</f>
        <v/>
      </c>
      <c r="BX6" s="43">
        <f>'CONTENÇÃO'!E73</f>
        <v/>
      </c>
      <c r="BY6" s="43">
        <f>'CONTENÇÃO'!E74</f>
        <v/>
      </c>
      <c r="BZ6" s="43">
        <f>'CONTENÇÃO'!E75</f>
        <v/>
      </c>
      <c r="CA6" s="43">
        <f>'CONTENÇÃO'!E76</f>
        <v/>
      </c>
    </row>
    <row r="7">
      <c r="A7" s="21" t="inlineStr">
        <is>
          <t>G041.002</t>
        </is>
      </c>
      <c r="B7" s="21" t="inlineStr">
        <is>
          <t>1030-1070-510</t>
        </is>
      </c>
      <c r="C7" s="21" t="inlineStr">
        <is>
          <t>DEMOLIÇÃO</t>
        </is>
      </c>
      <c r="E7" s="12">
        <f>SUM(H7:CA7)</f>
        <v/>
      </c>
      <c r="F7" s="12">
        <f>IF(D7="","",D7-E7)</f>
        <v/>
      </c>
    </row>
    <row r="8">
      <c r="A8" s="21" t="inlineStr">
        <is>
          <t>G041.002</t>
        </is>
      </c>
      <c r="B8" s="21" t="inlineStr">
        <is>
          <t>1030-1070-550</t>
        </is>
      </c>
      <c r="C8" s="21" t="inlineStr">
        <is>
          <t>DEVOLUÇÃO DE CAIXA DE OBRA</t>
        </is>
      </c>
      <c r="E8" s="12">
        <f>SUM(H8:CA8)</f>
        <v/>
      </c>
      <c r="F8" s="12">
        <f>IF(D8="","",D8-E8)</f>
        <v/>
      </c>
    </row>
    <row r="9">
      <c r="A9" s="21" t="inlineStr">
        <is>
          <t>G041.002</t>
        </is>
      </c>
      <c r="B9" s="21" t="inlineStr">
        <is>
          <t>1030-1070-560</t>
        </is>
      </c>
      <c r="C9" s="21" t="inlineStr">
        <is>
          <t>DIVERSOS</t>
        </is>
      </c>
      <c r="D9" s="37">
        <f>'DIVERSOS'!$K$5</f>
        <v/>
      </c>
      <c r="E9" s="12">
        <f>SUM(H9:CA9)</f>
        <v/>
      </c>
      <c r="F9" s="12">
        <f>IF(D9="","",D9-E9)</f>
        <v/>
      </c>
      <c r="H9" s="43">
        <f>'DIVERSOS'!E5</f>
        <v/>
      </c>
      <c r="I9" s="43">
        <f>'DIVERSOS'!E6</f>
        <v/>
      </c>
      <c r="J9" s="43">
        <f>'DIVERSOS'!E7</f>
        <v/>
      </c>
      <c r="K9" s="43">
        <f>'DIVERSOS'!E8</f>
        <v/>
      </c>
      <c r="L9" s="43">
        <f>'DIVERSOS'!E9</f>
        <v/>
      </c>
      <c r="M9" s="43">
        <f>'DIVERSOS'!E10</f>
        <v/>
      </c>
      <c r="N9" s="43">
        <f>'DIVERSOS'!E11</f>
        <v/>
      </c>
      <c r="O9" s="43">
        <f>'DIVERSOS'!E12</f>
        <v/>
      </c>
      <c r="P9" s="43">
        <f>'DIVERSOS'!E13</f>
        <v/>
      </c>
      <c r="Q9" s="43">
        <f>'DIVERSOS'!E14</f>
        <v/>
      </c>
      <c r="R9" s="43">
        <f>'DIVERSOS'!E15</f>
        <v/>
      </c>
      <c r="S9" s="43">
        <f>'DIVERSOS'!E16</f>
        <v/>
      </c>
      <c r="T9" s="43">
        <f>'DIVERSOS'!E17</f>
        <v/>
      </c>
      <c r="U9" s="43">
        <f>'DIVERSOS'!E18</f>
        <v/>
      </c>
      <c r="V9" s="43">
        <f>'DIVERSOS'!E19</f>
        <v/>
      </c>
      <c r="W9" s="43">
        <f>'DIVERSOS'!E20</f>
        <v/>
      </c>
      <c r="X9" s="43">
        <f>'DIVERSOS'!E21</f>
        <v/>
      </c>
      <c r="Y9" s="43">
        <f>'DIVERSOS'!E22</f>
        <v/>
      </c>
      <c r="Z9" s="43">
        <f>'DIVERSOS'!E23</f>
        <v/>
      </c>
      <c r="AA9" s="43">
        <f>'DIVERSOS'!E24</f>
        <v/>
      </c>
      <c r="AB9" s="43">
        <f>'DIVERSOS'!E25</f>
        <v/>
      </c>
      <c r="AC9" s="43">
        <f>'DIVERSOS'!E26</f>
        <v/>
      </c>
      <c r="AD9" s="43">
        <f>'DIVERSOS'!E27</f>
        <v/>
      </c>
      <c r="AE9" s="43">
        <f>'DIVERSOS'!E28</f>
        <v/>
      </c>
      <c r="AF9" s="43">
        <f>'DIVERSOS'!E29</f>
        <v/>
      </c>
      <c r="AG9" s="43">
        <f>'DIVERSOS'!E30</f>
        <v/>
      </c>
      <c r="AH9" s="43">
        <f>'DIVERSOS'!E31</f>
        <v/>
      </c>
      <c r="AI9" s="43">
        <f>'DIVERSOS'!E32</f>
        <v/>
      </c>
      <c r="AJ9" s="43">
        <f>'DIVERSOS'!E33</f>
        <v/>
      </c>
      <c r="AK9" s="43">
        <f>'DIVERSOS'!E34</f>
        <v/>
      </c>
      <c r="AL9" s="43">
        <f>'DIVERSOS'!E35</f>
        <v/>
      </c>
      <c r="AM9" s="43">
        <f>'DIVERSOS'!E36</f>
        <v/>
      </c>
      <c r="AN9" s="43">
        <f>'DIVERSOS'!E37</f>
        <v/>
      </c>
      <c r="AO9" s="43">
        <f>'DIVERSOS'!E38</f>
        <v/>
      </c>
      <c r="AP9" s="43">
        <f>'DIVERSOS'!E39</f>
        <v/>
      </c>
      <c r="AQ9" s="43">
        <f>'DIVERSOS'!E40</f>
        <v/>
      </c>
      <c r="AR9" s="43">
        <f>'DIVERSOS'!E41</f>
        <v/>
      </c>
      <c r="AS9" s="43">
        <f>'DIVERSOS'!E42</f>
        <v/>
      </c>
      <c r="AT9" s="43">
        <f>'DIVERSOS'!E43</f>
        <v/>
      </c>
      <c r="AU9" s="43">
        <f>'DIVERSOS'!E44</f>
        <v/>
      </c>
      <c r="AV9" s="43">
        <f>'DIVERSOS'!E45</f>
        <v/>
      </c>
      <c r="AW9" s="43">
        <f>'DIVERSOS'!E46</f>
        <v/>
      </c>
      <c r="AX9" s="43">
        <f>'DIVERSOS'!E47</f>
        <v/>
      </c>
      <c r="AY9" s="43">
        <f>'DIVERSOS'!E48</f>
        <v/>
      </c>
      <c r="AZ9" s="43">
        <f>'DIVERSOS'!E49</f>
        <v/>
      </c>
      <c r="BA9" s="43">
        <f>'DIVERSOS'!E50</f>
        <v/>
      </c>
      <c r="BB9" s="43">
        <f>'DIVERSOS'!E51</f>
        <v/>
      </c>
      <c r="BC9" s="43">
        <f>'DIVERSOS'!E52</f>
        <v/>
      </c>
      <c r="BD9" s="43">
        <f>'DIVERSOS'!E53</f>
        <v/>
      </c>
      <c r="BE9" s="43">
        <f>'DIVERSOS'!E54</f>
        <v/>
      </c>
      <c r="BF9" s="43">
        <f>'DIVERSOS'!E55</f>
        <v/>
      </c>
      <c r="BG9" s="43">
        <f>'DIVERSOS'!E56</f>
        <v/>
      </c>
      <c r="BH9" s="43">
        <f>'DIVERSOS'!E57</f>
        <v/>
      </c>
      <c r="BI9" s="43">
        <f>'DIVERSOS'!E58</f>
        <v/>
      </c>
      <c r="BJ9" s="43">
        <f>'DIVERSOS'!E59</f>
        <v/>
      </c>
      <c r="BK9" s="43">
        <f>'DIVERSOS'!E60</f>
        <v/>
      </c>
      <c r="BL9" s="43">
        <f>'DIVERSOS'!E61</f>
        <v/>
      </c>
      <c r="BM9" s="43">
        <f>'DIVERSOS'!E62</f>
        <v/>
      </c>
      <c r="BN9" s="43">
        <f>'DIVERSOS'!E63</f>
        <v/>
      </c>
      <c r="BO9" s="43">
        <f>'DIVERSOS'!E64</f>
        <v/>
      </c>
      <c r="BP9" s="43">
        <f>'DIVERSOS'!E65</f>
        <v/>
      </c>
      <c r="BQ9" s="43">
        <f>'DIVERSOS'!E66</f>
        <v/>
      </c>
      <c r="BR9" s="43">
        <f>'DIVERSOS'!E67</f>
        <v/>
      </c>
      <c r="BS9" s="43">
        <f>'DIVERSOS'!E68</f>
        <v/>
      </c>
      <c r="BT9" s="43">
        <f>'DIVERSOS'!E69</f>
        <v/>
      </c>
      <c r="BU9" s="43">
        <f>'DIVERSOS'!E70</f>
        <v/>
      </c>
      <c r="BV9" s="43">
        <f>'DIVERSOS'!E71</f>
        <v/>
      </c>
      <c r="BW9" s="43">
        <f>'DIVERSOS'!E72</f>
        <v/>
      </c>
      <c r="BX9" s="43">
        <f>'DIVERSOS'!E73</f>
        <v/>
      </c>
      <c r="BY9" s="43">
        <f>'DIVERSOS'!E74</f>
        <v/>
      </c>
      <c r="BZ9" s="43">
        <f>'DIVERSOS'!E75</f>
        <v/>
      </c>
      <c r="CA9" s="43">
        <f>'DIVERSOS'!E76</f>
        <v/>
      </c>
    </row>
    <row r="10">
      <c r="A10" s="21" t="inlineStr">
        <is>
          <t>G041.002</t>
        </is>
      </c>
      <c r="B10" s="21" t="inlineStr">
        <is>
          <t>1030-1070-400</t>
        </is>
      </c>
      <c r="C10" s="21" t="inlineStr">
        <is>
          <t xml:space="preserve">ELEVADORES </t>
        </is>
      </c>
      <c r="D10" s="37">
        <f>'ELEVADORES '!$K$5</f>
        <v/>
      </c>
      <c r="E10" s="12">
        <f>SUM(H10:CA10)</f>
        <v/>
      </c>
      <c r="F10" s="12">
        <f>IF(D10="","",D10-E10)</f>
        <v/>
      </c>
      <c r="H10" s="43">
        <f>'ELEVADORES '!E5</f>
        <v/>
      </c>
      <c r="I10" s="43">
        <f>'ELEVADORES '!E6</f>
        <v/>
      </c>
      <c r="J10" s="43">
        <f>'ELEVADORES '!E7</f>
        <v/>
      </c>
      <c r="K10" s="43">
        <f>'ELEVADORES '!E8</f>
        <v/>
      </c>
      <c r="L10" s="43">
        <f>'ELEVADORES '!E9</f>
        <v/>
      </c>
      <c r="M10" s="43">
        <f>'ELEVADORES '!E10</f>
        <v/>
      </c>
      <c r="N10" s="43">
        <f>'ELEVADORES '!E11</f>
        <v/>
      </c>
      <c r="O10" s="43">
        <f>'ELEVADORES '!E12</f>
        <v/>
      </c>
      <c r="P10" s="43">
        <f>'ELEVADORES '!E13</f>
        <v/>
      </c>
      <c r="Q10" s="43">
        <f>'ELEVADORES '!E14</f>
        <v/>
      </c>
      <c r="R10" s="43">
        <f>'ELEVADORES '!E15</f>
        <v/>
      </c>
      <c r="S10" s="43">
        <f>'ELEVADORES '!E16</f>
        <v/>
      </c>
      <c r="T10" s="43">
        <f>'ELEVADORES '!E17</f>
        <v/>
      </c>
      <c r="U10" s="43">
        <f>'ELEVADORES '!E18</f>
        <v/>
      </c>
      <c r="V10" s="43">
        <f>'ELEVADORES '!E19</f>
        <v/>
      </c>
      <c r="W10" s="43">
        <f>'ELEVADORES '!E20</f>
        <v/>
      </c>
      <c r="X10" s="43">
        <f>'ELEVADORES '!E21</f>
        <v/>
      </c>
      <c r="Y10" s="43">
        <f>'ELEVADORES '!E22</f>
        <v/>
      </c>
      <c r="Z10" s="43">
        <f>'ELEVADORES '!E23</f>
        <v/>
      </c>
      <c r="AA10" s="43">
        <f>'ELEVADORES '!E24</f>
        <v/>
      </c>
      <c r="AB10" s="43">
        <f>'ELEVADORES '!E25</f>
        <v/>
      </c>
      <c r="AC10" s="43">
        <f>'ELEVADORES '!E26</f>
        <v/>
      </c>
      <c r="AD10" s="43">
        <f>'ELEVADORES '!E27</f>
        <v/>
      </c>
      <c r="AE10" s="43">
        <f>'ELEVADORES '!E28</f>
        <v/>
      </c>
      <c r="AF10" s="43">
        <f>'ELEVADORES '!E29</f>
        <v/>
      </c>
      <c r="AG10" s="43">
        <f>'ELEVADORES '!E30</f>
        <v/>
      </c>
      <c r="AH10" s="43">
        <f>'ELEVADORES '!E31</f>
        <v/>
      </c>
      <c r="AI10" s="43">
        <f>'ELEVADORES '!E32</f>
        <v/>
      </c>
      <c r="AJ10" s="43">
        <f>'ELEVADORES '!E33</f>
        <v/>
      </c>
      <c r="AK10" s="43">
        <f>'ELEVADORES '!E34</f>
        <v/>
      </c>
      <c r="AL10" s="43">
        <f>'ELEVADORES '!E35</f>
        <v/>
      </c>
      <c r="AM10" s="43">
        <f>'ELEVADORES '!E36</f>
        <v/>
      </c>
      <c r="AN10" s="43">
        <f>'ELEVADORES '!E37</f>
        <v/>
      </c>
      <c r="AO10" s="43">
        <f>'ELEVADORES '!E38</f>
        <v/>
      </c>
      <c r="AP10" s="43">
        <f>'ELEVADORES '!E39</f>
        <v/>
      </c>
      <c r="AQ10" s="43">
        <f>'ELEVADORES '!E40</f>
        <v/>
      </c>
      <c r="AR10" s="43">
        <f>'ELEVADORES '!E41</f>
        <v/>
      </c>
      <c r="AS10" s="43">
        <f>'ELEVADORES '!E42</f>
        <v/>
      </c>
      <c r="AT10" s="43">
        <f>'ELEVADORES '!E43</f>
        <v/>
      </c>
      <c r="AU10" s="43">
        <f>'ELEVADORES '!E44</f>
        <v/>
      </c>
      <c r="AV10" s="43">
        <f>'ELEVADORES '!E45</f>
        <v/>
      </c>
      <c r="AW10" s="43">
        <f>'ELEVADORES '!E46</f>
        <v/>
      </c>
      <c r="AX10" s="43">
        <f>'ELEVADORES '!E47</f>
        <v/>
      </c>
      <c r="AY10" s="43">
        <f>'ELEVADORES '!E48</f>
        <v/>
      </c>
      <c r="AZ10" s="43">
        <f>'ELEVADORES '!E49</f>
        <v/>
      </c>
      <c r="BA10" s="43">
        <f>'ELEVADORES '!E50</f>
        <v/>
      </c>
      <c r="BB10" s="43">
        <f>'ELEVADORES '!E51</f>
        <v/>
      </c>
      <c r="BC10" s="43">
        <f>'ELEVADORES '!E52</f>
        <v/>
      </c>
      <c r="BD10" s="43">
        <f>'ELEVADORES '!E53</f>
        <v/>
      </c>
      <c r="BE10" s="43">
        <f>'ELEVADORES '!E54</f>
        <v/>
      </c>
      <c r="BF10" s="43">
        <f>'ELEVADORES '!E55</f>
        <v/>
      </c>
      <c r="BG10" s="43">
        <f>'ELEVADORES '!E56</f>
        <v/>
      </c>
      <c r="BH10" s="43">
        <f>'ELEVADORES '!E57</f>
        <v/>
      </c>
      <c r="BI10" s="43">
        <f>'ELEVADORES '!E58</f>
        <v/>
      </c>
      <c r="BJ10" s="43">
        <f>'ELEVADORES '!E59</f>
        <v/>
      </c>
      <c r="BK10" s="43">
        <f>'ELEVADORES '!E60</f>
        <v/>
      </c>
      <c r="BL10" s="43">
        <f>'ELEVADORES '!E61</f>
        <v/>
      </c>
      <c r="BM10" s="43">
        <f>'ELEVADORES '!E62</f>
        <v/>
      </c>
      <c r="BN10" s="43">
        <f>'ELEVADORES '!E63</f>
        <v/>
      </c>
      <c r="BO10" s="43">
        <f>'ELEVADORES '!E64</f>
        <v/>
      </c>
      <c r="BP10" s="43">
        <f>'ELEVADORES '!E65</f>
        <v/>
      </c>
      <c r="BQ10" s="43">
        <f>'ELEVADORES '!E66</f>
        <v/>
      </c>
      <c r="BR10" s="43">
        <f>'ELEVADORES '!E67</f>
        <v/>
      </c>
      <c r="BS10" s="43">
        <f>'ELEVADORES '!E68</f>
        <v/>
      </c>
      <c r="BT10" s="43">
        <f>'ELEVADORES '!E69</f>
        <v/>
      </c>
      <c r="BU10" s="43">
        <f>'ELEVADORES '!E70</f>
        <v/>
      </c>
      <c r="BV10" s="43">
        <f>'ELEVADORES '!E71</f>
        <v/>
      </c>
      <c r="BW10" s="43">
        <f>'ELEVADORES '!E72</f>
        <v/>
      </c>
      <c r="BX10" s="43">
        <f>'ELEVADORES '!E73</f>
        <v/>
      </c>
      <c r="BY10" s="43">
        <f>'ELEVADORES '!E74</f>
        <v/>
      </c>
      <c r="BZ10" s="43">
        <f>'ELEVADORES '!E75</f>
        <v/>
      </c>
      <c r="CA10" s="43">
        <f>'ELEVADORES '!E76</f>
        <v/>
      </c>
    </row>
    <row r="11">
      <c r="A11" s="21" t="inlineStr">
        <is>
          <t>G041.002</t>
        </is>
      </c>
      <c r="B11" s="21" t="inlineStr">
        <is>
          <t>1030-1070-450</t>
        </is>
      </c>
      <c r="C11" s="21" t="inlineStr">
        <is>
          <t>EQUIPAMENTOS E FERRAMENTAS</t>
        </is>
      </c>
      <c r="D11" s="37">
        <f>'EQUIP E FER'!$K$5</f>
        <v/>
      </c>
      <c r="E11" s="12">
        <f>SUM(H11:CA11)</f>
        <v/>
      </c>
      <c r="F11" s="12">
        <f>IF(D11="","",D11-E11)</f>
        <v/>
      </c>
      <c r="H11" s="43">
        <f>'EQUIP E FER'!E5</f>
        <v/>
      </c>
      <c r="I11" s="43">
        <f>'EQUIP E FER'!E6</f>
        <v/>
      </c>
      <c r="J11" s="43">
        <f>'EQUIP E FER'!E7</f>
        <v/>
      </c>
      <c r="K11" s="43">
        <f>'EQUIP E FER'!E8</f>
        <v/>
      </c>
      <c r="L11" s="43">
        <f>'EQUIP E FER'!E9</f>
        <v/>
      </c>
      <c r="M11" s="43">
        <f>'EQUIP E FER'!E10</f>
        <v/>
      </c>
      <c r="N11" s="43">
        <f>'EQUIP E FER'!E11</f>
        <v/>
      </c>
      <c r="O11" s="43">
        <f>'EQUIP E FER'!E12</f>
        <v/>
      </c>
      <c r="P11" s="43">
        <f>'EQUIP E FER'!E13</f>
        <v/>
      </c>
      <c r="Q11" s="43">
        <f>'EQUIP E FER'!E14</f>
        <v/>
      </c>
      <c r="R11" s="43">
        <f>'EQUIP E FER'!E15</f>
        <v/>
      </c>
      <c r="S11" s="43">
        <f>'EQUIP E FER'!E16</f>
        <v/>
      </c>
      <c r="T11" s="43">
        <f>'EQUIP E FER'!E17</f>
        <v/>
      </c>
      <c r="U11" s="43">
        <f>'EQUIP E FER'!E18</f>
        <v/>
      </c>
      <c r="V11" s="43">
        <f>'EQUIP E FER'!E19</f>
        <v/>
      </c>
      <c r="W11" s="43">
        <f>'EQUIP E FER'!E20</f>
        <v/>
      </c>
      <c r="X11" s="43">
        <f>'EQUIP E FER'!E21</f>
        <v/>
      </c>
      <c r="Y11" s="43">
        <f>'EQUIP E FER'!E22</f>
        <v/>
      </c>
      <c r="Z11" s="43">
        <f>'EQUIP E FER'!E23</f>
        <v/>
      </c>
      <c r="AA11" s="43">
        <f>'EQUIP E FER'!E24</f>
        <v/>
      </c>
      <c r="AB11" s="43">
        <f>'EQUIP E FER'!E25</f>
        <v/>
      </c>
      <c r="AC11" s="43">
        <f>'EQUIP E FER'!E26</f>
        <v/>
      </c>
      <c r="AD11" s="43">
        <f>'EQUIP E FER'!E27</f>
        <v/>
      </c>
      <c r="AE11" s="43">
        <f>'EQUIP E FER'!E28</f>
        <v/>
      </c>
      <c r="AF11" s="43">
        <f>'EQUIP E FER'!E29</f>
        <v/>
      </c>
      <c r="AG11" s="43">
        <f>'EQUIP E FER'!E30</f>
        <v/>
      </c>
      <c r="AH11" s="43">
        <f>'EQUIP E FER'!E31</f>
        <v/>
      </c>
      <c r="AI11" s="43">
        <f>'EQUIP E FER'!E32</f>
        <v/>
      </c>
      <c r="AJ11" s="43">
        <f>'EQUIP E FER'!E33</f>
        <v/>
      </c>
      <c r="AK11" s="43">
        <f>'EQUIP E FER'!E34</f>
        <v/>
      </c>
      <c r="AL11" s="43">
        <f>'EQUIP E FER'!E35</f>
        <v/>
      </c>
      <c r="AM11" s="43">
        <f>'EQUIP E FER'!E36</f>
        <v/>
      </c>
      <c r="AN11" s="43">
        <f>'EQUIP E FER'!E37</f>
        <v/>
      </c>
      <c r="AO11" s="43">
        <f>'EQUIP E FER'!E38</f>
        <v/>
      </c>
      <c r="AP11" s="43">
        <f>'EQUIP E FER'!E39</f>
        <v/>
      </c>
      <c r="AQ11" s="43">
        <f>'EQUIP E FER'!E40</f>
        <v/>
      </c>
      <c r="AR11" s="43">
        <f>'EQUIP E FER'!E41</f>
        <v/>
      </c>
      <c r="AS11" s="43">
        <f>'EQUIP E FER'!E42</f>
        <v/>
      </c>
      <c r="AT11" s="43">
        <f>'EQUIP E FER'!E43</f>
        <v/>
      </c>
      <c r="AU11" s="43">
        <f>'EQUIP E FER'!E44</f>
        <v/>
      </c>
      <c r="AV11" s="43">
        <f>'EQUIP E FER'!E45</f>
        <v/>
      </c>
      <c r="AW11" s="43">
        <f>'EQUIP E FER'!E46</f>
        <v/>
      </c>
      <c r="AX11" s="43">
        <f>'EQUIP E FER'!E47</f>
        <v/>
      </c>
      <c r="AY11" s="43">
        <f>'EQUIP E FER'!E48</f>
        <v/>
      </c>
      <c r="AZ11" s="43">
        <f>'EQUIP E FER'!E49</f>
        <v/>
      </c>
      <c r="BA11" s="43">
        <f>'EQUIP E FER'!E50</f>
        <v/>
      </c>
      <c r="BB11" s="43">
        <f>'EQUIP E FER'!E51</f>
        <v/>
      </c>
      <c r="BC11" s="43">
        <f>'EQUIP E FER'!E52</f>
        <v/>
      </c>
      <c r="BD11" s="43">
        <f>'EQUIP E FER'!E53</f>
        <v/>
      </c>
      <c r="BE11" s="43">
        <f>'EQUIP E FER'!E54</f>
        <v/>
      </c>
      <c r="BF11" s="43">
        <f>'EQUIP E FER'!E55</f>
        <v/>
      </c>
      <c r="BG11" s="43">
        <f>'EQUIP E FER'!E56</f>
        <v/>
      </c>
      <c r="BH11" s="43">
        <f>'EQUIP E FER'!E57</f>
        <v/>
      </c>
      <c r="BI11" s="43">
        <f>'EQUIP E FER'!E58</f>
        <v/>
      </c>
      <c r="BJ11" s="43">
        <f>'EQUIP E FER'!E59</f>
        <v/>
      </c>
      <c r="BK11" s="43">
        <f>'EQUIP E FER'!E60</f>
        <v/>
      </c>
      <c r="BL11" s="43">
        <f>'EQUIP E FER'!E61</f>
        <v/>
      </c>
      <c r="BM11" s="43">
        <f>'EQUIP E FER'!E62</f>
        <v/>
      </c>
      <c r="BN11" s="43">
        <f>'EQUIP E FER'!E63</f>
        <v/>
      </c>
      <c r="BO11" s="43">
        <f>'EQUIP E FER'!E64</f>
        <v/>
      </c>
      <c r="BP11" s="43">
        <f>'EQUIP E FER'!E65</f>
        <v/>
      </c>
      <c r="BQ11" s="43">
        <f>'EQUIP E FER'!E66</f>
        <v/>
      </c>
      <c r="BR11" s="43">
        <f>'EQUIP E FER'!E67</f>
        <v/>
      </c>
      <c r="BS11" s="43">
        <f>'EQUIP E FER'!E68</f>
        <v/>
      </c>
      <c r="BT11" s="43">
        <f>'EQUIP E FER'!E69</f>
        <v/>
      </c>
      <c r="BU11" s="43">
        <f>'EQUIP E FER'!E70</f>
        <v/>
      </c>
      <c r="BV11" s="43">
        <f>'EQUIP E FER'!E71</f>
        <v/>
      </c>
      <c r="BW11" s="43">
        <f>'EQUIP E FER'!E72</f>
        <v/>
      </c>
      <c r="BX11" s="43">
        <f>'EQUIP E FER'!E73</f>
        <v/>
      </c>
      <c r="BY11" s="43">
        <f>'EQUIP E FER'!E74</f>
        <v/>
      </c>
      <c r="BZ11" s="43">
        <f>'EQUIP E FER'!E75</f>
        <v/>
      </c>
      <c r="CA11" s="43">
        <f>'EQUIP E FER'!E76</f>
        <v/>
      </c>
    </row>
    <row r="12">
      <c r="A12" s="21" t="inlineStr">
        <is>
          <t>G041.002</t>
        </is>
      </c>
      <c r="B12" s="21" t="inlineStr">
        <is>
          <t>1030-1070-370</t>
        </is>
      </c>
      <c r="C12" s="21" t="inlineStr">
        <is>
          <t>ESQUADRIAS</t>
        </is>
      </c>
      <c r="D12" s="37">
        <f>'ESQUADRIAS'!$K$5</f>
        <v/>
      </c>
      <c r="E12" s="12">
        <f>SUM(H12:CA12)</f>
        <v/>
      </c>
      <c r="F12" s="12">
        <f>IF(D12="","",D12-E12)</f>
        <v/>
      </c>
      <c r="H12" s="43">
        <f>'ESQUADRIAS'!E5</f>
        <v/>
      </c>
      <c r="I12" s="43">
        <f>'ESQUADRIAS'!E6</f>
        <v/>
      </c>
      <c r="J12" s="43">
        <f>'ESQUADRIAS'!E7</f>
        <v/>
      </c>
      <c r="K12" s="43">
        <f>'ESQUADRIAS'!E8</f>
        <v/>
      </c>
      <c r="L12" s="43">
        <f>'ESQUADRIAS'!E9</f>
        <v/>
      </c>
      <c r="M12" s="43">
        <f>'ESQUADRIAS'!E10</f>
        <v/>
      </c>
      <c r="N12" s="43">
        <f>'ESQUADRIAS'!E11</f>
        <v/>
      </c>
      <c r="O12" s="43">
        <f>'ESQUADRIAS'!E12</f>
        <v/>
      </c>
      <c r="P12" s="43">
        <f>'ESQUADRIAS'!E13</f>
        <v/>
      </c>
      <c r="Q12" s="43">
        <f>'ESQUADRIAS'!E14</f>
        <v/>
      </c>
      <c r="R12" s="43">
        <f>'ESQUADRIAS'!E15</f>
        <v/>
      </c>
      <c r="S12" s="43">
        <f>'ESQUADRIAS'!E16</f>
        <v/>
      </c>
      <c r="T12" s="43">
        <f>'ESQUADRIAS'!E17</f>
        <v/>
      </c>
      <c r="U12" s="43">
        <f>'ESQUADRIAS'!E18</f>
        <v/>
      </c>
      <c r="V12" s="43">
        <f>'ESQUADRIAS'!E19</f>
        <v/>
      </c>
      <c r="W12" s="43">
        <f>'ESQUADRIAS'!E20</f>
        <v/>
      </c>
      <c r="X12" s="43">
        <f>'ESQUADRIAS'!E21</f>
        <v/>
      </c>
      <c r="Y12" s="43">
        <f>'ESQUADRIAS'!E22</f>
        <v/>
      </c>
      <c r="Z12" s="43">
        <f>'ESQUADRIAS'!E23</f>
        <v/>
      </c>
      <c r="AA12" s="43">
        <f>'ESQUADRIAS'!E24</f>
        <v/>
      </c>
      <c r="AB12" s="43">
        <f>'ESQUADRIAS'!E25</f>
        <v/>
      </c>
      <c r="AC12" s="43">
        <f>'ESQUADRIAS'!E26</f>
        <v/>
      </c>
      <c r="AD12" s="43">
        <f>'ESQUADRIAS'!E27</f>
        <v/>
      </c>
      <c r="AE12" s="43">
        <f>'ESQUADRIAS'!E28</f>
        <v/>
      </c>
      <c r="AF12" s="43">
        <f>'ESQUADRIAS'!E29</f>
        <v/>
      </c>
      <c r="AG12" s="43">
        <f>'ESQUADRIAS'!E30</f>
        <v/>
      </c>
      <c r="AH12" s="43">
        <f>'ESQUADRIAS'!E31</f>
        <v/>
      </c>
      <c r="AI12" s="43">
        <f>'ESQUADRIAS'!E32</f>
        <v/>
      </c>
      <c r="AJ12" s="43">
        <f>'ESQUADRIAS'!E33</f>
        <v/>
      </c>
      <c r="AK12" s="43">
        <f>'ESQUADRIAS'!E34</f>
        <v/>
      </c>
      <c r="AL12" s="43">
        <f>'ESQUADRIAS'!E35</f>
        <v/>
      </c>
      <c r="AM12" s="43">
        <f>'ESQUADRIAS'!E36</f>
        <v/>
      </c>
      <c r="AN12" s="43">
        <f>'ESQUADRIAS'!E37</f>
        <v/>
      </c>
      <c r="AO12" s="43">
        <f>'ESQUADRIAS'!E38</f>
        <v/>
      </c>
      <c r="AP12" s="43">
        <f>'ESQUADRIAS'!E39</f>
        <v/>
      </c>
      <c r="AQ12" s="43">
        <f>'ESQUADRIAS'!E40</f>
        <v/>
      </c>
      <c r="AR12" s="43">
        <f>'ESQUADRIAS'!E41</f>
        <v/>
      </c>
      <c r="AS12" s="43">
        <f>'ESQUADRIAS'!E42</f>
        <v/>
      </c>
      <c r="AT12" s="43">
        <f>'ESQUADRIAS'!E43</f>
        <v/>
      </c>
      <c r="AU12" s="43">
        <f>'ESQUADRIAS'!E44</f>
        <v/>
      </c>
      <c r="AV12" s="43">
        <f>'ESQUADRIAS'!E45</f>
        <v/>
      </c>
      <c r="AW12" s="43">
        <f>'ESQUADRIAS'!E46</f>
        <v/>
      </c>
      <c r="AX12" s="43">
        <f>'ESQUADRIAS'!E47</f>
        <v/>
      </c>
      <c r="AY12" s="43">
        <f>'ESQUADRIAS'!E48</f>
        <v/>
      </c>
      <c r="AZ12" s="43">
        <f>'ESQUADRIAS'!E49</f>
        <v/>
      </c>
      <c r="BA12" s="43">
        <f>'ESQUADRIAS'!E50</f>
        <v/>
      </c>
      <c r="BB12" s="43">
        <f>'ESQUADRIAS'!E51</f>
        <v/>
      </c>
      <c r="BC12" s="43">
        <f>'ESQUADRIAS'!E52</f>
        <v/>
      </c>
      <c r="BD12" s="43">
        <f>'ESQUADRIAS'!E53</f>
        <v/>
      </c>
      <c r="BE12" s="43">
        <f>'ESQUADRIAS'!E54</f>
        <v/>
      </c>
      <c r="BF12" s="43">
        <f>'ESQUADRIAS'!E55</f>
        <v/>
      </c>
      <c r="BG12" s="43">
        <f>'ESQUADRIAS'!E56</f>
        <v/>
      </c>
      <c r="BH12" s="43">
        <f>'ESQUADRIAS'!E57</f>
        <v/>
      </c>
      <c r="BI12" s="43">
        <f>'ESQUADRIAS'!E58</f>
        <v/>
      </c>
      <c r="BJ12" s="43">
        <f>'ESQUADRIAS'!E59</f>
        <v/>
      </c>
      <c r="BK12" s="43">
        <f>'ESQUADRIAS'!E60</f>
        <v/>
      </c>
      <c r="BL12" s="43">
        <f>'ESQUADRIAS'!E61</f>
        <v/>
      </c>
      <c r="BM12" s="43">
        <f>'ESQUADRIAS'!E62</f>
        <v/>
      </c>
      <c r="BN12" s="43">
        <f>'ESQUADRIAS'!E63</f>
        <v/>
      </c>
      <c r="BO12" s="43">
        <f>'ESQUADRIAS'!E64</f>
        <v/>
      </c>
      <c r="BP12" s="43">
        <f>'ESQUADRIAS'!E65</f>
        <v/>
      </c>
      <c r="BQ12" s="43">
        <f>'ESQUADRIAS'!E66</f>
        <v/>
      </c>
      <c r="BR12" s="43">
        <f>'ESQUADRIAS'!E67</f>
        <v/>
      </c>
      <c r="BS12" s="43">
        <f>'ESQUADRIAS'!E68</f>
        <v/>
      </c>
      <c r="BT12" s="43">
        <f>'ESQUADRIAS'!E69</f>
        <v/>
      </c>
      <c r="BU12" s="43">
        <f>'ESQUADRIAS'!E70</f>
        <v/>
      </c>
      <c r="BV12" s="43">
        <f>'ESQUADRIAS'!E71</f>
        <v/>
      </c>
      <c r="BW12" s="43">
        <f>'ESQUADRIAS'!E72</f>
        <v/>
      </c>
      <c r="BX12" s="43">
        <f>'ESQUADRIAS'!E73</f>
        <v/>
      </c>
      <c r="BY12" s="43">
        <f>'ESQUADRIAS'!E74</f>
        <v/>
      </c>
      <c r="BZ12" s="43">
        <f>'ESQUADRIAS'!E75</f>
        <v/>
      </c>
      <c r="CA12" s="43">
        <f>'ESQUADRIAS'!E76</f>
        <v/>
      </c>
    </row>
    <row r="13">
      <c r="A13" s="21" t="inlineStr">
        <is>
          <t>G041.002</t>
        </is>
      </c>
      <c r="B13" s="21" t="inlineStr">
        <is>
          <t>1030-1070-230</t>
        </is>
      </c>
      <c r="C13" s="21" t="inlineStr">
        <is>
          <t>ESTRUTURA EM CONCRETO ARMADO</t>
        </is>
      </c>
      <c r="D13" s="37">
        <f>'ESTRUTURA'!$K$5</f>
        <v/>
      </c>
      <c r="E13" s="12">
        <f>SUM(H13:CA13)</f>
        <v/>
      </c>
      <c r="F13" s="12">
        <f>IF(D13="","",D13-E13)</f>
        <v/>
      </c>
      <c r="H13" s="43">
        <f>'ESTRUTURA'!E5</f>
        <v/>
      </c>
      <c r="I13" s="43">
        <f>'ESTRUTURA'!E6</f>
        <v/>
      </c>
      <c r="J13" s="43">
        <f>'ESTRUTURA'!E7</f>
        <v/>
      </c>
      <c r="K13" s="43">
        <f>'ESTRUTURA'!E8</f>
        <v/>
      </c>
      <c r="L13" s="43">
        <f>'ESTRUTURA'!E9</f>
        <v/>
      </c>
      <c r="M13" s="43">
        <f>'ESTRUTURA'!E10</f>
        <v/>
      </c>
      <c r="N13" s="43">
        <f>'ESTRUTURA'!E11</f>
        <v/>
      </c>
      <c r="O13" s="43">
        <f>'ESTRUTURA'!E12</f>
        <v/>
      </c>
      <c r="P13" s="43">
        <f>'ESTRUTURA'!E13</f>
        <v/>
      </c>
      <c r="Q13" s="43">
        <f>'ESTRUTURA'!E14</f>
        <v/>
      </c>
      <c r="R13" s="43">
        <f>'ESTRUTURA'!E15</f>
        <v/>
      </c>
      <c r="S13" s="43">
        <f>'ESTRUTURA'!E16</f>
        <v/>
      </c>
      <c r="T13" s="43">
        <f>'ESTRUTURA'!E17</f>
        <v/>
      </c>
      <c r="U13" s="43">
        <f>'ESTRUTURA'!E18</f>
        <v/>
      </c>
      <c r="V13" s="43">
        <f>'ESTRUTURA'!E19</f>
        <v/>
      </c>
      <c r="W13" s="43">
        <f>'ESTRUTURA'!E20</f>
        <v/>
      </c>
      <c r="X13" s="43">
        <f>'ESTRUTURA'!E21</f>
        <v/>
      </c>
      <c r="Y13" s="43">
        <f>'ESTRUTURA'!E22</f>
        <v/>
      </c>
      <c r="Z13" s="43">
        <f>'ESTRUTURA'!E23</f>
        <v/>
      </c>
      <c r="AA13" s="43">
        <f>'ESTRUTURA'!E24</f>
        <v/>
      </c>
      <c r="AB13" s="43">
        <f>'ESTRUTURA'!E25</f>
        <v/>
      </c>
      <c r="AC13" s="43">
        <f>'ESTRUTURA'!E26</f>
        <v/>
      </c>
      <c r="AD13" s="43">
        <f>'ESTRUTURA'!E27</f>
        <v/>
      </c>
      <c r="AE13" s="43">
        <f>'ESTRUTURA'!E28</f>
        <v/>
      </c>
      <c r="AF13" s="43">
        <f>'ESTRUTURA'!E29</f>
        <v/>
      </c>
      <c r="AG13" s="43">
        <f>'ESTRUTURA'!E30</f>
        <v/>
      </c>
      <c r="AH13" s="43">
        <f>'ESTRUTURA'!E31</f>
        <v/>
      </c>
      <c r="AI13" s="43">
        <f>'ESTRUTURA'!E32</f>
        <v/>
      </c>
      <c r="AJ13" s="43">
        <f>'ESTRUTURA'!E33</f>
        <v/>
      </c>
      <c r="AK13" s="43">
        <f>'ESTRUTURA'!E34</f>
        <v/>
      </c>
      <c r="AL13" s="43">
        <f>'ESTRUTURA'!E35</f>
        <v/>
      </c>
      <c r="AM13" s="43">
        <f>'ESTRUTURA'!E36</f>
        <v/>
      </c>
      <c r="AN13" s="43">
        <f>'ESTRUTURA'!E37</f>
        <v/>
      </c>
      <c r="AO13" s="43">
        <f>'ESTRUTURA'!E38</f>
        <v/>
      </c>
      <c r="AP13" s="43">
        <f>'ESTRUTURA'!E39</f>
        <v/>
      </c>
      <c r="AQ13" s="43">
        <f>'ESTRUTURA'!E40</f>
        <v/>
      </c>
      <c r="AR13" s="43">
        <f>'ESTRUTURA'!E41</f>
        <v/>
      </c>
      <c r="AS13" s="43">
        <f>'ESTRUTURA'!E42</f>
        <v/>
      </c>
      <c r="AT13" s="43">
        <f>'ESTRUTURA'!E43</f>
        <v/>
      </c>
      <c r="AU13" s="43">
        <f>'ESTRUTURA'!E44</f>
        <v/>
      </c>
      <c r="AV13" s="43">
        <f>'ESTRUTURA'!E45</f>
        <v/>
      </c>
      <c r="AW13" s="43">
        <f>'ESTRUTURA'!E46</f>
        <v/>
      </c>
      <c r="AX13" s="43">
        <f>'ESTRUTURA'!E47</f>
        <v/>
      </c>
      <c r="AY13" s="43">
        <f>'ESTRUTURA'!E48</f>
        <v/>
      </c>
      <c r="AZ13" s="43">
        <f>'ESTRUTURA'!E49</f>
        <v/>
      </c>
      <c r="BA13" s="43">
        <f>'ESTRUTURA'!E50</f>
        <v/>
      </c>
      <c r="BB13" s="43">
        <f>'ESTRUTURA'!E51</f>
        <v/>
      </c>
      <c r="BC13" s="43">
        <f>'ESTRUTURA'!E52</f>
        <v/>
      </c>
      <c r="BD13" s="43">
        <f>'ESTRUTURA'!E53</f>
        <v/>
      </c>
      <c r="BE13" s="43">
        <f>'ESTRUTURA'!E54</f>
        <v/>
      </c>
      <c r="BF13" s="43">
        <f>'ESTRUTURA'!E55</f>
        <v/>
      </c>
      <c r="BG13" s="43">
        <f>'ESTRUTURA'!E56</f>
        <v/>
      </c>
      <c r="BH13" s="43">
        <f>'ESTRUTURA'!E57</f>
        <v/>
      </c>
      <c r="BI13" s="43">
        <f>'ESTRUTURA'!E58</f>
        <v/>
      </c>
      <c r="BJ13" s="43">
        <f>'ESTRUTURA'!E59</f>
        <v/>
      </c>
      <c r="BK13" s="43">
        <f>'ESTRUTURA'!E60</f>
        <v/>
      </c>
      <c r="BL13" s="43">
        <f>'ESTRUTURA'!E61</f>
        <v/>
      </c>
      <c r="BM13" s="43">
        <f>'ESTRUTURA'!E62</f>
        <v/>
      </c>
      <c r="BN13" s="43">
        <f>'ESTRUTURA'!E63</f>
        <v/>
      </c>
      <c r="BO13" s="43">
        <f>'ESTRUTURA'!E64</f>
        <v/>
      </c>
      <c r="BP13" s="43">
        <f>'ESTRUTURA'!E65</f>
        <v/>
      </c>
      <c r="BQ13" s="43">
        <f>'ESTRUTURA'!E66</f>
        <v/>
      </c>
      <c r="BR13" s="43">
        <f>'ESTRUTURA'!E67</f>
        <v/>
      </c>
      <c r="BS13" s="43">
        <f>'ESTRUTURA'!E68</f>
        <v/>
      </c>
      <c r="BT13" s="43">
        <f>'ESTRUTURA'!E69</f>
        <v/>
      </c>
      <c r="BU13" s="43">
        <f>'ESTRUTURA'!E70</f>
        <v/>
      </c>
      <c r="BV13" s="43">
        <f>'ESTRUTURA'!E71</f>
        <v/>
      </c>
      <c r="BW13" s="43">
        <f>'ESTRUTURA'!E72</f>
        <v/>
      </c>
      <c r="BX13" s="43">
        <f>'ESTRUTURA'!E73</f>
        <v/>
      </c>
      <c r="BY13" s="43">
        <f>'ESTRUTURA'!E74</f>
        <v/>
      </c>
      <c r="BZ13" s="43">
        <f>'ESTRUTURA'!E75</f>
        <v/>
      </c>
      <c r="CA13" s="43">
        <f>'ESTRUTURA'!E76</f>
        <v/>
      </c>
    </row>
    <row r="14">
      <c r="A14" s="21" t="inlineStr">
        <is>
          <t>G041.002</t>
        </is>
      </c>
      <c r="B14" s="21" t="inlineStr">
        <is>
          <t>1030-1070-350</t>
        </is>
      </c>
      <c r="C14" s="21" t="inlineStr">
        <is>
          <t>FORRO</t>
        </is>
      </c>
      <c r="D14" s="37">
        <f>'FORRO'!$K$5</f>
        <v/>
      </c>
      <c r="E14" s="12">
        <f>SUM(H14:CA14)</f>
        <v/>
      </c>
      <c r="F14" s="12">
        <f>IF(D14="","",D14-E14)</f>
        <v/>
      </c>
      <c r="H14" s="43">
        <f>'FORRO'!E5</f>
        <v/>
      </c>
      <c r="I14" s="43">
        <f>'FORRO'!E6</f>
        <v/>
      </c>
      <c r="J14" s="43">
        <f>'FORRO'!E7</f>
        <v/>
      </c>
      <c r="K14" s="43">
        <f>'FORRO'!E8</f>
        <v/>
      </c>
      <c r="L14" s="43">
        <f>'FORRO'!E9</f>
        <v/>
      </c>
      <c r="M14" s="43">
        <f>'FORRO'!E10</f>
        <v/>
      </c>
      <c r="N14" s="43">
        <f>'FORRO'!E11</f>
        <v/>
      </c>
      <c r="O14" s="43">
        <f>'FORRO'!E12</f>
        <v/>
      </c>
      <c r="P14" s="43">
        <f>'FORRO'!E13</f>
        <v/>
      </c>
      <c r="Q14" s="43">
        <f>'FORRO'!E14</f>
        <v/>
      </c>
      <c r="R14" s="43">
        <f>'FORRO'!E15</f>
        <v/>
      </c>
      <c r="S14" s="43">
        <f>'FORRO'!E16</f>
        <v/>
      </c>
      <c r="T14" s="43">
        <f>'FORRO'!E17</f>
        <v/>
      </c>
      <c r="U14" s="43">
        <f>'FORRO'!E18</f>
        <v/>
      </c>
      <c r="V14" s="43">
        <f>'FORRO'!E19</f>
        <v/>
      </c>
      <c r="W14" s="43">
        <f>'FORRO'!E20</f>
        <v/>
      </c>
      <c r="X14" s="43">
        <f>'FORRO'!E21</f>
        <v/>
      </c>
      <c r="Y14" s="43">
        <f>'FORRO'!E22</f>
        <v/>
      </c>
      <c r="Z14" s="43">
        <f>'FORRO'!E23</f>
        <v/>
      </c>
      <c r="AA14" s="43">
        <f>'FORRO'!E24</f>
        <v/>
      </c>
      <c r="AB14" s="43">
        <f>'FORRO'!E25</f>
        <v/>
      </c>
      <c r="AC14" s="43">
        <f>'FORRO'!E26</f>
        <v/>
      </c>
      <c r="AD14" s="43">
        <f>'FORRO'!E27</f>
        <v/>
      </c>
      <c r="AE14" s="43">
        <f>'FORRO'!E28</f>
        <v/>
      </c>
      <c r="AF14" s="43">
        <f>'FORRO'!E29</f>
        <v/>
      </c>
      <c r="AG14" s="43">
        <f>'FORRO'!E30</f>
        <v/>
      </c>
      <c r="AH14" s="43">
        <f>'FORRO'!E31</f>
        <v/>
      </c>
      <c r="AI14" s="43">
        <f>'FORRO'!E32</f>
        <v/>
      </c>
      <c r="AJ14" s="43">
        <f>'FORRO'!E33</f>
        <v/>
      </c>
      <c r="AK14" s="43">
        <f>'FORRO'!E34</f>
        <v/>
      </c>
      <c r="AL14" s="43">
        <f>'FORRO'!E35</f>
        <v/>
      </c>
      <c r="AM14" s="43">
        <f>'FORRO'!E36</f>
        <v/>
      </c>
      <c r="AN14" s="43">
        <f>'FORRO'!E37</f>
        <v/>
      </c>
      <c r="AO14" s="43">
        <f>'FORRO'!E38</f>
        <v/>
      </c>
      <c r="AP14" s="43">
        <f>'FORRO'!E39</f>
        <v/>
      </c>
      <c r="AQ14" s="43">
        <f>'FORRO'!E40</f>
        <v/>
      </c>
      <c r="AR14" s="43">
        <f>'FORRO'!E41</f>
        <v/>
      </c>
      <c r="AS14" s="43">
        <f>'FORRO'!E42</f>
        <v/>
      </c>
      <c r="AT14" s="43">
        <f>'FORRO'!E43</f>
        <v/>
      </c>
      <c r="AU14" s="43">
        <f>'FORRO'!E44</f>
        <v/>
      </c>
      <c r="AV14" s="43">
        <f>'FORRO'!E45</f>
        <v/>
      </c>
      <c r="AW14" s="43">
        <f>'FORRO'!E46</f>
        <v/>
      </c>
      <c r="AX14" s="43">
        <f>'FORRO'!E47</f>
        <v/>
      </c>
      <c r="AY14" s="43">
        <f>'FORRO'!E48</f>
        <v/>
      </c>
      <c r="AZ14" s="43">
        <f>'FORRO'!E49</f>
        <v/>
      </c>
      <c r="BA14" s="43">
        <f>'FORRO'!E50</f>
        <v/>
      </c>
      <c r="BB14" s="43">
        <f>'FORRO'!E51</f>
        <v/>
      </c>
      <c r="BC14" s="43">
        <f>'FORRO'!E52</f>
        <v/>
      </c>
      <c r="BD14" s="43">
        <f>'FORRO'!E53</f>
        <v/>
      </c>
      <c r="BE14" s="43">
        <f>'FORRO'!E54</f>
        <v/>
      </c>
      <c r="BF14" s="43">
        <f>'FORRO'!E55</f>
        <v/>
      </c>
      <c r="BG14" s="43">
        <f>'FORRO'!E56</f>
        <v/>
      </c>
      <c r="BH14" s="43">
        <f>'FORRO'!E57</f>
        <v/>
      </c>
      <c r="BI14" s="43">
        <f>'FORRO'!E58</f>
        <v/>
      </c>
      <c r="BJ14" s="43">
        <f>'FORRO'!E59</f>
        <v/>
      </c>
      <c r="BK14" s="43">
        <f>'FORRO'!E60</f>
        <v/>
      </c>
      <c r="BL14" s="43">
        <f>'FORRO'!E61</f>
        <v/>
      </c>
      <c r="BM14" s="43">
        <f>'FORRO'!E62</f>
        <v/>
      </c>
      <c r="BN14" s="43">
        <f>'FORRO'!E63</f>
        <v/>
      </c>
      <c r="BO14" s="43">
        <f>'FORRO'!E64</f>
        <v/>
      </c>
      <c r="BP14" s="43">
        <f>'FORRO'!E65</f>
        <v/>
      </c>
      <c r="BQ14" s="43">
        <f>'FORRO'!E66</f>
        <v/>
      </c>
      <c r="BR14" s="43">
        <f>'FORRO'!E67</f>
        <v/>
      </c>
      <c r="BS14" s="43">
        <f>'FORRO'!E68</f>
        <v/>
      </c>
      <c r="BT14" s="43">
        <f>'FORRO'!E69</f>
        <v/>
      </c>
      <c r="BU14" s="43">
        <f>'FORRO'!E70</f>
        <v/>
      </c>
      <c r="BV14" s="43">
        <f>'FORRO'!E71</f>
        <v/>
      </c>
      <c r="BW14" s="43">
        <f>'FORRO'!E72</f>
        <v/>
      </c>
      <c r="BX14" s="43">
        <f>'FORRO'!E73</f>
        <v/>
      </c>
      <c r="BY14" s="43">
        <f>'FORRO'!E74</f>
        <v/>
      </c>
      <c r="BZ14" s="43">
        <f>'FORRO'!E75</f>
        <v/>
      </c>
      <c r="CA14" s="43">
        <f>'FORRO'!E76</f>
        <v/>
      </c>
    </row>
    <row r="15">
      <c r="A15" s="21" t="inlineStr">
        <is>
          <t>G041.002</t>
        </is>
      </c>
      <c r="B15" s="21" t="inlineStr">
        <is>
          <t>1030-1070-200</t>
        </is>
      </c>
      <c r="C15" s="21" t="inlineStr">
        <is>
          <t>FUNDAÇÃO PROFUNDA</t>
        </is>
      </c>
      <c r="D15" s="37">
        <f>'FUND. PROF'!$K$5</f>
        <v/>
      </c>
      <c r="E15" s="12">
        <f>SUM(H15:CA15)</f>
        <v/>
      </c>
      <c r="F15" s="12">
        <f>IF(D15="","",D15-E15)</f>
        <v/>
      </c>
      <c r="H15" s="43">
        <f>'FUND. PROF'!E5</f>
        <v/>
      </c>
      <c r="I15" s="43">
        <f>'FUND. PROF'!E6</f>
        <v/>
      </c>
      <c r="J15" s="43">
        <f>'FUND. PROF'!E7</f>
        <v/>
      </c>
      <c r="K15" s="43">
        <f>'FUND. PROF'!E8</f>
        <v/>
      </c>
      <c r="L15" s="43">
        <f>'FUND. PROF'!E9</f>
        <v/>
      </c>
      <c r="M15" s="43">
        <f>'FUND. PROF'!E10</f>
        <v/>
      </c>
      <c r="N15" s="43">
        <f>'FUND. PROF'!E11</f>
        <v/>
      </c>
      <c r="O15" s="43">
        <f>'FUND. PROF'!E12</f>
        <v/>
      </c>
      <c r="P15" s="43">
        <f>'FUND. PROF'!E13</f>
        <v/>
      </c>
      <c r="Q15" s="43">
        <f>'FUND. PROF'!E14</f>
        <v/>
      </c>
      <c r="R15" s="43">
        <f>'FUND. PROF'!E15</f>
        <v/>
      </c>
      <c r="S15" s="43">
        <f>'FUND. PROF'!E16</f>
        <v/>
      </c>
      <c r="T15" s="43">
        <f>'FUND. PROF'!E17</f>
        <v/>
      </c>
      <c r="U15" s="43">
        <f>'FUND. PROF'!E18</f>
        <v/>
      </c>
      <c r="V15" s="43">
        <f>'FUND. PROF'!E19</f>
        <v/>
      </c>
      <c r="W15" s="43">
        <f>'FUND. PROF'!E20</f>
        <v/>
      </c>
      <c r="X15" s="43">
        <f>'FUND. PROF'!E21</f>
        <v/>
      </c>
      <c r="Y15" s="43">
        <f>'FUND. PROF'!E22</f>
        <v/>
      </c>
      <c r="Z15" s="43">
        <f>'FUND. PROF'!E23</f>
        <v/>
      </c>
      <c r="AA15" s="43">
        <f>'FUND. PROF'!E24</f>
        <v/>
      </c>
      <c r="AB15" s="43">
        <f>'FUND. PROF'!E25</f>
        <v/>
      </c>
      <c r="AC15" s="43">
        <f>'FUND. PROF'!E26</f>
        <v/>
      </c>
      <c r="AD15" s="43">
        <f>'FUND. PROF'!E27</f>
        <v/>
      </c>
      <c r="AE15" s="43">
        <f>'FUND. PROF'!E28</f>
        <v/>
      </c>
      <c r="AF15" s="43">
        <f>'FUND. PROF'!E29</f>
        <v/>
      </c>
      <c r="AG15" s="43">
        <f>'FUND. PROF'!E30</f>
        <v/>
      </c>
      <c r="AH15" s="43">
        <f>'FUND. PROF'!E31</f>
        <v/>
      </c>
      <c r="AI15" s="43">
        <f>'FUND. PROF'!E32</f>
        <v/>
      </c>
      <c r="AJ15" s="43">
        <f>'FUND. PROF'!E33</f>
        <v/>
      </c>
      <c r="AK15" s="43">
        <f>'FUND. PROF'!E34</f>
        <v/>
      </c>
      <c r="AL15" s="43">
        <f>'FUND. PROF'!E35</f>
        <v/>
      </c>
      <c r="AM15" s="43">
        <f>'FUND. PROF'!E36</f>
        <v/>
      </c>
      <c r="AN15" s="43">
        <f>'FUND. PROF'!E37</f>
        <v/>
      </c>
      <c r="AO15" s="43">
        <f>'FUND. PROF'!E38</f>
        <v/>
      </c>
      <c r="AP15" s="43">
        <f>'FUND. PROF'!E39</f>
        <v/>
      </c>
      <c r="AQ15" s="43">
        <f>'FUND. PROF'!E40</f>
        <v/>
      </c>
      <c r="AR15" s="43">
        <f>'FUND. PROF'!E41</f>
        <v/>
      </c>
      <c r="AS15" s="43">
        <f>'FUND. PROF'!E42</f>
        <v/>
      </c>
      <c r="AT15" s="43">
        <f>'FUND. PROF'!E43</f>
        <v/>
      </c>
      <c r="AU15" s="43">
        <f>'FUND. PROF'!E44</f>
        <v/>
      </c>
      <c r="AV15" s="43">
        <f>'FUND. PROF'!E45</f>
        <v/>
      </c>
      <c r="AW15" s="43">
        <f>'FUND. PROF'!E46</f>
        <v/>
      </c>
      <c r="AX15" s="43">
        <f>'FUND. PROF'!E47</f>
        <v/>
      </c>
      <c r="AY15" s="43">
        <f>'FUND. PROF'!E48</f>
        <v/>
      </c>
      <c r="AZ15" s="43">
        <f>'FUND. PROF'!E49</f>
        <v/>
      </c>
      <c r="BA15" s="43">
        <f>'FUND. PROF'!E50</f>
        <v/>
      </c>
      <c r="BB15" s="43">
        <f>'FUND. PROF'!E51</f>
        <v/>
      </c>
      <c r="BC15" s="43">
        <f>'FUND. PROF'!E52</f>
        <v/>
      </c>
      <c r="BD15" s="43">
        <f>'FUND. PROF'!E53</f>
        <v/>
      </c>
      <c r="BE15" s="43">
        <f>'FUND. PROF'!E54</f>
        <v/>
      </c>
      <c r="BF15" s="43">
        <f>'FUND. PROF'!E55</f>
        <v/>
      </c>
      <c r="BG15" s="43">
        <f>'FUND. PROF'!E56</f>
        <v/>
      </c>
      <c r="BH15" s="43">
        <f>'FUND. PROF'!E57</f>
        <v/>
      </c>
      <c r="BI15" s="43">
        <f>'FUND. PROF'!E58</f>
        <v/>
      </c>
      <c r="BJ15" s="43">
        <f>'FUND. PROF'!E59</f>
        <v/>
      </c>
      <c r="BK15" s="43">
        <f>'FUND. PROF'!E60</f>
        <v/>
      </c>
      <c r="BL15" s="43">
        <f>'FUND. PROF'!E61</f>
        <v/>
      </c>
      <c r="BM15" s="43">
        <f>'FUND. PROF'!E62</f>
        <v/>
      </c>
      <c r="BN15" s="43">
        <f>'FUND. PROF'!E63</f>
        <v/>
      </c>
      <c r="BO15" s="43">
        <f>'FUND. PROF'!E64</f>
        <v/>
      </c>
      <c r="BP15" s="43">
        <f>'FUND. PROF'!E65</f>
        <v/>
      </c>
      <c r="BQ15" s="43">
        <f>'FUND. PROF'!E66</f>
        <v/>
      </c>
      <c r="BR15" s="43">
        <f>'FUND. PROF'!E67</f>
        <v/>
      </c>
      <c r="BS15" s="43">
        <f>'FUND. PROF'!E68</f>
        <v/>
      </c>
      <c r="BT15" s="43">
        <f>'FUND. PROF'!E69</f>
        <v/>
      </c>
      <c r="BU15" s="43">
        <f>'FUND. PROF'!E70</f>
        <v/>
      </c>
      <c r="BV15" s="43">
        <f>'FUND. PROF'!E71</f>
        <v/>
      </c>
      <c r="BW15" s="43">
        <f>'FUND. PROF'!E72</f>
        <v/>
      </c>
      <c r="BX15" s="43">
        <f>'FUND. PROF'!E73</f>
        <v/>
      </c>
      <c r="BY15" s="43">
        <f>'FUND. PROF'!E74</f>
        <v/>
      </c>
      <c r="BZ15" s="43">
        <f>'FUND. PROF'!E75</f>
        <v/>
      </c>
      <c r="CA15" s="43">
        <f>'FUND. PROF'!E76</f>
        <v/>
      </c>
    </row>
    <row r="16">
      <c r="A16" s="21" t="inlineStr">
        <is>
          <t>G041.002</t>
        </is>
      </c>
      <c r="B16" s="21" t="inlineStr">
        <is>
          <t>1030-1070-210</t>
        </is>
      </c>
      <c r="C16" s="21" t="inlineStr">
        <is>
          <t>FUNDAÇÃO SUPERFICIAL</t>
        </is>
      </c>
      <c r="D16" s="37">
        <f>'FUND. SUP'!$K$5</f>
        <v/>
      </c>
      <c r="E16" s="12">
        <f>SUM(H16:CA16)</f>
        <v/>
      </c>
      <c r="F16" s="12">
        <f>IF(D16="","",D16-E16)</f>
        <v/>
      </c>
      <c r="H16" s="43">
        <f>'FUND. SUP'!E5</f>
        <v/>
      </c>
      <c r="I16" s="43">
        <f>'FUND. SUP'!E6</f>
        <v/>
      </c>
      <c r="J16" s="43">
        <f>'FUND. SUP'!E7</f>
        <v/>
      </c>
      <c r="K16" s="43">
        <f>'FUND. SUP'!E8</f>
        <v/>
      </c>
      <c r="L16" s="43">
        <f>'FUND. SUP'!E9</f>
        <v/>
      </c>
      <c r="M16" s="43">
        <f>'FUND. SUP'!E10</f>
        <v/>
      </c>
      <c r="N16" s="43">
        <f>'FUND. SUP'!E11</f>
        <v/>
      </c>
      <c r="O16" s="43">
        <f>'FUND. SUP'!E12</f>
        <v/>
      </c>
      <c r="P16" s="43">
        <f>'FUND. SUP'!E13</f>
        <v/>
      </c>
      <c r="Q16" s="43">
        <f>'FUND. SUP'!E14</f>
        <v/>
      </c>
      <c r="R16" s="43">
        <f>'FUND. SUP'!E15</f>
        <v/>
      </c>
      <c r="S16" s="43">
        <f>'FUND. SUP'!E16</f>
        <v/>
      </c>
      <c r="T16" s="43">
        <f>'FUND. SUP'!E17</f>
        <v/>
      </c>
      <c r="U16" s="43">
        <f>'FUND. SUP'!E18</f>
        <v/>
      </c>
      <c r="V16" s="43">
        <f>'FUND. SUP'!E19</f>
        <v/>
      </c>
      <c r="W16" s="43">
        <f>'FUND. SUP'!E20</f>
        <v/>
      </c>
      <c r="X16" s="43">
        <f>'FUND. SUP'!E21</f>
        <v/>
      </c>
      <c r="Y16" s="43">
        <f>'FUND. SUP'!E22</f>
        <v/>
      </c>
      <c r="Z16" s="43">
        <f>'FUND. SUP'!E23</f>
        <v/>
      </c>
      <c r="AA16" s="43">
        <f>'FUND. SUP'!E24</f>
        <v/>
      </c>
      <c r="AB16" s="43">
        <f>'FUND. SUP'!E25</f>
        <v/>
      </c>
      <c r="AC16" s="43">
        <f>'FUND. SUP'!E26</f>
        <v/>
      </c>
      <c r="AD16" s="43">
        <f>'FUND. SUP'!E27</f>
        <v/>
      </c>
      <c r="AE16" s="43">
        <f>'FUND. SUP'!E28</f>
        <v/>
      </c>
      <c r="AF16" s="43">
        <f>'FUND. SUP'!E29</f>
        <v/>
      </c>
      <c r="AG16" s="43">
        <f>'FUND. SUP'!E30</f>
        <v/>
      </c>
      <c r="AH16" s="43">
        <f>'FUND. SUP'!E31</f>
        <v/>
      </c>
      <c r="AI16" s="43">
        <f>'FUND. SUP'!E32</f>
        <v/>
      </c>
      <c r="AJ16" s="43">
        <f>'FUND. SUP'!E33</f>
        <v/>
      </c>
      <c r="AK16" s="43">
        <f>'FUND. SUP'!E34</f>
        <v/>
      </c>
      <c r="AL16" s="43">
        <f>'FUND. SUP'!E35</f>
        <v/>
      </c>
      <c r="AM16" s="43">
        <f>'FUND. SUP'!E36</f>
        <v/>
      </c>
      <c r="AN16" s="43">
        <f>'FUND. SUP'!E37</f>
        <v/>
      </c>
      <c r="AO16" s="43">
        <f>'FUND. SUP'!E38</f>
        <v/>
      </c>
      <c r="AP16" s="43">
        <f>'FUND. SUP'!E39</f>
        <v/>
      </c>
      <c r="AQ16" s="43">
        <f>'FUND. SUP'!E40</f>
        <v/>
      </c>
      <c r="AR16" s="43">
        <f>'FUND. SUP'!E41</f>
        <v/>
      </c>
      <c r="AS16" s="43">
        <f>'FUND. SUP'!E42</f>
        <v/>
      </c>
      <c r="AT16" s="43">
        <f>'FUND. SUP'!E43</f>
        <v/>
      </c>
      <c r="AU16" s="43">
        <f>'FUND. SUP'!E44</f>
        <v/>
      </c>
      <c r="AV16" s="43">
        <f>'FUND. SUP'!E45</f>
        <v/>
      </c>
      <c r="AW16" s="43">
        <f>'FUND. SUP'!E46</f>
        <v/>
      </c>
      <c r="AX16" s="43">
        <f>'FUND. SUP'!E47</f>
        <v/>
      </c>
      <c r="AY16" s="43">
        <f>'FUND. SUP'!E48</f>
        <v/>
      </c>
      <c r="AZ16" s="43">
        <f>'FUND. SUP'!E49</f>
        <v/>
      </c>
      <c r="BA16" s="43">
        <f>'FUND. SUP'!E50</f>
        <v/>
      </c>
      <c r="BB16" s="43">
        <f>'FUND. SUP'!E51</f>
        <v/>
      </c>
      <c r="BC16" s="43">
        <f>'FUND. SUP'!E52</f>
        <v/>
      </c>
      <c r="BD16" s="43">
        <f>'FUND. SUP'!E53</f>
        <v/>
      </c>
      <c r="BE16" s="43">
        <f>'FUND. SUP'!E54</f>
        <v/>
      </c>
      <c r="BF16" s="43">
        <f>'FUND. SUP'!E55</f>
        <v/>
      </c>
      <c r="BG16" s="43">
        <f>'FUND. SUP'!E56</f>
        <v/>
      </c>
      <c r="BH16" s="43">
        <f>'FUND. SUP'!E57</f>
        <v/>
      </c>
      <c r="BI16" s="43">
        <f>'FUND. SUP'!E58</f>
        <v/>
      </c>
      <c r="BJ16" s="43">
        <f>'FUND. SUP'!E59</f>
        <v/>
      </c>
      <c r="BK16" s="43">
        <f>'FUND. SUP'!E60</f>
        <v/>
      </c>
      <c r="BL16" s="43">
        <f>'FUND. SUP'!E61</f>
        <v/>
      </c>
      <c r="BM16" s="43">
        <f>'FUND. SUP'!E62</f>
        <v/>
      </c>
      <c r="BN16" s="43">
        <f>'FUND. SUP'!E63</f>
        <v/>
      </c>
      <c r="BO16" s="43">
        <f>'FUND. SUP'!E64</f>
        <v/>
      </c>
      <c r="BP16" s="43">
        <f>'FUND. SUP'!E65</f>
        <v/>
      </c>
      <c r="BQ16" s="43">
        <f>'FUND. SUP'!E66</f>
        <v/>
      </c>
      <c r="BR16" s="43">
        <f>'FUND. SUP'!E67</f>
        <v/>
      </c>
      <c r="BS16" s="43">
        <f>'FUND. SUP'!E68</f>
        <v/>
      </c>
      <c r="BT16" s="43">
        <f>'FUND. SUP'!E69</f>
        <v/>
      </c>
      <c r="BU16" s="43">
        <f>'FUND. SUP'!E70</f>
        <v/>
      </c>
      <c r="BV16" s="43">
        <f>'FUND. SUP'!E71</f>
        <v/>
      </c>
      <c r="BW16" s="43">
        <f>'FUND. SUP'!E72</f>
        <v/>
      </c>
      <c r="BX16" s="43">
        <f>'FUND. SUP'!E73</f>
        <v/>
      </c>
      <c r="BY16" s="43">
        <f>'FUND. SUP'!E74</f>
        <v/>
      </c>
      <c r="BZ16" s="43">
        <f>'FUND. SUP'!E75</f>
        <v/>
      </c>
      <c r="CA16" s="43">
        <f>'FUND. SUP'!E76</f>
        <v/>
      </c>
    </row>
    <row r="17">
      <c r="A17" s="21" t="inlineStr">
        <is>
          <t>G041.002</t>
        </is>
      </c>
      <c r="B17" s="21" t="inlineStr">
        <is>
          <t>1030-1070-290</t>
        </is>
      </c>
      <c r="C17" s="21" t="inlineStr">
        <is>
          <t>IMPERMEABILIZAÇÃO</t>
        </is>
      </c>
      <c r="D17" s="37">
        <f>'IMPERMEABILIZAÇÃO'!$K$5</f>
        <v/>
      </c>
      <c r="E17" s="12">
        <f>SUM(H17:CA17)</f>
        <v/>
      </c>
      <c r="F17" s="12">
        <f>IF(D17="","",D17-E17)</f>
        <v/>
      </c>
      <c r="H17" s="43">
        <f>'IMPERMEABILIZAÇÃO'!E5</f>
        <v/>
      </c>
      <c r="I17" s="43">
        <f>'IMPERMEABILIZAÇÃO'!E6</f>
        <v/>
      </c>
      <c r="J17" s="43">
        <f>'IMPERMEABILIZAÇÃO'!E7</f>
        <v/>
      </c>
      <c r="K17" s="43">
        <f>'IMPERMEABILIZAÇÃO'!E8</f>
        <v/>
      </c>
      <c r="L17" s="43">
        <f>'IMPERMEABILIZAÇÃO'!E9</f>
        <v/>
      </c>
      <c r="M17" s="43">
        <f>'IMPERMEABILIZAÇÃO'!E10</f>
        <v/>
      </c>
      <c r="N17" s="43">
        <f>'IMPERMEABILIZAÇÃO'!E11</f>
        <v/>
      </c>
      <c r="O17" s="43">
        <f>'IMPERMEABILIZAÇÃO'!E12</f>
        <v/>
      </c>
      <c r="P17" s="43">
        <f>'IMPERMEABILIZAÇÃO'!E13</f>
        <v/>
      </c>
      <c r="Q17" s="43">
        <f>'IMPERMEABILIZAÇÃO'!E14</f>
        <v/>
      </c>
      <c r="R17" s="43">
        <f>'IMPERMEABILIZAÇÃO'!E15</f>
        <v/>
      </c>
      <c r="S17" s="43">
        <f>'IMPERMEABILIZAÇÃO'!E16</f>
        <v/>
      </c>
      <c r="T17" s="43">
        <f>'IMPERMEABILIZAÇÃO'!E17</f>
        <v/>
      </c>
      <c r="U17" s="43">
        <f>'IMPERMEABILIZAÇÃO'!E18</f>
        <v/>
      </c>
      <c r="V17" s="43">
        <f>'IMPERMEABILIZAÇÃO'!E19</f>
        <v/>
      </c>
      <c r="W17" s="43">
        <f>'IMPERMEABILIZAÇÃO'!E20</f>
        <v/>
      </c>
      <c r="X17" s="43">
        <f>'IMPERMEABILIZAÇÃO'!E21</f>
        <v/>
      </c>
      <c r="Y17" s="43">
        <f>'IMPERMEABILIZAÇÃO'!E22</f>
        <v/>
      </c>
      <c r="Z17" s="43">
        <f>'IMPERMEABILIZAÇÃO'!E23</f>
        <v/>
      </c>
      <c r="AA17" s="43">
        <f>'IMPERMEABILIZAÇÃO'!E24</f>
        <v/>
      </c>
      <c r="AB17" s="43">
        <f>'IMPERMEABILIZAÇÃO'!E25</f>
        <v/>
      </c>
      <c r="AC17" s="43">
        <f>'IMPERMEABILIZAÇÃO'!E26</f>
        <v/>
      </c>
      <c r="AD17" s="43">
        <f>'IMPERMEABILIZAÇÃO'!E27</f>
        <v/>
      </c>
      <c r="AE17" s="43">
        <f>'IMPERMEABILIZAÇÃO'!E28</f>
        <v/>
      </c>
      <c r="AF17" s="43">
        <f>'IMPERMEABILIZAÇÃO'!E29</f>
        <v/>
      </c>
      <c r="AG17" s="43">
        <f>'IMPERMEABILIZAÇÃO'!E30</f>
        <v/>
      </c>
      <c r="AH17" s="43">
        <f>'IMPERMEABILIZAÇÃO'!E31</f>
        <v/>
      </c>
      <c r="AI17" s="43">
        <f>'IMPERMEABILIZAÇÃO'!E32</f>
        <v/>
      </c>
      <c r="AJ17" s="43">
        <f>'IMPERMEABILIZAÇÃO'!E33</f>
        <v/>
      </c>
      <c r="AK17" s="43">
        <f>'IMPERMEABILIZAÇÃO'!E34</f>
        <v/>
      </c>
      <c r="AL17" s="43">
        <f>'IMPERMEABILIZAÇÃO'!E35</f>
        <v/>
      </c>
      <c r="AM17" s="43">
        <f>'IMPERMEABILIZAÇÃO'!E36</f>
        <v/>
      </c>
      <c r="AN17" s="43">
        <f>'IMPERMEABILIZAÇÃO'!E37</f>
        <v/>
      </c>
      <c r="AO17" s="43">
        <f>'IMPERMEABILIZAÇÃO'!E38</f>
        <v/>
      </c>
      <c r="AP17" s="43">
        <f>'IMPERMEABILIZAÇÃO'!E39</f>
        <v/>
      </c>
      <c r="AQ17" s="43">
        <f>'IMPERMEABILIZAÇÃO'!E40</f>
        <v/>
      </c>
      <c r="AR17" s="43">
        <f>'IMPERMEABILIZAÇÃO'!E41</f>
        <v/>
      </c>
      <c r="AS17" s="43">
        <f>'IMPERMEABILIZAÇÃO'!E42</f>
        <v/>
      </c>
      <c r="AT17" s="43">
        <f>'IMPERMEABILIZAÇÃO'!E43</f>
        <v/>
      </c>
      <c r="AU17" s="43">
        <f>'IMPERMEABILIZAÇÃO'!E44</f>
        <v/>
      </c>
      <c r="AV17" s="43">
        <f>'IMPERMEABILIZAÇÃO'!E45</f>
        <v/>
      </c>
      <c r="AW17" s="43">
        <f>'IMPERMEABILIZAÇÃO'!E46</f>
        <v/>
      </c>
      <c r="AX17" s="43">
        <f>'IMPERMEABILIZAÇÃO'!E47</f>
        <v/>
      </c>
      <c r="AY17" s="43">
        <f>'IMPERMEABILIZAÇÃO'!E48</f>
        <v/>
      </c>
      <c r="AZ17" s="43">
        <f>'IMPERMEABILIZAÇÃO'!E49</f>
        <v/>
      </c>
      <c r="BA17" s="43">
        <f>'IMPERMEABILIZAÇÃO'!E50</f>
        <v/>
      </c>
      <c r="BB17" s="43">
        <f>'IMPERMEABILIZAÇÃO'!E51</f>
        <v/>
      </c>
      <c r="BC17" s="43">
        <f>'IMPERMEABILIZAÇÃO'!E52</f>
        <v/>
      </c>
      <c r="BD17" s="43">
        <f>'IMPERMEABILIZAÇÃO'!E53</f>
        <v/>
      </c>
      <c r="BE17" s="43">
        <f>'IMPERMEABILIZAÇÃO'!E54</f>
        <v/>
      </c>
      <c r="BF17" s="43">
        <f>'IMPERMEABILIZAÇÃO'!E55</f>
        <v/>
      </c>
      <c r="BG17" s="43">
        <f>'IMPERMEABILIZAÇÃO'!E56</f>
        <v/>
      </c>
      <c r="BH17" s="43">
        <f>'IMPERMEABILIZAÇÃO'!E57</f>
        <v/>
      </c>
      <c r="BI17" s="43">
        <f>'IMPERMEABILIZAÇÃO'!E58</f>
        <v/>
      </c>
      <c r="BJ17" s="43">
        <f>'IMPERMEABILIZAÇÃO'!E59</f>
        <v/>
      </c>
      <c r="BK17" s="43">
        <f>'IMPERMEABILIZAÇÃO'!E60</f>
        <v/>
      </c>
      <c r="BL17" s="43">
        <f>'IMPERMEABILIZAÇÃO'!E61</f>
        <v/>
      </c>
      <c r="BM17" s="43">
        <f>'IMPERMEABILIZAÇÃO'!E62</f>
        <v/>
      </c>
      <c r="BN17" s="43">
        <f>'IMPERMEABILIZAÇÃO'!E63</f>
        <v/>
      </c>
      <c r="BO17" s="43">
        <f>'IMPERMEABILIZAÇÃO'!E64</f>
        <v/>
      </c>
      <c r="BP17" s="43">
        <f>'IMPERMEABILIZAÇÃO'!E65</f>
        <v/>
      </c>
      <c r="BQ17" s="43">
        <f>'IMPERMEABILIZAÇÃO'!E66</f>
        <v/>
      </c>
      <c r="BR17" s="43">
        <f>'IMPERMEABILIZAÇÃO'!E67</f>
        <v/>
      </c>
      <c r="BS17" s="43">
        <f>'IMPERMEABILIZAÇÃO'!E68</f>
        <v/>
      </c>
      <c r="BT17" s="43">
        <f>'IMPERMEABILIZAÇÃO'!E69</f>
        <v/>
      </c>
      <c r="BU17" s="43">
        <f>'IMPERMEABILIZAÇÃO'!E70</f>
        <v/>
      </c>
      <c r="BV17" s="43">
        <f>'IMPERMEABILIZAÇÃO'!E71</f>
        <v/>
      </c>
      <c r="BW17" s="43">
        <f>'IMPERMEABILIZAÇÃO'!E72</f>
        <v/>
      </c>
      <c r="BX17" s="43">
        <f>'IMPERMEABILIZAÇÃO'!E73</f>
        <v/>
      </c>
      <c r="BY17" s="43">
        <f>'IMPERMEABILIZAÇÃO'!E74</f>
        <v/>
      </c>
      <c r="BZ17" s="43">
        <f>'IMPERMEABILIZAÇÃO'!E75</f>
        <v/>
      </c>
      <c r="CA17" s="43">
        <f>'IMPERMEABILIZAÇÃO'!E76</f>
        <v/>
      </c>
    </row>
    <row r="18">
      <c r="A18" s="21" t="inlineStr">
        <is>
          <t>G041.002</t>
        </is>
      </c>
      <c r="B18" s="21" t="inlineStr">
        <is>
          <t>1030-1070-260</t>
        </is>
      </c>
      <c r="C18" s="21" t="inlineStr">
        <is>
          <t>INSTALAÇÕES COMBATE INCÊNDIO</t>
        </is>
      </c>
      <c r="D18" s="37">
        <f>'INST. INC'!$K$5</f>
        <v/>
      </c>
      <c r="E18" s="12">
        <f>SUM(H18:CA18)</f>
        <v/>
      </c>
      <c r="F18" s="12">
        <f>IF(D18="","",D18-E18)</f>
        <v/>
      </c>
      <c r="H18" s="43">
        <f>'INST. INC'!E5</f>
        <v/>
      </c>
      <c r="I18" s="43">
        <f>'INST. INC'!E6</f>
        <v/>
      </c>
      <c r="J18" s="43">
        <f>'INST. INC'!E7</f>
        <v/>
      </c>
      <c r="K18" s="43">
        <f>'INST. INC'!E8</f>
        <v/>
      </c>
      <c r="L18" s="43">
        <f>'INST. INC'!E9</f>
        <v/>
      </c>
      <c r="M18" s="43">
        <f>'INST. INC'!E10</f>
        <v/>
      </c>
      <c r="N18" s="43">
        <f>'INST. INC'!E11</f>
        <v/>
      </c>
      <c r="O18" s="43">
        <f>'INST. INC'!E12</f>
        <v/>
      </c>
      <c r="P18" s="43">
        <f>'INST. INC'!E13</f>
        <v/>
      </c>
      <c r="Q18" s="43">
        <f>'INST. INC'!E14</f>
        <v/>
      </c>
      <c r="R18" s="43">
        <f>'INST. INC'!E15</f>
        <v/>
      </c>
      <c r="S18" s="43">
        <f>'INST. INC'!E16</f>
        <v/>
      </c>
      <c r="T18" s="43">
        <f>'INST. INC'!E17</f>
        <v/>
      </c>
      <c r="U18" s="43">
        <f>'INST. INC'!E18</f>
        <v/>
      </c>
      <c r="V18" s="43">
        <f>'INST. INC'!E19</f>
        <v/>
      </c>
      <c r="W18" s="43">
        <f>'INST. INC'!E20</f>
        <v/>
      </c>
      <c r="X18" s="43">
        <f>'INST. INC'!E21</f>
        <v/>
      </c>
      <c r="Y18" s="43">
        <f>'INST. INC'!E22</f>
        <v/>
      </c>
      <c r="Z18" s="43">
        <f>'INST. INC'!E23</f>
        <v/>
      </c>
      <c r="AA18" s="43">
        <f>'INST. INC'!E24</f>
        <v/>
      </c>
      <c r="AB18" s="43">
        <f>'INST. INC'!E25</f>
        <v/>
      </c>
      <c r="AC18" s="43">
        <f>'INST. INC'!E26</f>
        <v/>
      </c>
      <c r="AD18" s="43">
        <f>'INST. INC'!E27</f>
        <v/>
      </c>
      <c r="AE18" s="43">
        <f>'INST. INC'!E28</f>
        <v/>
      </c>
      <c r="AF18" s="43">
        <f>'INST. INC'!E29</f>
        <v/>
      </c>
      <c r="AG18" s="43">
        <f>'INST. INC'!E30</f>
        <v/>
      </c>
      <c r="AH18" s="43">
        <f>'INST. INC'!E31</f>
        <v/>
      </c>
      <c r="AI18" s="43">
        <f>'INST. INC'!E32</f>
        <v/>
      </c>
      <c r="AJ18" s="43">
        <f>'INST. INC'!E33</f>
        <v/>
      </c>
      <c r="AK18" s="43">
        <f>'INST. INC'!E34</f>
        <v/>
      </c>
      <c r="AL18" s="43">
        <f>'INST. INC'!E35</f>
        <v/>
      </c>
      <c r="AM18" s="43">
        <f>'INST. INC'!E36</f>
        <v/>
      </c>
      <c r="AN18" s="43">
        <f>'INST. INC'!E37</f>
        <v/>
      </c>
      <c r="AO18" s="43">
        <f>'INST. INC'!E38</f>
        <v/>
      </c>
      <c r="AP18" s="43">
        <f>'INST. INC'!E39</f>
        <v/>
      </c>
      <c r="AQ18" s="43">
        <f>'INST. INC'!E40</f>
        <v/>
      </c>
      <c r="AR18" s="43">
        <f>'INST. INC'!E41</f>
        <v/>
      </c>
      <c r="AS18" s="43">
        <f>'INST. INC'!E42</f>
        <v/>
      </c>
      <c r="AT18" s="43">
        <f>'INST. INC'!E43</f>
        <v/>
      </c>
      <c r="AU18" s="43">
        <f>'INST. INC'!E44</f>
        <v/>
      </c>
      <c r="AV18" s="43">
        <f>'INST. INC'!E45</f>
        <v/>
      </c>
      <c r="AW18" s="43">
        <f>'INST. INC'!E46</f>
        <v/>
      </c>
      <c r="AX18" s="43">
        <f>'INST. INC'!E47</f>
        <v/>
      </c>
      <c r="AY18" s="43">
        <f>'INST. INC'!E48</f>
        <v/>
      </c>
      <c r="AZ18" s="43">
        <f>'INST. INC'!E49</f>
        <v/>
      </c>
      <c r="BA18" s="43">
        <f>'INST. INC'!E50</f>
        <v/>
      </c>
      <c r="BB18" s="43">
        <f>'INST. INC'!E51</f>
        <v/>
      </c>
      <c r="BC18" s="43">
        <f>'INST. INC'!E52</f>
        <v/>
      </c>
      <c r="BD18" s="43">
        <f>'INST. INC'!E53</f>
        <v/>
      </c>
      <c r="BE18" s="43">
        <f>'INST. INC'!E54</f>
        <v/>
      </c>
      <c r="BF18" s="43">
        <f>'INST. INC'!E55</f>
        <v/>
      </c>
      <c r="BG18" s="43">
        <f>'INST. INC'!E56</f>
        <v/>
      </c>
      <c r="BH18" s="43">
        <f>'INST. INC'!E57</f>
        <v/>
      </c>
      <c r="BI18" s="43">
        <f>'INST. INC'!E58</f>
        <v/>
      </c>
      <c r="BJ18" s="43">
        <f>'INST. INC'!E59</f>
        <v/>
      </c>
      <c r="BK18" s="43">
        <f>'INST. INC'!E60</f>
        <v/>
      </c>
      <c r="BL18" s="43">
        <f>'INST. INC'!E61</f>
        <v/>
      </c>
      <c r="BM18" s="43">
        <f>'INST. INC'!E62</f>
        <v/>
      </c>
      <c r="BN18" s="43">
        <f>'INST. INC'!E63</f>
        <v/>
      </c>
      <c r="BO18" s="43">
        <f>'INST. INC'!E64</f>
        <v/>
      </c>
      <c r="BP18" s="43">
        <f>'INST. INC'!E65</f>
        <v/>
      </c>
      <c r="BQ18" s="43">
        <f>'INST. INC'!E66</f>
        <v/>
      </c>
      <c r="BR18" s="43">
        <f>'INST. INC'!E67</f>
        <v/>
      </c>
      <c r="BS18" s="43">
        <f>'INST. INC'!E68</f>
        <v/>
      </c>
      <c r="BT18" s="43">
        <f>'INST. INC'!E69</f>
        <v/>
      </c>
      <c r="BU18" s="43">
        <f>'INST. INC'!E70</f>
        <v/>
      </c>
      <c r="BV18" s="43">
        <f>'INST. INC'!E71</f>
        <v/>
      </c>
      <c r="BW18" s="43">
        <f>'INST. INC'!E72</f>
        <v/>
      </c>
      <c r="BX18" s="43">
        <f>'INST. INC'!E73</f>
        <v/>
      </c>
      <c r="BY18" s="43">
        <f>'INST. INC'!E74</f>
        <v/>
      </c>
      <c r="BZ18" s="43">
        <f>'INST. INC'!E75</f>
        <v/>
      </c>
      <c r="CA18" s="43">
        <f>'INST. INC'!E76</f>
        <v/>
      </c>
    </row>
    <row r="19">
      <c r="A19" s="21" t="inlineStr">
        <is>
          <t>G041.002</t>
        </is>
      </c>
      <c r="B19" s="21" t="inlineStr">
        <is>
          <t>1030-1070-240</t>
        </is>
      </c>
      <c r="C19" s="21" t="inlineStr">
        <is>
          <t>INSTALAÇÕES ELÉTRICAS</t>
        </is>
      </c>
      <c r="D19" s="37">
        <f>'INST. ELÉTRICA'!$K$5</f>
        <v/>
      </c>
      <c r="E19" s="12">
        <f>SUM(H19:CA19)</f>
        <v/>
      </c>
      <c r="F19" s="12">
        <f>IF(D19="","",D19-E19)</f>
        <v/>
      </c>
      <c r="H19" s="43">
        <f>'INST. ELÉTRICA'!E5</f>
        <v/>
      </c>
      <c r="I19" s="43">
        <f>'INST. ELÉTRICA'!E6</f>
        <v/>
      </c>
      <c r="J19" s="43">
        <f>'INST. ELÉTRICA'!E7</f>
        <v/>
      </c>
      <c r="K19" s="43">
        <f>'INST. ELÉTRICA'!E8</f>
        <v/>
      </c>
      <c r="L19" s="43">
        <f>'INST. ELÉTRICA'!E9</f>
        <v/>
      </c>
      <c r="M19" s="43">
        <f>'INST. ELÉTRICA'!E10</f>
        <v/>
      </c>
      <c r="N19" s="43">
        <f>'INST. ELÉTRICA'!E11</f>
        <v/>
      </c>
      <c r="O19" s="43">
        <f>'INST. ELÉTRICA'!E12</f>
        <v/>
      </c>
      <c r="P19" s="43">
        <f>'INST. ELÉTRICA'!E13</f>
        <v/>
      </c>
      <c r="Q19" s="43">
        <f>'INST. ELÉTRICA'!E14</f>
        <v/>
      </c>
      <c r="R19" s="43">
        <f>'INST. ELÉTRICA'!E15</f>
        <v/>
      </c>
      <c r="S19" s="43">
        <f>'INST. ELÉTRICA'!E16</f>
        <v/>
      </c>
      <c r="T19" s="43">
        <f>'INST. ELÉTRICA'!E17</f>
        <v/>
      </c>
      <c r="U19" s="43">
        <f>'INST. ELÉTRICA'!E18</f>
        <v/>
      </c>
      <c r="V19" s="43">
        <f>'INST. ELÉTRICA'!E19</f>
        <v/>
      </c>
      <c r="W19" s="43">
        <f>'INST. ELÉTRICA'!E20</f>
        <v/>
      </c>
      <c r="X19" s="43">
        <f>'INST. ELÉTRICA'!E21</f>
        <v/>
      </c>
      <c r="Y19" s="43">
        <f>'INST. ELÉTRICA'!E22</f>
        <v/>
      </c>
      <c r="Z19" s="43">
        <f>'INST. ELÉTRICA'!E23</f>
        <v/>
      </c>
      <c r="AA19" s="43">
        <f>'INST. ELÉTRICA'!E24</f>
        <v/>
      </c>
      <c r="AB19" s="43">
        <f>'INST. ELÉTRICA'!E25</f>
        <v/>
      </c>
      <c r="AC19" s="43">
        <f>'INST. ELÉTRICA'!E26</f>
        <v/>
      </c>
      <c r="AD19" s="43">
        <f>'INST. ELÉTRICA'!E27</f>
        <v/>
      </c>
      <c r="AE19" s="43">
        <f>'INST. ELÉTRICA'!E28</f>
        <v/>
      </c>
      <c r="AF19" s="43">
        <f>'INST. ELÉTRICA'!E29</f>
        <v/>
      </c>
      <c r="AG19" s="43">
        <f>'INST. ELÉTRICA'!E30</f>
        <v/>
      </c>
      <c r="AH19" s="43">
        <f>'INST. ELÉTRICA'!E31</f>
        <v/>
      </c>
      <c r="AI19" s="43">
        <f>'INST. ELÉTRICA'!E32</f>
        <v/>
      </c>
      <c r="AJ19" s="43">
        <f>'INST. ELÉTRICA'!E33</f>
        <v/>
      </c>
      <c r="AK19" s="43">
        <f>'INST. ELÉTRICA'!E34</f>
        <v/>
      </c>
      <c r="AL19" s="43">
        <f>'INST. ELÉTRICA'!E35</f>
        <v/>
      </c>
      <c r="AM19" s="43">
        <f>'INST. ELÉTRICA'!E36</f>
        <v/>
      </c>
      <c r="AN19" s="43">
        <f>'INST. ELÉTRICA'!E37</f>
        <v/>
      </c>
      <c r="AO19" s="43">
        <f>'INST. ELÉTRICA'!E38</f>
        <v/>
      </c>
      <c r="AP19" s="43">
        <f>'INST. ELÉTRICA'!E39</f>
        <v/>
      </c>
      <c r="AQ19" s="43">
        <f>'INST. ELÉTRICA'!E40</f>
        <v/>
      </c>
      <c r="AR19" s="43">
        <f>'INST. ELÉTRICA'!E41</f>
        <v/>
      </c>
      <c r="AS19" s="43">
        <f>'INST. ELÉTRICA'!E42</f>
        <v/>
      </c>
      <c r="AT19" s="43">
        <f>'INST. ELÉTRICA'!E43</f>
        <v/>
      </c>
      <c r="AU19" s="43">
        <f>'INST. ELÉTRICA'!E44</f>
        <v/>
      </c>
      <c r="AV19" s="43">
        <f>'INST. ELÉTRICA'!E45</f>
        <v/>
      </c>
      <c r="AW19" s="43">
        <f>'INST. ELÉTRICA'!E46</f>
        <v/>
      </c>
      <c r="AX19" s="43">
        <f>'INST. ELÉTRICA'!E47</f>
        <v/>
      </c>
      <c r="AY19" s="43">
        <f>'INST. ELÉTRICA'!E48</f>
        <v/>
      </c>
      <c r="AZ19" s="43">
        <f>'INST. ELÉTRICA'!E49</f>
        <v/>
      </c>
      <c r="BA19" s="43">
        <f>'INST. ELÉTRICA'!E50</f>
        <v/>
      </c>
      <c r="BB19" s="43">
        <f>'INST. ELÉTRICA'!E51</f>
        <v/>
      </c>
      <c r="BC19" s="43">
        <f>'INST. ELÉTRICA'!E52</f>
        <v/>
      </c>
      <c r="BD19" s="43">
        <f>'INST. ELÉTRICA'!E53</f>
        <v/>
      </c>
      <c r="BE19" s="43">
        <f>'INST. ELÉTRICA'!E54</f>
        <v/>
      </c>
      <c r="BF19" s="43">
        <f>'INST. ELÉTRICA'!E55</f>
        <v/>
      </c>
      <c r="BG19" s="43">
        <f>'INST. ELÉTRICA'!E56</f>
        <v/>
      </c>
      <c r="BH19" s="43">
        <f>'INST. ELÉTRICA'!E57</f>
        <v/>
      </c>
      <c r="BI19" s="43">
        <f>'INST. ELÉTRICA'!E58</f>
        <v/>
      </c>
      <c r="BJ19" s="43">
        <f>'INST. ELÉTRICA'!E59</f>
        <v/>
      </c>
      <c r="BK19" s="43">
        <f>'INST. ELÉTRICA'!E60</f>
        <v/>
      </c>
      <c r="BL19" s="43">
        <f>'INST. ELÉTRICA'!E61</f>
        <v/>
      </c>
      <c r="BM19" s="43">
        <f>'INST. ELÉTRICA'!E62</f>
        <v/>
      </c>
      <c r="BN19" s="43">
        <f>'INST. ELÉTRICA'!E63</f>
        <v/>
      </c>
      <c r="BO19" s="43">
        <f>'INST. ELÉTRICA'!E64</f>
        <v/>
      </c>
      <c r="BP19" s="43">
        <f>'INST. ELÉTRICA'!E65</f>
        <v/>
      </c>
      <c r="BQ19" s="43">
        <f>'INST. ELÉTRICA'!E66</f>
        <v/>
      </c>
      <c r="BR19" s="43">
        <f>'INST. ELÉTRICA'!E67</f>
        <v/>
      </c>
      <c r="BS19" s="43">
        <f>'INST. ELÉTRICA'!E68</f>
        <v/>
      </c>
      <c r="BT19" s="43">
        <f>'INST. ELÉTRICA'!E69</f>
        <v/>
      </c>
      <c r="BU19" s="43">
        <f>'INST. ELÉTRICA'!E70</f>
        <v/>
      </c>
      <c r="BV19" s="43">
        <f>'INST. ELÉTRICA'!E71</f>
        <v/>
      </c>
      <c r="BW19" s="43">
        <f>'INST. ELÉTRICA'!E72</f>
        <v/>
      </c>
      <c r="BX19" s="43">
        <f>'INST. ELÉTRICA'!E73</f>
        <v/>
      </c>
      <c r="BY19" s="43">
        <f>'INST. ELÉTRICA'!E74</f>
        <v/>
      </c>
      <c r="BZ19" s="43">
        <f>'INST. ELÉTRICA'!E75</f>
        <v/>
      </c>
      <c r="CA19" s="43">
        <f>'INST. ELÉTRICA'!E76</f>
        <v/>
      </c>
    </row>
    <row r="20">
      <c r="A20" s="21" t="inlineStr">
        <is>
          <t>G041.002</t>
        </is>
      </c>
      <c r="B20" s="21" t="inlineStr">
        <is>
          <t>1030-1070-270</t>
        </is>
      </c>
      <c r="C20" s="21" t="inlineStr">
        <is>
          <t>INSTALAÇÕES ESPECIAIS</t>
        </is>
      </c>
      <c r="D20" s="37">
        <f>'INST. ESP'!$K$5</f>
        <v/>
      </c>
      <c r="E20" s="12">
        <f>SUM(H20:CA20)</f>
        <v/>
      </c>
      <c r="F20" s="12">
        <f>IF(D20="","",D20-E20)</f>
        <v/>
      </c>
      <c r="H20" s="43">
        <f>'INST. ESP'!E5</f>
        <v/>
      </c>
      <c r="I20" s="43">
        <f>'INST. ESP'!E6</f>
        <v/>
      </c>
      <c r="J20" s="43">
        <f>'INST. ESP'!E7</f>
        <v/>
      </c>
      <c r="K20" s="43">
        <f>'INST. ESP'!E8</f>
        <v/>
      </c>
      <c r="L20" s="43">
        <f>'INST. ESP'!E9</f>
        <v/>
      </c>
      <c r="M20" s="43">
        <f>'INST. ESP'!E10</f>
        <v/>
      </c>
      <c r="N20" s="43">
        <f>'INST. ESP'!E11</f>
        <v/>
      </c>
      <c r="O20" s="43">
        <f>'INST. ESP'!E12</f>
        <v/>
      </c>
      <c r="P20" s="43">
        <f>'INST. ESP'!E13</f>
        <v/>
      </c>
      <c r="Q20" s="43">
        <f>'INST. ESP'!E14</f>
        <v/>
      </c>
      <c r="R20" s="43">
        <f>'INST. ESP'!E15</f>
        <v/>
      </c>
      <c r="S20" s="43">
        <f>'INST. ESP'!E16</f>
        <v/>
      </c>
      <c r="T20" s="43">
        <f>'INST. ESP'!E17</f>
        <v/>
      </c>
      <c r="U20" s="43">
        <f>'INST. ESP'!E18</f>
        <v/>
      </c>
      <c r="V20" s="43">
        <f>'INST. ESP'!E19</f>
        <v/>
      </c>
      <c r="W20" s="43">
        <f>'INST. ESP'!E20</f>
        <v/>
      </c>
      <c r="X20" s="43">
        <f>'INST. ESP'!E21</f>
        <v/>
      </c>
      <c r="Y20" s="43">
        <f>'INST. ESP'!E22</f>
        <v/>
      </c>
      <c r="Z20" s="43">
        <f>'INST. ESP'!E23</f>
        <v/>
      </c>
      <c r="AA20" s="43">
        <f>'INST. ESP'!E24</f>
        <v/>
      </c>
      <c r="AB20" s="43">
        <f>'INST. ESP'!E25</f>
        <v/>
      </c>
      <c r="AC20" s="43">
        <f>'INST. ESP'!E26</f>
        <v/>
      </c>
      <c r="AD20" s="43">
        <f>'INST. ESP'!E27</f>
        <v/>
      </c>
      <c r="AE20" s="43">
        <f>'INST. ESP'!E28</f>
        <v/>
      </c>
      <c r="AF20" s="43">
        <f>'INST. ESP'!E29</f>
        <v/>
      </c>
      <c r="AG20" s="43">
        <f>'INST. ESP'!E30</f>
        <v/>
      </c>
      <c r="AH20" s="43">
        <f>'INST. ESP'!E31</f>
        <v/>
      </c>
      <c r="AI20" s="43">
        <f>'INST. ESP'!E32</f>
        <v/>
      </c>
      <c r="AJ20" s="43">
        <f>'INST. ESP'!E33</f>
        <v/>
      </c>
      <c r="AK20" s="43">
        <f>'INST. ESP'!E34</f>
        <v/>
      </c>
      <c r="AL20" s="43">
        <f>'INST. ESP'!E35</f>
        <v/>
      </c>
      <c r="AM20" s="43">
        <f>'INST. ESP'!E36</f>
        <v/>
      </c>
      <c r="AN20" s="43">
        <f>'INST. ESP'!E37</f>
        <v/>
      </c>
      <c r="AO20" s="43">
        <f>'INST. ESP'!E38</f>
        <v/>
      </c>
      <c r="AP20" s="43">
        <f>'INST. ESP'!E39</f>
        <v/>
      </c>
      <c r="AQ20" s="43">
        <f>'INST. ESP'!E40</f>
        <v/>
      </c>
      <c r="AR20" s="43">
        <f>'INST. ESP'!E41</f>
        <v/>
      </c>
      <c r="AS20" s="43">
        <f>'INST. ESP'!E42</f>
        <v/>
      </c>
      <c r="AT20" s="43">
        <f>'INST. ESP'!E43</f>
        <v/>
      </c>
      <c r="AU20" s="43">
        <f>'INST. ESP'!E44</f>
        <v/>
      </c>
      <c r="AV20" s="43">
        <f>'INST. ESP'!E45</f>
        <v/>
      </c>
      <c r="AW20" s="43">
        <f>'INST. ESP'!E46</f>
        <v/>
      </c>
      <c r="AX20" s="43">
        <f>'INST. ESP'!E47</f>
        <v/>
      </c>
      <c r="AY20" s="43">
        <f>'INST. ESP'!E48</f>
        <v/>
      </c>
      <c r="AZ20" s="43">
        <f>'INST. ESP'!E49</f>
        <v/>
      </c>
      <c r="BA20" s="43">
        <f>'INST. ESP'!E50</f>
        <v/>
      </c>
      <c r="BB20" s="43">
        <f>'INST. ESP'!E51</f>
        <v/>
      </c>
      <c r="BC20" s="43">
        <f>'INST. ESP'!E52</f>
        <v/>
      </c>
      <c r="BD20" s="43">
        <f>'INST. ESP'!E53</f>
        <v/>
      </c>
      <c r="BE20" s="43">
        <f>'INST. ESP'!E54</f>
        <v/>
      </c>
      <c r="BF20" s="43">
        <f>'INST. ESP'!E55</f>
        <v/>
      </c>
      <c r="BG20" s="43">
        <f>'INST. ESP'!E56</f>
        <v/>
      </c>
      <c r="BH20" s="43">
        <f>'INST. ESP'!E57</f>
        <v/>
      </c>
      <c r="BI20" s="43">
        <f>'INST. ESP'!E58</f>
        <v/>
      </c>
      <c r="BJ20" s="43">
        <f>'INST. ESP'!E59</f>
        <v/>
      </c>
      <c r="BK20" s="43">
        <f>'INST. ESP'!E60</f>
        <v/>
      </c>
      <c r="BL20" s="43">
        <f>'INST. ESP'!E61</f>
        <v/>
      </c>
      <c r="BM20" s="43">
        <f>'INST. ESP'!E62</f>
        <v/>
      </c>
      <c r="BN20" s="43">
        <f>'INST. ESP'!E63</f>
        <v/>
      </c>
      <c r="BO20" s="43">
        <f>'INST. ESP'!E64</f>
        <v/>
      </c>
      <c r="BP20" s="43">
        <f>'INST. ESP'!E65</f>
        <v/>
      </c>
      <c r="BQ20" s="43">
        <f>'INST. ESP'!E66</f>
        <v/>
      </c>
      <c r="BR20" s="43">
        <f>'INST. ESP'!E67</f>
        <v/>
      </c>
      <c r="BS20" s="43">
        <f>'INST. ESP'!E68</f>
        <v/>
      </c>
      <c r="BT20" s="43">
        <f>'INST. ESP'!E69</f>
        <v/>
      </c>
      <c r="BU20" s="43">
        <f>'INST. ESP'!E70</f>
        <v/>
      </c>
      <c r="BV20" s="43">
        <f>'INST. ESP'!E71</f>
        <v/>
      </c>
      <c r="BW20" s="43">
        <f>'INST. ESP'!E72</f>
        <v/>
      </c>
      <c r="BX20" s="43">
        <f>'INST. ESP'!E73</f>
        <v/>
      </c>
      <c r="BY20" s="43">
        <f>'INST. ESP'!E74</f>
        <v/>
      </c>
      <c r="BZ20" s="43">
        <f>'INST. ESP'!E75</f>
        <v/>
      </c>
      <c r="CA20" s="43">
        <f>'INST. ESP'!E76</f>
        <v/>
      </c>
    </row>
    <row r="21">
      <c r="A21" s="21" t="inlineStr">
        <is>
          <t>G041.002</t>
        </is>
      </c>
      <c r="B21" s="21" t="inlineStr">
        <is>
          <t>1030-1070-250</t>
        </is>
      </c>
      <c r="C21" s="21" t="inlineStr">
        <is>
          <t>INSTALAÇÕES HIDROSANITÁRIAS</t>
        </is>
      </c>
      <c r="D21" s="37">
        <f>'INST. HIDRO'!$K$5</f>
        <v/>
      </c>
      <c r="E21" s="12">
        <f>SUM(H21:CA21)</f>
        <v/>
      </c>
      <c r="F21" s="12">
        <f>IF(D21="","",D21-E21)</f>
        <v/>
      </c>
      <c r="H21" s="43">
        <f>'INST. HIDRO'!E5</f>
        <v/>
      </c>
      <c r="I21" s="43">
        <f>'INST. HIDRO'!E6</f>
        <v/>
      </c>
      <c r="J21" s="43">
        <f>'INST. HIDRO'!E7</f>
        <v/>
      </c>
      <c r="K21" s="43">
        <f>'INST. HIDRO'!E8</f>
        <v/>
      </c>
      <c r="L21" s="43">
        <f>'INST. HIDRO'!E9</f>
        <v/>
      </c>
      <c r="M21" s="43">
        <f>'INST. HIDRO'!E10</f>
        <v/>
      </c>
      <c r="N21" s="43">
        <f>'INST. HIDRO'!E11</f>
        <v/>
      </c>
      <c r="O21" s="43">
        <f>'INST. HIDRO'!E12</f>
        <v/>
      </c>
      <c r="P21" s="43">
        <f>'INST. HIDRO'!E13</f>
        <v/>
      </c>
      <c r="Q21" s="43">
        <f>'INST. HIDRO'!E14</f>
        <v/>
      </c>
      <c r="R21" s="43">
        <f>'INST. HIDRO'!E15</f>
        <v/>
      </c>
      <c r="S21" s="43">
        <f>'INST. HIDRO'!E16</f>
        <v/>
      </c>
      <c r="T21" s="43">
        <f>'INST. HIDRO'!E17</f>
        <v/>
      </c>
      <c r="U21" s="43">
        <f>'INST. HIDRO'!E18</f>
        <v/>
      </c>
      <c r="V21" s="43">
        <f>'INST. HIDRO'!E19</f>
        <v/>
      </c>
      <c r="W21" s="43">
        <f>'INST. HIDRO'!E20</f>
        <v/>
      </c>
      <c r="X21" s="43">
        <f>'INST. HIDRO'!E21</f>
        <v/>
      </c>
      <c r="Y21" s="43">
        <f>'INST. HIDRO'!E22</f>
        <v/>
      </c>
      <c r="Z21" s="43">
        <f>'INST. HIDRO'!E23</f>
        <v/>
      </c>
      <c r="AA21" s="43">
        <f>'INST. HIDRO'!E24</f>
        <v/>
      </c>
      <c r="AB21" s="43">
        <f>'INST. HIDRO'!E25</f>
        <v/>
      </c>
      <c r="AC21" s="43">
        <f>'INST. HIDRO'!E26</f>
        <v/>
      </c>
      <c r="AD21" s="43">
        <f>'INST. HIDRO'!E27</f>
        <v/>
      </c>
      <c r="AE21" s="43">
        <f>'INST. HIDRO'!E28</f>
        <v/>
      </c>
      <c r="AF21" s="43">
        <f>'INST. HIDRO'!E29</f>
        <v/>
      </c>
      <c r="AG21" s="43">
        <f>'INST. HIDRO'!E30</f>
        <v/>
      </c>
      <c r="AH21" s="43">
        <f>'INST. HIDRO'!E31</f>
        <v/>
      </c>
      <c r="AI21" s="43">
        <f>'INST. HIDRO'!E32</f>
        <v/>
      </c>
      <c r="AJ21" s="43">
        <f>'INST. HIDRO'!E33</f>
        <v/>
      </c>
      <c r="AK21" s="43">
        <f>'INST. HIDRO'!E34</f>
        <v/>
      </c>
      <c r="AL21" s="43">
        <f>'INST. HIDRO'!E35</f>
        <v/>
      </c>
      <c r="AM21" s="43">
        <f>'INST. HIDRO'!E36</f>
        <v/>
      </c>
      <c r="AN21" s="43">
        <f>'INST. HIDRO'!E37</f>
        <v/>
      </c>
      <c r="AO21" s="43">
        <f>'INST. HIDRO'!E38</f>
        <v/>
      </c>
      <c r="AP21" s="43">
        <f>'INST. HIDRO'!E39</f>
        <v/>
      </c>
      <c r="AQ21" s="43">
        <f>'INST. HIDRO'!E40</f>
        <v/>
      </c>
      <c r="AR21" s="43">
        <f>'INST. HIDRO'!E41</f>
        <v/>
      </c>
      <c r="AS21" s="43">
        <f>'INST. HIDRO'!E42</f>
        <v/>
      </c>
      <c r="AT21" s="43">
        <f>'INST. HIDRO'!E43</f>
        <v/>
      </c>
      <c r="AU21" s="43">
        <f>'INST. HIDRO'!E44</f>
        <v/>
      </c>
      <c r="AV21" s="43">
        <f>'INST. HIDRO'!E45</f>
        <v/>
      </c>
      <c r="AW21" s="43">
        <f>'INST. HIDRO'!E46</f>
        <v/>
      </c>
      <c r="AX21" s="43">
        <f>'INST. HIDRO'!E47</f>
        <v/>
      </c>
      <c r="AY21" s="43">
        <f>'INST. HIDRO'!E48</f>
        <v/>
      </c>
      <c r="AZ21" s="43">
        <f>'INST. HIDRO'!E49</f>
        <v/>
      </c>
      <c r="BA21" s="43">
        <f>'INST. HIDRO'!E50</f>
        <v/>
      </c>
      <c r="BB21" s="43">
        <f>'INST. HIDRO'!E51</f>
        <v/>
      </c>
      <c r="BC21" s="43">
        <f>'INST. HIDRO'!E52</f>
        <v/>
      </c>
      <c r="BD21" s="43">
        <f>'INST. HIDRO'!E53</f>
        <v/>
      </c>
      <c r="BE21" s="43">
        <f>'INST. HIDRO'!E54</f>
        <v/>
      </c>
      <c r="BF21" s="43">
        <f>'INST. HIDRO'!E55</f>
        <v/>
      </c>
      <c r="BG21" s="43">
        <f>'INST. HIDRO'!E56</f>
        <v/>
      </c>
      <c r="BH21" s="43">
        <f>'INST. HIDRO'!E57</f>
        <v/>
      </c>
      <c r="BI21" s="43">
        <f>'INST. HIDRO'!E58</f>
        <v/>
      </c>
      <c r="BJ21" s="43">
        <f>'INST. HIDRO'!E59</f>
        <v/>
      </c>
      <c r="BK21" s="43">
        <f>'INST. HIDRO'!E60</f>
        <v/>
      </c>
      <c r="BL21" s="43">
        <f>'INST. HIDRO'!E61</f>
        <v/>
      </c>
      <c r="BM21" s="43">
        <f>'INST. HIDRO'!E62</f>
        <v/>
      </c>
      <c r="BN21" s="43">
        <f>'INST. HIDRO'!E63</f>
        <v/>
      </c>
      <c r="BO21" s="43">
        <f>'INST. HIDRO'!E64</f>
        <v/>
      </c>
      <c r="BP21" s="43">
        <f>'INST. HIDRO'!E65</f>
        <v/>
      </c>
      <c r="BQ21" s="43">
        <f>'INST. HIDRO'!E66</f>
        <v/>
      </c>
      <c r="BR21" s="43">
        <f>'INST. HIDRO'!E67</f>
        <v/>
      </c>
      <c r="BS21" s="43">
        <f>'INST. HIDRO'!E68</f>
        <v/>
      </c>
      <c r="BT21" s="43">
        <f>'INST. HIDRO'!E69</f>
        <v/>
      </c>
      <c r="BU21" s="43">
        <f>'INST. HIDRO'!E70</f>
        <v/>
      </c>
      <c r="BV21" s="43">
        <f>'INST. HIDRO'!E71</f>
        <v/>
      </c>
      <c r="BW21" s="43">
        <f>'INST. HIDRO'!E72</f>
        <v/>
      </c>
      <c r="BX21" s="43">
        <f>'INST. HIDRO'!E73</f>
        <v/>
      </c>
      <c r="BY21" s="43">
        <f>'INST. HIDRO'!E74</f>
        <v/>
      </c>
      <c r="BZ21" s="43">
        <f>'INST. HIDRO'!E75</f>
        <v/>
      </c>
      <c r="CA21" s="43">
        <f>'INST. HIDRO'!E76</f>
        <v/>
      </c>
    </row>
    <row r="22">
      <c r="A22" s="21" t="inlineStr">
        <is>
          <t>G041.002</t>
        </is>
      </c>
      <c r="B22" s="21" t="inlineStr">
        <is>
          <t>1030-1070-130</t>
        </is>
      </c>
      <c r="C22" s="21" t="inlineStr">
        <is>
          <t>LEVANTAMENTO TOPOGRÁFICO</t>
        </is>
      </c>
      <c r="E22" s="12">
        <f>SUM(H22:CA22)</f>
        <v/>
      </c>
      <c r="F22" s="12">
        <f>IF(D22="","",D22-E22)</f>
        <v/>
      </c>
    </row>
    <row r="23">
      <c r="A23" s="21" t="inlineStr">
        <is>
          <t>G041.002</t>
        </is>
      </c>
      <c r="B23" s="21" t="inlineStr">
        <is>
          <t>1030-1070-410</t>
        </is>
      </c>
      <c r="C23" s="21" t="inlineStr">
        <is>
          <t>LOUÇAS SANITÁRIAS</t>
        </is>
      </c>
      <c r="D23" s="37">
        <f>'LOUÇAS'!$K$5</f>
        <v/>
      </c>
      <c r="E23" s="12">
        <f>SUM(H23:CA23)</f>
        <v/>
      </c>
      <c r="F23" s="12">
        <f>IF(D23="","",D23-E23)</f>
        <v/>
      </c>
      <c r="H23" s="43">
        <f>'LOUÇAS'!E5</f>
        <v/>
      </c>
      <c r="I23" s="43">
        <f>'LOUÇAS'!E6</f>
        <v/>
      </c>
      <c r="J23" s="43">
        <f>'LOUÇAS'!E7</f>
        <v/>
      </c>
      <c r="K23" s="43">
        <f>'LOUÇAS'!E8</f>
        <v/>
      </c>
      <c r="L23" s="43">
        <f>'LOUÇAS'!E9</f>
        <v/>
      </c>
      <c r="M23" s="43">
        <f>'LOUÇAS'!E10</f>
        <v/>
      </c>
      <c r="N23" s="43">
        <f>'LOUÇAS'!E11</f>
        <v/>
      </c>
      <c r="O23" s="43">
        <f>'LOUÇAS'!E12</f>
        <v/>
      </c>
      <c r="P23" s="43">
        <f>'LOUÇAS'!E13</f>
        <v/>
      </c>
      <c r="Q23" s="43">
        <f>'LOUÇAS'!E14</f>
        <v/>
      </c>
      <c r="R23" s="43">
        <f>'LOUÇAS'!E15</f>
        <v/>
      </c>
      <c r="S23" s="43">
        <f>'LOUÇAS'!E16</f>
        <v/>
      </c>
      <c r="T23" s="43">
        <f>'LOUÇAS'!E17</f>
        <v/>
      </c>
      <c r="U23" s="43">
        <f>'LOUÇAS'!E18</f>
        <v/>
      </c>
      <c r="V23" s="43">
        <f>'LOUÇAS'!E19</f>
        <v/>
      </c>
      <c r="W23" s="43">
        <f>'LOUÇAS'!E20</f>
        <v/>
      </c>
      <c r="X23" s="43">
        <f>'LOUÇAS'!E21</f>
        <v/>
      </c>
      <c r="Y23" s="43">
        <f>'LOUÇAS'!E22</f>
        <v/>
      </c>
      <c r="Z23" s="43">
        <f>'LOUÇAS'!E23</f>
        <v/>
      </c>
      <c r="AA23" s="43">
        <f>'LOUÇAS'!E24</f>
        <v/>
      </c>
      <c r="AB23" s="43">
        <f>'LOUÇAS'!E25</f>
        <v/>
      </c>
      <c r="AC23" s="43">
        <f>'LOUÇAS'!E26</f>
        <v/>
      </c>
      <c r="AD23" s="43">
        <f>'LOUÇAS'!E27</f>
        <v/>
      </c>
      <c r="AE23" s="43">
        <f>'LOUÇAS'!E28</f>
        <v/>
      </c>
      <c r="AF23" s="43">
        <f>'LOUÇAS'!E29</f>
        <v/>
      </c>
      <c r="AG23" s="43">
        <f>'LOUÇAS'!E30</f>
        <v/>
      </c>
      <c r="AH23" s="43">
        <f>'LOUÇAS'!E31</f>
        <v/>
      </c>
      <c r="AI23" s="43">
        <f>'LOUÇAS'!E32</f>
        <v/>
      </c>
      <c r="AJ23" s="43">
        <f>'LOUÇAS'!E33</f>
        <v/>
      </c>
      <c r="AK23" s="43">
        <f>'LOUÇAS'!E34</f>
        <v/>
      </c>
      <c r="AL23" s="43">
        <f>'LOUÇAS'!E35</f>
        <v/>
      </c>
      <c r="AM23" s="43">
        <f>'LOUÇAS'!E36</f>
        <v/>
      </c>
      <c r="AN23" s="43">
        <f>'LOUÇAS'!E37</f>
        <v/>
      </c>
      <c r="AO23" s="43">
        <f>'LOUÇAS'!E38</f>
        <v/>
      </c>
      <c r="AP23" s="43">
        <f>'LOUÇAS'!E39</f>
        <v/>
      </c>
      <c r="AQ23" s="43">
        <f>'LOUÇAS'!E40</f>
        <v/>
      </c>
      <c r="AR23" s="43">
        <f>'LOUÇAS'!E41</f>
        <v/>
      </c>
      <c r="AS23" s="43">
        <f>'LOUÇAS'!E42</f>
        <v/>
      </c>
      <c r="AT23" s="43">
        <f>'LOUÇAS'!E43</f>
        <v/>
      </c>
      <c r="AU23" s="43">
        <f>'LOUÇAS'!E44</f>
        <v/>
      </c>
      <c r="AV23" s="43">
        <f>'LOUÇAS'!E45</f>
        <v/>
      </c>
      <c r="AW23" s="43">
        <f>'LOUÇAS'!E46</f>
        <v/>
      </c>
      <c r="AX23" s="43">
        <f>'LOUÇAS'!E47</f>
        <v/>
      </c>
      <c r="AY23" s="43">
        <f>'LOUÇAS'!E48</f>
        <v/>
      </c>
      <c r="AZ23" s="43">
        <f>'LOUÇAS'!E49</f>
        <v/>
      </c>
      <c r="BA23" s="43">
        <f>'LOUÇAS'!E50</f>
        <v/>
      </c>
      <c r="BB23" s="43">
        <f>'LOUÇAS'!E51</f>
        <v/>
      </c>
      <c r="BC23" s="43">
        <f>'LOUÇAS'!E52</f>
        <v/>
      </c>
      <c r="BD23" s="43">
        <f>'LOUÇAS'!E53</f>
        <v/>
      </c>
      <c r="BE23" s="43">
        <f>'LOUÇAS'!E54</f>
        <v/>
      </c>
      <c r="BF23" s="43">
        <f>'LOUÇAS'!E55</f>
        <v/>
      </c>
      <c r="BG23" s="43">
        <f>'LOUÇAS'!E56</f>
        <v/>
      </c>
      <c r="BH23" s="43">
        <f>'LOUÇAS'!E57</f>
        <v/>
      </c>
      <c r="BI23" s="43">
        <f>'LOUÇAS'!E58</f>
        <v/>
      </c>
      <c r="BJ23" s="43">
        <f>'LOUÇAS'!E59</f>
        <v/>
      </c>
      <c r="BK23" s="43">
        <f>'LOUÇAS'!E60</f>
        <v/>
      </c>
      <c r="BL23" s="43">
        <f>'LOUÇAS'!E61</f>
        <v/>
      </c>
      <c r="BM23" s="43">
        <f>'LOUÇAS'!E62</f>
        <v/>
      </c>
      <c r="BN23" s="43">
        <f>'LOUÇAS'!E63</f>
        <v/>
      </c>
      <c r="BO23" s="43">
        <f>'LOUÇAS'!E64</f>
        <v/>
      </c>
      <c r="BP23" s="43">
        <f>'LOUÇAS'!E65</f>
        <v/>
      </c>
      <c r="BQ23" s="43">
        <f>'LOUÇAS'!E66</f>
        <v/>
      </c>
      <c r="BR23" s="43">
        <f>'LOUÇAS'!E67</f>
        <v/>
      </c>
      <c r="BS23" s="43">
        <f>'LOUÇAS'!E68</f>
        <v/>
      </c>
      <c r="BT23" s="43">
        <f>'LOUÇAS'!E69</f>
        <v/>
      </c>
      <c r="BU23" s="43">
        <f>'LOUÇAS'!E70</f>
        <v/>
      </c>
      <c r="BV23" s="43">
        <f>'LOUÇAS'!E71</f>
        <v/>
      </c>
      <c r="BW23" s="43">
        <f>'LOUÇAS'!E72</f>
        <v/>
      </c>
      <c r="BX23" s="43">
        <f>'LOUÇAS'!E73</f>
        <v/>
      </c>
      <c r="BY23" s="43">
        <f>'LOUÇAS'!E74</f>
        <v/>
      </c>
      <c r="BZ23" s="43">
        <f>'LOUÇAS'!E75</f>
        <v/>
      </c>
      <c r="CA23" s="43">
        <f>'LOUÇAS'!E76</f>
        <v/>
      </c>
    </row>
    <row r="24">
      <c r="A24" s="21" t="inlineStr">
        <is>
          <t>G041.002</t>
        </is>
      </c>
      <c r="B24" s="21" t="inlineStr">
        <is>
          <t>1030-1070-440</t>
        </is>
      </c>
      <c r="C24" s="21" t="inlineStr">
        <is>
          <t>LIMPEZA FINAL DE OBRA</t>
        </is>
      </c>
      <c r="D24" s="37">
        <f>'LIMPEZA'!$K$5</f>
        <v/>
      </c>
      <c r="E24" s="12">
        <f>SUM(H24:CA24)</f>
        <v/>
      </c>
      <c r="F24" s="12">
        <f>IF(D24="","",D24-E24)</f>
        <v/>
      </c>
      <c r="H24" s="43">
        <f>'LIMPEZA'!E5</f>
        <v/>
      </c>
      <c r="I24" s="43">
        <f>'LIMPEZA'!E6</f>
        <v/>
      </c>
      <c r="J24" s="43">
        <f>'LIMPEZA'!E7</f>
        <v/>
      </c>
      <c r="K24" s="43">
        <f>'LIMPEZA'!E8</f>
        <v/>
      </c>
      <c r="L24" s="43">
        <f>'LIMPEZA'!E9</f>
        <v/>
      </c>
      <c r="M24" s="43">
        <f>'LIMPEZA'!E10</f>
        <v/>
      </c>
      <c r="N24" s="43">
        <f>'LIMPEZA'!E11</f>
        <v/>
      </c>
      <c r="O24" s="43">
        <f>'LIMPEZA'!E12</f>
        <v/>
      </c>
      <c r="P24" s="43">
        <f>'LIMPEZA'!E13</f>
        <v/>
      </c>
      <c r="Q24" s="43">
        <f>'LIMPEZA'!E14</f>
        <v/>
      </c>
      <c r="R24" s="43">
        <f>'LIMPEZA'!E15</f>
        <v/>
      </c>
      <c r="S24" s="43">
        <f>'LIMPEZA'!E16</f>
        <v/>
      </c>
      <c r="T24" s="43">
        <f>'LIMPEZA'!E17</f>
        <v/>
      </c>
      <c r="U24" s="43">
        <f>'LIMPEZA'!E18</f>
        <v/>
      </c>
      <c r="V24" s="43">
        <f>'LIMPEZA'!E19</f>
        <v/>
      </c>
      <c r="W24" s="43">
        <f>'LIMPEZA'!E20</f>
        <v/>
      </c>
      <c r="X24" s="43">
        <f>'LIMPEZA'!E21</f>
        <v/>
      </c>
      <c r="Y24" s="43">
        <f>'LIMPEZA'!E22</f>
        <v/>
      </c>
      <c r="Z24" s="43">
        <f>'LIMPEZA'!E23</f>
        <v/>
      </c>
      <c r="AA24" s="43">
        <f>'LIMPEZA'!E24</f>
        <v/>
      </c>
      <c r="AB24" s="43">
        <f>'LIMPEZA'!E25</f>
        <v/>
      </c>
      <c r="AC24" s="43">
        <f>'LIMPEZA'!E26</f>
        <v/>
      </c>
      <c r="AD24" s="43">
        <f>'LIMPEZA'!E27</f>
        <v/>
      </c>
      <c r="AE24" s="43">
        <f>'LIMPEZA'!E28</f>
        <v/>
      </c>
      <c r="AF24" s="43">
        <f>'LIMPEZA'!E29</f>
        <v/>
      </c>
      <c r="AG24" s="43">
        <f>'LIMPEZA'!E30</f>
        <v/>
      </c>
      <c r="AH24" s="43">
        <f>'LIMPEZA'!E31</f>
        <v/>
      </c>
      <c r="AI24" s="43">
        <f>'LIMPEZA'!E32</f>
        <v/>
      </c>
      <c r="AJ24" s="43">
        <f>'LIMPEZA'!E33</f>
        <v/>
      </c>
      <c r="AK24" s="43">
        <f>'LIMPEZA'!E34</f>
        <v/>
      </c>
      <c r="AL24" s="43">
        <f>'LIMPEZA'!E35</f>
        <v/>
      </c>
      <c r="AM24" s="43">
        <f>'LIMPEZA'!E36</f>
        <v/>
      </c>
      <c r="AN24" s="43">
        <f>'LIMPEZA'!E37</f>
        <v/>
      </c>
      <c r="AO24" s="43">
        <f>'LIMPEZA'!E38</f>
        <v/>
      </c>
      <c r="AP24" s="43">
        <f>'LIMPEZA'!E39</f>
        <v/>
      </c>
      <c r="AQ24" s="43">
        <f>'LIMPEZA'!E40</f>
        <v/>
      </c>
      <c r="AR24" s="43">
        <f>'LIMPEZA'!E41</f>
        <v/>
      </c>
      <c r="AS24" s="43">
        <f>'LIMPEZA'!E42</f>
        <v/>
      </c>
      <c r="AT24" s="43">
        <f>'LIMPEZA'!E43</f>
        <v/>
      </c>
      <c r="AU24" s="43">
        <f>'LIMPEZA'!E44</f>
        <v/>
      </c>
      <c r="AV24" s="43">
        <f>'LIMPEZA'!E45</f>
        <v/>
      </c>
      <c r="AW24" s="43">
        <f>'LIMPEZA'!E46</f>
        <v/>
      </c>
      <c r="AX24" s="43">
        <f>'LIMPEZA'!E47</f>
        <v/>
      </c>
      <c r="AY24" s="43">
        <f>'LIMPEZA'!E48</f>
        <v/>
      </c>
      <c r="AZ24" s="43">
        <f>'LIMPEZA'!E49</f>
        <v/>
      </c>
      <c r="BA24" s="43">
        <f>'LIMPEZA'!E50</f>
        <v/>
      </c>
      <c r="BB24" s="43">
        <f>'LIMPEZA'!E51</f>
        <v/>
      </c>
      <c r="BC24" s="43">
        <f>'LIMPEZA'!E52</f>
        <v/>
      </c>
      <c r="BD24" s="43">
        <f>'LIMPEZA'!E53</f>
        <v/>
      </c>
      <c r="BE24" s="43">
        <f>'LIMPEZA'!E54</f>
        <v/>
      </c>
      <c r="BF24" s="43">
        <f>'LIMPEZA'!E55</f>
        <v/>
      </c>
      <c r="BG24" s="43">
        <f>'LIMPEZA'!E56</f>
        <v/>
      </c>
      <c r="BH24" s="43">
        <f>'LIMPEZA'!E57</f>
        <v/>
      </c>
      <c r="BI24" s="43">
        <f>'LIMPEZA'!E58</f>
        <v/>
      </c>
      <c r="BJ24" s="43">
        <f>'LIMPEZA'!E59</f>
        <v/>
      </c>
      <c r="BK24" s="43">
        <f>'LIMPEZA'!E60</f>
        <v/>
      </c>
      <c r="BL24" s="43">
        <f>'LIMPEZA'!E61</f>
        <v/>
      </c>
      <c r="BM24" s="43">
        <f>'LIMPEZA'!E62</f>
        <v/>
      </c>
      <c r="BN24" s="43">
        <f>'LIMPEZA'!E63</f>
        <v/>
      </c>
      <c r="BO24" s="43">
        <f>'LIMPEZA'!E64</f>
        <v/>
      </c>
      <c r="BP24" s="43">
        <f>'LIMPEZA'!E65</f>
        <v/>
      </c>
      <c r="BQ24" s="43">
        <f>'LIMPEZA'!E66</f>
        <v/>
      </c>
      <c r="BR24" s="43">
        <f>'LIMPEZA'!E67</f>
        <v/>
      </c>
      <c r="BS24" s="43">
        <f>'LIMPEZA'!E68</f>
        <v/>
      </c>
      <c r="BT24" s="43">
        <f>'LIMPEZA'!E69</f>
        <v/>
      </c>
      <c r="BU24" s="43">
        <f>'LIMPEZA'!E70</f>
        <v/>
      </c>
      <c r="BV24" s="43">
        <f>'LIMPEZA'!E71</f>
        <v/>
      </c>
      <c r="BW24" s="43">
        <f>'LIMPEZA'!E72</f>
        <v/>
      </c>
      <c r="BX24" s="43">
        <f>'LIMPEZA'!E73</f>
        <v/>
      </c>
      <c r="BY24" s="43">
        <f>'LIMPEZA'!E74</f>
        <v/>
      </c>
      <c r="BZ24" s="43">
        <f>'LIMPEZA'!E75</f>
        <v/>
      </c>
      <c r="CA24" s="43">
        <f>'LIMPEZA'!E76</f>
        <v/>
      </c>
    </row>
    <row r="25">
      <c r="A25" s="21" t="inlineStr">
        <is>
          <t>G041.002</t>
        </is>
      </c>
      <c r="B25" s="21" t="inlineStr">
        <is>
          <t>1030-1070-540</t>
        </is>
      </c>
      <c r="C25" s="21" t="inlineStr">
        <is>
          <t>MARCENARIA</t>
        </is>
      </c>
      <c r="D25" s="37">
        <f>'MARCENARIA'!$K$5</f>
        <v/>
      </c>
      <c r="E25" s="12">
        <f>SUM(H25:CA25)</f>
        <v/>
      </c>
      <c r="F25" s="12">
        <f>IF(D25="","",D25-E25)</f>
        <v/>
      </c>
      <c r="H25" s="43">
        <f>'MARCENARIA'!E5</f>
        <v/>
      </c>
      <c r="I25" s="43">
        <f>'MARCENARIA'!E6</f>
        <v/>
      </c>
      <c r="J25" s="43">
        <f>'MARCENARIA'!E7</f>
        <v/>
      </c>
      <c r="K25" s="43">
        <f>'MARCENARIA'!E8</f>
        <v/>
      </c>
      <c r="L25" s="43">
        <f>'MARCENARIA'!E9</f>
        <v/>
      </c>
      <c r="M25" s="43">
        <f>'MARCENARIA'!E10</f>
        <v/>
      </c>
      <c r="N25" s="43">
        <f>'MARCENARIA'!E11</f>
        <v/>
      </c>
      <c r="O25" s="43">
        <f>'MARCENARIA'!E12</f>
        <v/>
      </c>
      <c r="P25" s="43">
        <f>'MARCENARIA'!E13</f>
        <v/>
      </c>
      <c r="Q25" s="43">
        <f>'MARCENARIA'!E14</f>
        <v/>
      </c>
      <c r="R25" s="43">
        <f>'MARCENARIA'!E15</f>
        <v/>
      </c>
      <c r="S25" s="43">
        <f>'MARCENARIA'!E16</f>
        <v/>
      </c>
      <c r="T25" s="43">
        <f>'MARCENARIA'!E17</f>
        <v/>
      </c>
      <c r="U25" s="43">
        <f>'MARCENARIA'!E18</f>
        <v/>
      </c>
      <c r="V25" s="43">
        <f>'MARCENARIA'!E19</f>
        <v/>
      </c>
      <c r="W25" s="43">
        <f>'MARCENARIA'!E20</f>
        <v/>
      </c>
      <c r="X25" s="43">
        <f>'MARCENARIA'!E21</f>
        <v/>
      </c>
      <c r="Y25" s="43">
        <f>'MARCENARIA'!E22</f>
        <v/>
      </c>
      <c r="Z25" s="43">
        <f>'MARCENARIA'!E23</f>
        <v/>
      </c>
      <c r="AA25" s="43">
        <f>'MARCENARIA'!E24</f>
        <v/>
      </c>
      <c r="AB25" s="43">
        <f>'MARCENARIA'!E25</f>
        <v/>
      </c>
      <c r="AC25" s="43">
        <f>'MARCENARIA'!E26</f>
        <v/>
      </c>
      <c r="AD25" s="43">
        <f>'MARCENARIA'!E27</f>
        <v/>
      </c>
      <c r="AE25" s="43">
        <f>'MARCENARIA'!E28</f>
        <v/>
      </c>
      <c r="AF25" s="43">
        <f>'MARCENARIA'!E29</f>
        <v/>
      </c>
      <c r="AG25" s="43">
        <f>'MARCENARIA'!E30</f>
        <v/>
      </c>
      <c r="AH25" s="43">
        <f>'MARCENARIA'!E31</f>
        <v/>
      </c>
      <c r="AI25" s="43">
        <f>'MARCENARIA'!E32</f>
        <v/>
      </c>
      <c r="AJ25" s="43">
        <f>'MARCENARIA'!E33</f>
        <v/>
      </c>
      <c r="AK25" s="43">
        <f>'MARCENARIA'!E34</f>
        <v/>
      </c>
      <c r="AL25" s="43">
        <f>'MARCENARIA'!E35</f>
        <v/>
      </c>
      <c r="AM25" s="43">
        <f>'MARCENARIA'!E36</f>
        <v/>
      </c>
      <c r="AN25" s="43">
        <f>'MARCENARIA'!E37</f>
        <v/>
      </c>
      <c r="AO25" s="43">
        <f>'MARCENARIA'!E38</f>
        <v/>
      </c>
      <c r="AP25" s="43">
        <f>'MARCENARIA'!E39</f>
        <v/>
      </c>
      <c r="AQ25" s="43">
        <f>'MARCENARIA'!E40</f>
        <v/>
      </c>
      <c r="AR25" s="43">
        <f>'MARCENARIA'!E41</f>
        <v/>
      </c>
      <c r="AS25" s="43">
        <f>'MARCENARIA'!E42</f>
        <v/>
      </c>
      <c r="AT25" s="43">
        <f>'MARCENARIA'!E43</f>
        <v/>
      </c>
      <c r="AU25" s="43">
        <f>'MARCENARIA'!E44</f>
        <v/>
      </c>
      <c r="AV25" s="43">
        <f>'MARCENARIA'!E45</f>
        <v/>
      </c>
      <c r="AW25" s="43">
        <f>'MARCENARIA'!E46</f>
        <v/>
      </c>
      <c r="AX25" s="43">
        <f>'MARCENARIA'!E47</f>
        <v/>
      </c>
      <c r="AY25" s="43">
        <f>'MARCENARIA'!E48</f>
        <v/>
      </c>
      <c r="AZ25" s="43">
        <f>'MARCENARIA'!E49</f>
        <v/>
      </c>
      <c r="BA25" s="43">
        <f>'MARCENARIA'!E50</f>
        <v/>
      </c>
      <c r="BB25" s="43">
        <f>'MARCENARIA'!E51</f>
        <v/>
      </c>
      <c r="BC25" s="43">
        <f>'MARCENARIA'!E52</f>
        <v/>
      </c>
      <c r="BD25" s="43">
        <f>'MARCENARIA'!E53</f>
        <v/>
      </c>
      <c r="BE25" s="43">
        <f>'MARCENARIA'!E54</f>
        <v/>
      </c>
      <c r="BF25" s="43">
        <f>'MARCENARIA'!E55</f>
        <v/>
      </c>
      <c r="BG25" s="43">
        <f>'MARCENARIA'!E56</f>
        <v/>
      </c>
      <c r="BH25" s="43">
        <f>'MARCENARIA'!E57</f>
        <v/>
      </c>
      <c r="BI25" s="43">
        <f>'MARCENARIA'!E58</f>
        <v/>
      </c>
      <c r="BJ25" s="43">
        <f>'MARCENARIA'!E59</f>
        <v/>
      </c>
      <c r="BK25" s="43">
        <f>'MARCENARIA'!E60</f>
        <v/>
      </c>
      <c r="BL25" s="43">
        <f>'MARCENARIA'!E61</f>
        <v/>
      </c>
      <c r="BM25" s="43">
        <f>'MARCENARIA'!E62</f>
        <v/>
      </c>
      <c r="BN25" s="43">
        <f>'MARCENARIA'!E63</f>
        <v/>
      </c>
      <c r="BO25" s="43">
        <f>'MARCENARIA'!E64</f>
        <v/>
      </c>
      <c r="BP25" s="43">
        <f>'MARCENARIA'!E65</f>
        <v/>
      </c>
      <c r="BQ25" s="43">
        <f>'MARCENARIA'!E66</f>
        <v/>
      </c>
      <c r="BR25" s="43">
        <f>'MARCENARIA'!E67</f>
        <v/>
      </c>
      <c r="BS25" s="43">
        <f>'MARCENARIA'!E68</f>
        <v/>
      </c>
      <c r="BT25" s="43">
        <f>'MARCENARIA'!E69</f>
        <v/>
      </c>
      <c r="BU25" s="43">
        <f>'MARCENARIA'!E70</f>
        <v/>
      </c>
      <c r="BV25" s="43">
        <f>'MARCENARIA'!E71</f>
        <v/>
      </c>
      <c r="BW25" s="43">
        <f>'MARCENARIA'!E72</f>
        <v/>
      </c>
      <c r="BX25" s="43">
        <f>'MARCENARIA'!E73</f>
        <v/>
      </c>
      <c r="BY25" s="43">
        <f>'MARCENARIA'!E74</f>
        <v/>
      </c>
      <c r="BZ25" s="43">
        <f>'MARCENARIA'!E75</f>
        <v/>
      </c>
      <c r="CA25" s="43">
        <f>'MARCENARIA'!E76</f>
        <v/>
      </c>
    </row>
    <row r="26">
      <c r="A26" s="21" t="inlineStr">
        <is>
          <t>G041.002</t>
        </is>
      </c>
      <c r="B26" s="21" t="inlineStr">
        <is>
          <t>1030-1070-430</t>
        </is>
      </c>
      <c r="C26" s="21" t="inlineStr">
        <is>
          <t>PAISAGISMO</t>
        </is>
      </c>
      <c r="D26" s="37">
        <f>'PAISAGISMO'!$K$5</f>
        <v/>
      </c>
      <c r="E26" s="12">
        <f>SUM(H26:CA26)</f>
        <v/>
      </c>
      <c r="F26" s="12">
        <f>IF(D26="","",D26-E26)</f>
        <v/>
      </c>
      <c r="H26" s="43">
        <f>'PAISAGISMO'!E5</f>
        <v/>
      </c>
      <c r="I26" s="43">
        <f>'PAISAGISMO'!E6</f>
        <v/>
      </c>
      <c r="J26" s="43">
        <f>'PAISAGISMO'!E7</f>
        <v/>
      </c>
      <c r="K26" s="43">
        <f>'PAISAGISMO'!E8</f>
        <v/>
      </c>
      <c r="L26" s="43">
        <f>'PAISAGISMO'!E9</f>
        <v/>
      </c>
      <c r="M26" s="43">
        <f>'PAISAGISMO'!E10</f>
        <v/>
      </c>
      <c r="N26" s="43">
        <f>'PAISAGISMO'!E11</f>
        <v/>
      </c>
      <c r="O26" s="43">
        <f>'PAISAGISMO'!E12</f>
        <v/>
      </c>
      <c r="P26" s="43">
        <f>'PAISAGISMO'!E13</f>
        <v/>
      </c>
      <c r="Q26" s="43">
        <f>'PAISAGISMO'!E14</f>
        <v/>
      </c>
      <c r="R26" s="43">
        <f>'PAISAGISMO'!E15</f>
        <v/>
      </c>
      <c r="S26" s="43">
        <f>'PAISAGISMO'!E16</f>
        <v/>
      </c>
      <c r="T26" s="43">
        <f>'PAISAGISMO'!E17</f>
        <v/>
      </c>
      <c r="U26" s="43">
        <f>'PAISAGISMO'!E18</f>
        <v/>
      </c>
      <c r="V26" s="43">
        <f>'PAISAGISMO'!E19</f>
        <v/>
      </c>
      <c r="W26" s="43">
        <f>'PAISAGISMO'!E20</f>
        <v/>
      </c>
      <c r="X26" s="43">
        <f>'PAISAGISMO'!E21</f>
        <v/>
      </c>
      <c r="Y26" s="43">
        <f>'PAISAGISMO'!E22</f>
        <v/>
      </c>
      <c r="Z26" s="43">
        <f>'PAISAGISMO'!E23</f>
        <v/>
      </c>
      <c r="AA26" s="43">
        <f>'PAISAGISMO'!E24</f>
        <v/>
      </c>
      <c r="AB26" s="43">
        <f>'PAISAGISMO'!E25</f>
        <v/>
      </c>
      <c r="AC26" s="43">
        <f>'PAISAGISMO'!E26</f>
        <v/>
      </c>
      <c r="AD26" s="43">
        <f>'PAISAGISMO'!E27</f>
        <v/>
      </c>
      <c r="AE26" s="43">
        <f>'PAISAGISMO'!E28</f>
        <v/>
      </c>
      <c r="AF26" s="43">
        <f>'PAISAGISMO'!E29</f>
        <v/>
      </c>
      <c r="AG26" s="43">
        <f>'PAISAGISMO'!E30</f>
        <v/>
      </c>
      <c r="AH26" s="43">
        <f>'PAISAGISMO'!E31</f>
        <v/>
      </c>
      <c r="AI26" s="43">
        <f>'PAISAGISMO'!E32</f>
        <v/>
      </c>
      <c r="AJ26" s="43">
        <f>'PAISAGISMO'!E33</f>
        <v/>
      </c>
      <c r="AK26" s="43">
        <f>'PAISAGISMO'!E34</f>
        <v/>
      </c>
      <c r="AL26" s="43">
        <f>'PAISAGISMO'!E35</f>
        <v/>
      </c>
      <c r="AM26" s="43">
        <f>'PAISAGISMO'!E36</f>
        <v/>
      </c>
      <c r="AN26" s="43">
        <f>'PAISAGISMO'!E37</f>
        <v/>
      </c>
      <c r="AO26" s="43">
        <f>'PAISAGISMO'!E38</f>
        <v/>
      </c>
      <c r="AP26" s="43">
        <f>'PAISAGISMO'!E39</f>
        <v/>
      </c>
      <c r="AQ26" s="43">
        <f>'PAISAGISMO'!E40</f>
        <v/>
      </c>
      <c r="AR26" s="43">
        <f>'PAISAGISMO'!E41</f>
        <v/>
      </c>
      <c r="AS26" s="43">
        <f>'PAISAGISMO'!E42</f>
        <v/>
      </c>
      <c r="AT26" s="43">
        <f>'PAISAGISMO'!E43</f>
        <v/>
      </c>
      <c r="AU26" s="43">
        <f>'PAISAGISMO'!E44</f>
        <v/>
      </c>
      <c r="AV26" s="43">
        <f>'PAISAGISMO'!E45</f>
        <v/>
      </c>
      <c r="AW26" s="43">
        <f>'PAISAGISMO'!E46</f>
        <v/>
      </c>
      <c r="AX26" s="43">
        <f>'PAISAGISMO'!E47</f>
        <v/>
      </c>
      <c r="AY26" s="43">
        <f>'PAISAGISMO'!E48</f>
        <v/>
      </c>
      <c r="AZ26" s="43">
        <f>'PAISAGISMO'!E49</f>
        <v/>
      </c>
      <c r="BA26" s="43">
        <f>'PAISAGISMO'!E50</f>
        <v/>
      </c>
      <c r="BB26" s="43">
        <f>'PAISAGISMO'!E51</f>
        <v/>
      </c>
      <c r="BC26" s="43">
        <f>'PAISAGISMO'!E52</f>
        <v/>
      </c>
      <c r="BD26" s="43">
        <f>'PAISAGISMO'!E53</f>
        <v/>
      </c>
      <c r="BE26" s="43">
        <f>'PAISAGISMO'!E54</f>
        <v/>
      </c>
      <c r="BF26" s="43">
        <f>'PAISAGISMO'!E55</f>
        <v/>
      </c>
      <c r="BG26" s="43">
        <f>'PAISAGISMO'!E56</f>
        <v/>
      </c>
      <c r="BH26" s="43">
        <f>'PAISAGISMO'!E57</f>
        <v/>
      </c>
      <c r="BI26" s="43">
        <f>'PAISAGISMO'!E58</f>
        <v/>
      </c>
      <c r="BJ26" s="43">
        <f>'PAISAGISMO'!E59</f>
        <v/>
      </c>
      <c r="BK26" s="43">
        <f>'PAISAGISMO'!E60</f>
        <v/>
      </c>
      <c r="BL26" s="43">
        <f>'PAISAGISMO'!E61</f>
        <v/>
      </c>
      <c r="BM26" s="43">
        <f>'PAISAGISMO'!E62</f>
        <v/>
      </c>
      <c r="BN26" s="43">
        <f>'PAISAGISMO'!E63</f>
        <v/>
      </c>
      <c r="BO26" s="43">
        <f>'PAISAGISMO'!E64</f>
        <v/>
      </c>
      <c r="BP26" s="43">
        <f>'PAISAGISMO'!E65</f>
        <v/>
      </c>
      <c r="BQ26" s="43">
        <f>'PAISAGISMO'!E66</f>
        <v/>
      </c>
      <c r="BR26" s="43">
        <f>'PAISAGISMO'!E67</f>
        <v/>
      </c>
      <c r="BS26" s="43">
        <f>'PAISAGISMO'!E68</f>
        <v/>
      </c>
      <c r="BT26" s="43">
        <f>'PAISAGISMO'!E69</f>
        <v/>
      </c>
      <c r="BU26" s="43">
        <f>'PAISAGISMO'!E70</f>
        <v/>
      </c>
      <c r="BV26" s="43">
        <f>'PAISAGISMO'!E71</f>
        <v/>
      </c>
      <c r="BW26" s="43">
        <f>'PAISAGISMO'!E72</f>
        <v/>
      </c>
      <c r="BX26" s="43">
        <f>'PAISAGISMO'!E73</f>
        <v/>
      </c>
      <c r="BY26" s="43">
        <f>'PAISAGISMO'!E74</f>
        <v/>
      </c>
      <c r="BZ26" s="43">
        <f>'PAISAGISMO'!E75</f>
        <v/>
      </c>
      <c r="CA26" s="43">
        <f>'PAISAGISMO'!E76</f>
        <v/>
      </c>
    </row>
    <row r="27">
      <c r="A27" s="21" t="inlineStr">
        <is>
          <t>G041.002</t>
        </is>
      </c>
      <c r="B27" s="21" t="inlineStr">
        <is>
          <t>1030-1070-420</t>
        </is>
      </c>
      <c r="C27" s="21" t="inlineStr">
        <is>
          <t>PAVIMENTAÇÃO</t>
        </is>
      </c>
      <c r="D27" s="37">
        <f>'PAVIMENTAÇÃO'!$K$5</f>
        <v/>
      </c>
      <c r="E27" s="12">
        <f>SUM(H27:CA27)</f>
        <v/>
      </c>
      <c r="F27" s="12">
        <f>IF(D27="","",D27-E27)</f>
        <v/>
      </c>
      <c r="H27" s="43">
        <f>'PAVIMENTAÇÃO'!E5</f>
        <v/>
      </c>
      <c r="I27" s="43">
        <f>'PAVIMENTAÇÃO'!E6</f>
        <v/>
      </c>
      <c r="J27" s="43">
        <f>'PAVIMENTAÇÃO'!E7</f>
        <v/>
      </c>
      <c r="K27" s="43">
        <f>'PAVIMENTAÇÃO'!E8</f>
        <v/>
      </c>
      <c r="L27" s="43">
        <f>'PAVIMENTAÇÃO'!E9</f>
        <v/>
      </c>
      <c r="M27" s="43">
        <f>'PAVIMENTAÇÃO'!E10</f>
        <v/>
      </c>
      <c r="N27" s="43">
        <f>'PAVIMENTAÇÃO'!E11</f>
        <v/>
      </c>
      <c r="O27" s="43">
        <f>'PAVIMENTAÇÃO'!E12</f>
        <v/>
      </c>
      <c r="P27" s="43">
        <f>'PAVIMENTAÇÃO'!E13</f>
        <v/>
      </c>
      <c r="Q27" s="43">
        <f>'PAVIMENTAÇÃO'!E14</f>
        <v/>
      </c>
      <c r="R27" s="43">
        <f>'PAVIMENTAÇÃO'!E15</f>
        <v/>
      </c>
      <c r="S27" s="43">
        <f>'PAVIMENTAÇÃO'!E16</f>
        <v/>
      </c>
      <c r="T27" s="43">
        <f>'PAVIMENTAÇÃO'!E17</f>
        <v/>
      </c>
      <c r="U27" s="43">
        <f>'PAVIMENTAÇÃO'!E18</f>
        <v/>
      </c>
      <c r="V27" s="43">
        <f>'PAVIMENTAÇÃO'!E19</f>
        <v/>
      </c>
      <c r="W27" s="43">
        <f>'PAVIMENTAÇÃO'!E20</f>
        <v/>
      </c>
      <c r="X27" s="43">
        <f>'PAVIMENTAÇÃO'!E21</f>
        <v/>
      </c>
      <c r="Y27" s="43">
        <f>'PAVIMENTAÇÃO'!E22</f>
        <v/>
      </c>
      <c r="Z27" s="43">
        <f>'PAVIMENTAÇÃO'!E23</f>
        <v/>
      </c>
      <c r="AA27" s="43">
        <f>'PAVIMENTAÇÃO'!E24</f>
        <v/>
      </c>
      <c r="AB27" s="43">
        <f>'PAVIMENTAÇÃO'!E25</f>
        <v/>
      </c>
      <c r="AC27" s="43">
        <f>'PAVIMENTAÇÃO'!E26</f>
        <v/>
      </c>
      <c r="AD27" s="43">
        <f>'PAVIMENTAÇÃO'!E27</f>
        <v/>
      </c>
      <c r="AE27" s="43">
        <f>'PAVIMENTAÇÃO'!E28</f>
        <v/>
      </c>
      <c r="AF27" s="43">
        <f>'PAVIMENTAÇÃO'!E29</f>
        <v/>
      </c>
      <c r="AG27" s="43">
        <f>'PAVIMENTAÇÃO'!E30</f>
        <v/>
      </c>
      <c r="AH27" s="43">
        <f>'PAVIMENTAÇÃO'!E31</f>
        <v/>
      </c>
      <c r="AI27" s="43">
        <f>'PAVIMENTAÇÃO'!E32</f>
        <v/>
      </c>
      <c r="AJ27" s="43">
        <f>'PAVIMENTAÇÃO'!E33</f>
        <v/>
      </c>
      <c r="AK27" s="43">
        <f>'PAVIMENTAÇÃO'!E34</f>
        <v/>
      </c>
      <c r="AL27" s="43">
        <f>'PAVIMENTAÇÃO'!E35</f>
        <v/>
      </c>
      <c r="AM27" s="43">
        <f>'PAVIMENTAÇÃO'!E36</f>
        <v/>
      </c>
      <c r="AN27" s="43">
        <f>'PAVIMENTAÇÃO'!E37</f>
        <v/>
      </c>
      <c r="AO27" s="43">
        <f>'PAVIMENTAÇÃO'!E38</f>
        <v/>
      </c>
      <c r="AP27" s="43">
        <f>'PAVIMENTAÇÃO'!E39</f>
        <v/>
      </c>
      <c r="AQ27" s="43">
        <f>'PAVIMENTAÇÃO'!E40</f>
        <v/>
      </c>
      <c r="AR27" s="43">
        <f>'PAVIMENTAÇÃO'!E41</f>
        <v/>
      </c>
      <c r="AS27" s="43">
        <f>'PAVIMENTAÇÃO'!E42</f>
        <v/>
      </c>
      <c r="AT27" s="43">
        <f>'PAVIMENTAÇÃO'!E43</f>
        <v/>
      </c>
      <c r="AU27" s="43">
        <f>'PAVIMENTAÇÃO'!E44</f>
        <v/>
      </c>
      <c r="AV27" s="43">
        <f>'PAVIMENTAÇÃO'!E45</f>
        <v/>
      </c>
      <c r="AW27" s="43">
        <f>'PAVIMENTAÇÃO'!E46</f>
        <v/>
      </c>
      <c r="AX27" s="43">
        <f>'PAVIMENTAÇÃO'!E47</f>
        <v/>
      </c>
      <c r="AY27" s="43">
        <f>'PAVIMENTAÇÃO'!E48</f>
        <v/>
      </c>
      <c r="AZ27" s="43">
        <f>'PAVIMENTAÇÃO'!E49</f>
        <v/>
      </c>
      <c r="BA27" s="43">
        <f>'PAVIMENTAÇÃO'!E50</f>
        <v/>
      </c>
      <c r="BB27" s="43">
        <f>'PAVIMENTAÇÃO'!E51</f>
        <v/>
      </c>
      <c r="BC27" s="43">
        <f>'PAVIMENTAÇÃO'!E52</f>
        <v/>
      </c>
      <c r="BD27" s="43">
        <f>'PAVIMENTAÇÃO'!E53</f>
        <v/>
      </c>
      <c r="BE27" s="43">
        <f>'PAVIMENTAÇÃO'!E54</f>
        <v/>
      </c>
      <c r="BF27" s="43">
        <f>'PAVIMENTAÇÃO'!E55</f>
        <v/>
      </c>
      <c r="BG27" s="43">
        <f>'PAVIMENTAÇÃO'!E56</f>
        <v/>
      </c>
      <c r="BH27" s="43">
        <f>'PAVIMENTAÇÃO'!E57</f>
        <v/>
      </c>
      <c r="BI27" s="43">
        <f>'PAVIMENTAÇÃO'!E58</f>
        <v/>
      </c>
      <c r="BJ27" s="43">
        <f>'PAVIMENTAÇÃO'!E59</f>
        <v/>
      </c>
      <c r="BK27" s="43">
        <f>'PAVIMENTAÇÃO'!E60</f>
        <v/>
      </c>
      <c r="BL27" s="43">
        <f>'PAVIMENTAÇÃO'!E61</f>
        <v/>
      </c>
      <c r="BM27" s="43">
        <f>'PAVIMENTAÇÃO'!E62</f>
        <v/>
      </c>
      <c r="BN27" s="43">
        <f>'PAVIMENTAÇÃO'!E63</f>
        <v/>
      </c>
      <c r="BO27" s="43">
        <f>'PAVIMENTAÇÃO'!E64</f>
        <v/>
      </c>
      <c r="BP27" s="43">
        <f>'PAVIMENTAÇÃO'!E65</f>
        <v/>
      </c>
      <c r="BQ27" s="43">
        <f>'PAVIMENTAÇÃO'!E66</f>
        <v/>
      </c>
      <c r="BR27" s="43">
        <f>'PAVIMENTAÇÃO'!E67</f>
        <v/>
      </c>
      <c r="BS27" s="43">
        <f>'PAVIMENTAÇÃO'!E68</f>
        <v/>
      </c>
      <c r="BT27" s="43">
        <f>'PAVIMENTAÇÃO'!E69</f>
        <v/>
      </c>
      <c r="BU27" s="43">
        <f>'PAVIMENTAÇÃO'!E70</f>
        <v/>
      </c>
      <c r="BV27" s="43">
        <f>'PAVIMENTAÇÃO'!E71</f>
        <v/>
      </c>
      <c r="BW27" s="43">
        <f>'PAVIMENTAÇÃO'!E72</f>
        <v/>
      </c>
      <c r="BX27" s="43">
        <f>'PAVIMENTAÇÃO'!E73</f>
        <v/>
      </c>
      <c r="BY27" s="43">
        <f>'PAVIMENTAÇÃO'!E74</f>
        <v/>
      </c>
      <c r="BZ27" s="43">
        <f>'PAVIMENTAÇÃO'!E75</f>
        <v/>
      </c>
      <c r="CA27" s="43">
        <f>'PAVIMENTAÇÃO'!E76</f>
        <v/>
      </c>
    </row>
    <row r="28">
      <c r="A28" s="21" t="inlineStr">
        <is>
          <t>G041.002</t>
        </is>
      </c>
      <c r="B28" s="21" t="inlineStr">
        <is>
          <t>1030-1070-390</t>
        </is>
      </c>
      <c r="C28" s="21" t="inlineStr">
        <is>
          <t>PINTURA</t>
        </is>
      </c>
      <c r="D28" s="37">
        <f>'PINTURA'!$K$5</f>
        <v/>
      </c>
      <c r="E28" s="12">
        <f>SUM(H28:CA28)</f>
        <v/>
      </c>
      <c r="F28" s="12">
        <f>IF(D28="","",D28-E28)</f>
        <v/>
      </c>
      <c r="H28" s="43">
        <f>'PINTURA'!E5</f>
        <v/>
      </c>
      <c r="I28" s="43">
        <f>'PINTURA'!E6</f>
        <v/>
      </c>
      <c r="J28" s="43">
        <f>'PINTURA'!E7</f>
        <v/>
      </c>
      <c r="K28" s="43">
        <f>'PINTURA'!E8</f>
        <v/>
      </c>
      <c r="L28" s="43">
        <f>'PINTURA'!E9</f>
        <v/>
      </c>
      <c r="M28" s="43">
        <f>'PINTURA'!E10</f>
        <v/>
      </c>
      <c r="N28" s="43">
        <f>'PINTURA'!E11</f>
        <v/>
      </c>
      <c r="O28" s="43">
        <f>'PINTURA'!E12</f>
        <v/>
      </c>
      <c r="P28" s="43">
        <f>'PINTURA'!E13</f>
        <v/>
      </c>
      <c r="Q28" s="43">
        <f>'PINTURA'!E14</f>
        <v/>
      </c>
      <c r="R28" s="43">
        <f>'PINTURA'!E15</f>
        <v/>
      </c>
      <c r="S28" s="43">
        <f>'PINTURA'!E16</f>
        <v/>
      </c>
      <c r="T28" s="43">
        <f>'PINTURA'!E17</f>
        <v/>
      </c>
      <c r="U28" s="43">
        <f>'PINTURA'!E18</f>
        <v/>
      </c>
      <c r="V28" s="43">
        <f>'PINTURA'!E19</f>
        <v/>
      </c>
      <c r="W28" s="43">
        <f>'PINTURA'!E20</f>
        <v/>
      </c>
      <c r="X28" s="43">
        <f>'PINTURA'!E21</f>
        <v/>
      </c>
      <c r="Y28" s="43">
        <f>'PINTURA'!E22</f>
        <v/>
      </c>
      <c r="Z28" s="43">
        <f>'PINTURA'!E23</f>
        <v/>
      </c>
      <c r="AA28" s="43">
        <f>'PINTURA'!E24</f>
        <v/>
      </c>
      <c r="AB28" s="43">
        <f>'PINTURA'!E25</f>
        <v/>
      </c>
      <c r="AC28" s="43">
        <f>'PINTURA'!E26</f>
        <v/>
      </c>
      <c r="AD28" s="43">
        <f>'PINTURA'!E27</f>
        <v/>
      </c>
      <c r="AE28" s="43">
        <f>'PINTURA'!E28</f>
        <v/>
      </c>
      <c r="AF28" s="43">
        <f>'PINTURA'!E29</f>
        <v/>
      </c>
      <c r="AG28" s="43">
        <f>'PINTURA'!E30</f>
        <v/>
      </c>
      <c r="AH28" s="43">
        <f>'PINTURA'!E31</f>
        <v/>
      </c>
      <c r="AI28" s="43">
        <f>'PINTURA'!E32</f>
        <v/>
      </c>
      <c r="AJ28" s="43">
        <f>'PINTURA'!E33</f>
        <v/>
      </c>
      <c r="AK28" s="43">
        <f>'PINTURA'!E34</f>
        <v/>
      </c>
      <c r="AL28" s="43">
        <f>'PINTURA'!E35</f>
        <v/>
      </c>
      <c r="AM28" s="43">
        <f>'PINTURA'!E36</f>
        <v/>
      </c>
      <c r="AN28" s="43">
        <f>'PINTURA'!E37</f>
        <v/>
      </c>
      <c r="AO28" s="43">
        <f>'PINTURA'!E38</f>
        <v/>
      </c>
      <c r="AP28" s="43">
        <f>'PINTURA'!E39</f>
        <v/>
      </c>
      <c r="AQ28" s="43">
        <f>'PINTURA'!E40</f>
        <v/>
      </c>
      <c r="AR28" s="43">
        <f>'PINTURA'!E41</f>
        <v/>
      </c>
      <c r="AS28" s="43">
        <f>'PINTURA'!E42</f>
        <v/>
      </c>
      <c r="AT28" s="43">
        <f>'PINTURA'!E43</f>
        <v/>
      </c>
      <c r="AU28" s="43">
        <f>'PINTURA'!E44</f>
        <v/>
      </c>
      <c r="AV28" s="43">
        <f>'PINTURA'!E45</f>
        <v/>
      </c>
      <c r="AW28" s="43">
        <f>'PINTURA'!E46</f>
        <v/>
      </c>
      <c r="AX28" s="43">
        <f>'PINTURA'!E47</f>
        <v/>
      </c>
      <c r="AY28" s="43">
        <f>'PINTURA'!E48</f>
        <v/>
      </c>
      <c r="AZ28" s="43">
        <f>'PINTURA'!E49</f>
        <v/>
      </c>
      <c r="BA28" s="43">
        <f>'PINTURA'!E50</f>
        <v/>
      </c>
      <c r="BB28" s="43">
        <f>'PINTURA'!E51</f>
        <v/>
      </c>
      <c r="BC28" s="43">
        <f>'PINTURA'!E52</f>
        <v/>
      </c>
      <c r="BD28" s="43">
        <f>'PINTURA'!E53</f>
        <v/>
      </c>
      <c r="BE28" s="43">
        <f>'PINTURA'!E54</f>
        <v/>
      </c>
      <c r="BF28" s="43">
        <f>'PINTURA'!E55</f>
        <v/>
      </c>
      <c r="BG28" s="43">
        <f>'PINTURA'!E56</f>
        <v/>
      </c>
      <c r="BH28" s="43">
        <f>'PINTURA'!E57</f>
        <v/>
      </c>
      <c r="BI28" s="43">
        <f>'PINTURA'!E58</f>
        <v/>
      </c>
      <c r="BJ28" s="43">
        <f>'PINTURA'!E59</f>
        <v/>
      </c>
      <c r="BK28" s="43">
        <f>'PINTURA'!E60</f>
        <v/>
      </c>
      <c r="BL28" s="43">
        <f>'PINTURA'!E61</f>
        <v/>
      </c>
      <c r="BM28" s="43">
        <f>'PINTURA'!E62</f>
        <v/>
      </c>
      <c r="BN28" s="43">
        <f>'PINTURA'!E63</f>
        <v/>
      </c>
      <c r="BO28" s="43">
        <f>'PINTURA'!E64</f>
        <v/>
      </c>
      <c r="BP28" s="43">
        <f>'PINTURA'!E65</f>
        <v/>
      </c>
      <c r="BQ28" s="43">
        <f>'PINTURA'!E66</f>
        <v/>
      </c>
      <c r="BR28" s="43">
        <f>'PINTURA'!E67</f>
        <v/>
      </c>
      <c r="BS28" s="43">
        <f>'PINTURA'!E68</f>
        <v/>
      </c>
      <c r="BT28" s="43">
        <f>'PINTURA'!E69</f>
        <v/>
      </c>
      <c r="BU28" s="43">
        <f>'PINTURA'!E70</f>
        <v/>
      </c>
      <c r="BV28" s="43">
        <f>'PINTURA'!E71</f>
        <v/>
      </c>
      <c r="BW28" s="43">
        <f>'PINTURA'!E72</f>
        <v/>
      </c>
      <c r="BX28" s="43">
        <f>'PINTURA'!E73</f>
        <v/>
      </c>
      <c r="BY28" s="43">
        <f>'PINTURA'!E74</f>
        <v/>
      </c>
      <c r="BZ28" s="43">
        <f>'PINTURA'!E75</f>
        <v/>
      </c>
      <c r="CA28" s="43">
        <f>'PINTURA'!E76</f>
        <v/>
      </c>
    </row>
    <row r="29">
      <c r="A29" s="21" t="inlineStr">
        <is>
          <t>G041.002</t>
        </is>
      </c>
      <c r="B29" s="21" t="inlineStr">
        <is>
          <t>1030-1070-100</t>
        </is>
      </c>
      <c r="C29" s="21" t="inlineStr">
        <is>
          <t>PROJETOS</t>
        </is>
      </c>
      <c r="D29" s="37">
        <f>'PROJETO'!$K$5</f>
        <v/>
      </c>
      <c r="E29" s="12">
        <f>SUM(H29:CA29)</f>
        <v/>
      </c>
      <c r="F29" s="12">
        <f>IF(D29="","",D29-E29)</f>
        <v/>
      </c>
      <c r="H29" s="43">
        <f>'PROJETO'!E5</f>
        <v/>
      </c>
      <c r="I29" s="43">
        <f>'PROJETO'!E6</f>
        <v/>
      </c>
      <c r="J29" s="43">
        <f>'PROJETO'!E7</f>
        <v/>
      </c>
      <c r="K29" s="43">
        <f>'PROJETO'!E8</f>
        <v/>
      </c>
      <c r="L29" s="43">
        <f>'PROJETO'!E9</f>
        <v/>
      </c>
      <c r="M29" s="43">
        <f>'PROJETO'!E10</f>
        <v/>
      </c>
      <c r="N29" s="43">
        <f>'PROJETO'!E11</f>
        <v/>
      </c>
      <c r="O29" s="43">
        <f>'PROJETO'!E12</f>
        <v/>
      </c>
      <c r="P29" s="43">
        <f>'PROJETO'!E13</f>
        <v/>
      </c>
      <c r="Q29" s="43">
        <f>'PROJETO'!E14</f>
        <v/>
      </c>
      <c r="R29" s="43">
        <f>'PROJETO'!E15</f>
        <v/>
      </c>
      <c r="S29" s="43">
        <f>'PROJETO'!E16</f>
        <v/>
      </c>
      <c r="T29" s="43">
        <f>'PROJETO'!E17</f>
        <v/>
      </c>
      <c r="U29" s="43">
        <f>'PROJETO'!E18</f>
        <v/>
      </c>
      <c r="V29" s="43">
        <f>'PROJETO'!E19</f>
        <v/>
      </c>
      <c r="W29" s="43">
        <f>'PROJETO'!E20</f>
        <v/>
      </c>
      <c r="X29" s="43">
        <f>'PROJETO'!E21</f>
        <v/>
      </c>
      <c r="Y29" s="43">
        <f>'PROJETO'!E22</f>
        <v/>
      </c>
      <c r="Z29" s="43">
        <f>'PROJETO'!E23</f>
        <v/>
      </c>
      <c r="AA29" s="43">
        <f>'PROJETO'!E24</f>
        <v/>
      </c>
      <c r="AB29" s="43">
        <f>'PROJETO'!E25</f>
        <v/>
      </c>
      <c r="AC29" s="43">
        <f>'PROJETO'!E26</f>
        <v/>
      </c>
      <c r="AD29" s="43">
        <f>'PROJETO'!E27</f>
        <v/>
      </c>
      <c r="AE29" s="43">
        <f>'PROJETO'!E28</f>
        <v/>
      </c>
      <c r="AF29" s="43">
        <f>'PROJETO'!E29</f>
        <v/>
      </c>
      <c r="AG29" s="43">
        <f>'PROJETO'!E30</f>
        <v/>
      </c>
      <c r="AH29" s="43">
        <f>'PROJETO'!E31</f>
        <v/>
      </c>
      <c r="AI29" s="43">
        <f>'PROJETO'!E32</f>
        <v/>
      </c>
      <c r="AJ29" s="43">
        <f>'PROJETO'!E33</f>
        <v/>
      </c>
      <c r="AK29" s="43">
        <f>'PROJETO'!E34</f>
        <v/>
      </c>
      <c r="AL29" s="43">
        <f>'PROJETO'!E35</f>
        <v/>
      </c>
      <c r="AM29" s="43">
        <f>'PROJETO'!E36</f>
        <v/>
      </c>
      <c r="AN29" s="43">
        <f>'PROJETO'!E37</f>
        <v/>
      </c>
      <c r="AO29" s="43">
        <f>'PROJETO'!E38</f>
        <v/>
      </c>
      <c r="AP29" s="43">
        <f>'PROJETO'!E39</f>
        <v/>
      </c>
      <c r="AQ29" s="43">
        <f>'PROJETO'!E40</f>
        <v/>
      </c>
      <c r="AR29" s="43">
        <f>'PROJETO'!E41</f>
        <v/>
      </c>
      <c r="AS29" s="43">
        <f>'PROJETO'!E42</f>
        <v/>
      </c>
      <c r="AT29" s="43">
        <f>'PROJETO'!E43</f>
        <v/>
      </c>
      <c r="AU29" s="43">
        <f>'PROJETO'!E44</f>
        <v/>
      </c>
      <c r="AV29" s="43">
        <f>'PROJETO'!E45</f>
        <v/>
      </c>
      <c r="AW29" s="43">
        <f>'PROJETO'!E46</f>
        <v/>
      </c>
      <c r="AX29" s="43">
        <f>'PROJETO'!E47</f>
        <v/>
      </c>
      <c r="AY29" s="43">
        <f>'PROJETO'!E48</f>
        <v/>
      </c>
      <c r="AZ29" s="43">
        <f>'PROJETO'!E49</f>
        <v/>
      </c>
      <c r="BA29" s="43">
        <f>'PROJETO'!E50</f>
        <v/>
      </c>
      <c r="BB29" s="43">
        <f>'PROJETO'!E51</f>
        <v/>
      </c>
      <c r="BC29" s="43">
        <f>'PROJETO'!E52</f>
        <v/>
      </c>
      <c r="BD29" s="43">
        <f>'PROJETO'!E53</f>
        <v/>
      </c>
      <c r="BE29" s="43">
        <f>'PROJETO'!E54</f>
        <v/>
      </c>
      <c r="BF29" s="43">
        <f>'PROJETO'!E55</f>
        <v/>
      </c>
      <c r="BG29" s="43">
        <f>'PROJETO'!E56</f>
        <v/>
      </c>
      <c r="BH29" s="43">
        <f>'PROJETO'!E57</f>
        <v/>
      </c>
      <c r="BI29" s="43">
        <f>'PROJETO'!E58</f>
        <v/>
      </c>
      <c r="BJ29" s="43">
        <f>'PROJETO'!E59</f>
        <v/>
      </c>
      <c r="BK29" s="43">
        <f>'PROJETO'!E60</f>
        <v/>
      </c>
      <c r="BL29" s="43">
        <f>'PROJETO'!E61</f>
        <v/>
      </c>
      <c r="BM29" s="43">
        <f>'PROJETO'!E62</f>
        <v/>
      </c>
      <c r="BN29" s="43">
        <f>'PROJETO'!E63</f>
        <v/>
      </c>
      <c r="BO29" s="43">
        <f>'PROJETO'!E64</f>
        <v/>
      </c>
      <c r="BP29" s="43">
        <f>'PROJETO'!E65</f>
        <v/>
      </c>
      <c r="BQ29" s="43">
        <f>'PROJETO'!E66</f>
        <v/>
      </c>
      <c r="BR29" s="43">
        <f>'PROJETO'!E67</f>
        <v/>
      </c>
      <c r="BS29" s="43">
        <f>'PROJETO'!E68</f>
        <v/>
      </c>
      <c r="BT29" s="43">
        <f>'PROJETO'!E69</f>
        <v/>
      </c>
      <c r="BU29" s="43">
        <f>'PROJETO'!E70</f>
        <v/>
      </c>
      <c r="BV29" s="43">
        <f>'PROJETO'!E71</f>
        <v/>
      </c>
      <c r="BW29" s="43">
        <f>'PROJETO'!E72</f>
        <v/>
      </c>
      <c r="BX29" s="43">
        <f>'PROJETO'!E73</f>
        <v/>
      </c>
      <c r="BY29" s="43">
        <f>'PROJETO'!E74</f>
        <v/>
      </c>
      <c r="BZ29" s="43">
        <f>'PROJETO'!E75</f>
        <v/>
      </c>
      <c r="CA29" s="43">
        <f>'PROJETO'!E76</f>
        <v/>
      </c>
    </row>
    <row r="30">
      <c r="A30" s="21" t="inlineStr">
        <is>
          <t>G041.002</t>
        </is>
      </c>
      <c r="B30" s="21" t="inlineStr">
        <is>
          <t>1030-1070-570</t>
        </is>
      </c>
      <c r="C30" s="21" t="inlineStr">
        <is>
          <t>REEMBOLSO MATERIAIS E SERVIÇOS</t>
        </is>
      </c>
      <c r="E30" s="12">
        <f>SUM(H30:CA30)</f>
        <v/>
      </c>
      <c r="F30" s="12">
        <f>IF(D30="","",D30-E30)</f>
        <v/>
      </c>
    </row>
    <row r="31">
      <c r="A31" s="21" t="inlineStr">
        <is>
          <t>G041.002</t>
        </is>
      </c>
      <c r="B31" s="21" t="inlineStr">
        <is>
          <t>1030-1070-360</t>
        </is>
      </c>
      <c r="C31" s="21" t="inlineStr">
        <is>
          <t>REVESTIMENTO DIVERSOS - FACHADA</t>
        </is>
      </c>
      <c r="D31" s="37">
        <f>'REV. FACHADA'!$K$5</f>
        <v/>
      </c>
      <c r="E31" s="12">
        <f>SUM(H31:CA31)</f>
        <v/>
      </c>
      <c r="F31" s="12">
        <f>IF(D31="","",D31-E31)</f>
        <v/>
      </c>
      <c r="H31" s="43">
        <f>'REV. FACHADA'!E5</f>
        <v/>
      </c>
      <c r="I31" s="43">
        <f>'REV. FACHADA'!E6</f>
        <v/>
      </c>
      <c r="J31" s="43">
        <f>'REV. FACHADA'!E7</f>
        <v/>
      </c>
      <c r="K31" s="43">
        <f>'REV. FACHADA'!E8</f>
        <v/>
      </c>
      <c r="L31" s="43">
        <f>'REV. FACHADA'!E9</f>
        <v/>
      </c>
      <c r="M31" s="43">
        <f>'REV. FACHADA'!E10</f>
        <v/>
      </c>
      <c r="N31" s="43">
        <f>'REV. FACHADA'!E11</f>
        <v/>
      </c>
      <c r="O31" s="43">
        <f>'REV. FACHADA'!E12</f>
        <v/>
      </c>
      <c r="P31" s="43">
        <f>'REV. FACHADA'!E13</f>
        <v/>
      </c>
      <c r="Q31" s="43">
        <f>'REV. FACHADA'!E14</f>
        <v/>
      </c>
      <c r="R31" s="43">
        <f>'REV. FACHADA'!E15</f>
        <v/>
      </c>
      <c r="S31" s="43">
        <f>'REV. FACHADA'!E16</f>
        <v/>
      </c>
      <c r="T31" s="43">
        <f>'REV. FACHADA'!E17</f>
        <v/>
      </c>
      <c r="U31" s="43">
        <f>'REV. FACHADA'!E18</f>
        <v/>
      </c>
      <c r="V31" s="43">
        <f>'REV. FACHADA'!E19</f>
        <v/>
      </c>
      <c r="W31" s="43">
        <f>'REV. FACHADA'!E20</f>
        <v/>
      </c>
      <c r="X31" s="43">
        <f>'REV. FACHADA'!E21</f>
        <v/>
      </c>
      <c r="Y31" s="43">
        <f>'REV. FACHADA'!E22</f>
        <v/>
      </c>
      <c r="Z31" s="43">
        <f>'REV. FACHADA'!E23</f>
        <v/>
      </c>
      <c r="AA31" s="43">
        <f>'REV. FACHADA'!E24</f>
        <v/>
      </c>
      <c r="AB31" s="43">
        <f>'REV. FACHADA'!E25</f>
        <v/>
      </c>
      <c r="AC31" s="43">
        <f>'REV. FACHADA'!E26</f>
        <v/>
      </c>
      <c r="AD31" s="43">
        <f>'REV. FACHADA'!E27</f>
        <v/>
      </c>
      <c r="AE31" s="43">
        <f>'REV. FACHADA'!E28</f>
        <v/>
      </c>
      <c r="AF31" s="43">
        <f>'REV. FACHADA'!E29</f>
        <v/>
      </c>
      <c r="AG31" s="43">
        <f>'REV. FACHADA'!E30</f>
        <v/>
      </c>
      <c r="AH31" s="43">
        <f>'REV. FACHADA'!E31</f>
        <v/>
      </c>
      <c r="AI31" s="43">
        <f>'REV. FACHADA'!E32</f>
        <v/>
      </c>
      <c r="AJ31" s="43">
        <f>'REV. FACHADA'!E33</f>
        <v/>
      </c>
      <c r="AK31" s="43">
        <f>'REV. FACHADA'!E34</f>
        <v/>
      </c>
      <c r="AL31" s="43">
        <f>'REV. FACHADA'!E35</f>
        <v/>
      </c>
      <c r="AM31" s="43">
        <f>'REV. FACHADA'!E36</f>
        <v/>
      </c>
      <c r="AN31" s="43">
        <f>'REV. FACHADA'!E37</f>
        <v/>
      </c>
      <c r="AO31" s="43">
        <f>'REV. FACHADA'!E38</f>
        <v/>
      </c>
      <c r="AP31" s="43">
        <f>'REV. FACHADA'!E39</f>
        <v/>
      </c>
      <c r="AQ31" s="43">
        <f>'REV. FACHADA'!E40</f>
        <v/>
      </c>
      <c r="AR31" s="43">
        <f>'REV. FACHADA'!E41</f>
        <v/>
      </c>
      <c r="AS31" s="43">
        <f>'REV. FACHADA'!E42</f>
        <v/>
      </c>
      <c r="AT31" s="43">
        <f>'REV. FACHADA'!E43</f>
        <v/>
      </c>
      <c r="AU31" s="43">
        <f>'REV. FACHADA'!E44</f>
        <v/>
      </c>
      <c r="AV31" s="43">
        <f>'REV. FACHADA'!E45</f>
        <v/>
      </c>
      <c r="AW31" s="43">
        <f>'REV. FACHADA'!E46</f>
        <v/>
      </c>
      <c r="AX31" s="43">
        <f>'REV. FACHADA'!E47</f>
        <v/>
      </c>
      <c r="AY31" s="43">
        <f>'REV. FACHADA'!E48</f>
        <v/>
      </c>
      <c r="AZ31" s="43">
        <f>'REV. FACHADA'!E49</f>
        <v/>
      </c>
      <c r="BA31" s="43">
        <f>'REV. FACHADA'!E50</f>
        <v/>
      </c>
      <c r="BB31" s="43">
        <f>'REV. FACHADA'!E51</f>
        <v/>
      </c>
      <c r="BC31" s="43">
        <f>'REV. FACHADA'!E52</f>
        <v/>
      </c>
      <c r="BD31" s="43">
        <f>'REV. FACHADA'!E53</f>
        <v/>
      </c>
      <c r="BE31" s="43">
        <f>'REV. FACHADA'!E54</f>
        <v/>
      </c>
      <c r="BF31" s="43">
        <f>'REV. FACHADA'!E55</f>
        <v/>
      </c>
      <c r="BG31" s="43">
        <f>'REV. FACHADA'!E56</f>
        <v/>
      </c>
      <c r="BH31" s="43">
        <f>'REV. FACHADA'!E57</f>
        <v/>
      </c>
      <c r="BI31" s="43">
        <f>'REV. FACHADA'!E58</f>
        <v/>
      </c>
      <c r="BJ31" s="43">
        <f>'REV. FACHADA'!E59</f>
        <v/>
      </c>
      <c r="BK31" s="43">
        <f>'REV. FACHADA'!E60</f>
        <v/>
      </c>
      <c r="BL31" s="43">
        <f>'REV. FACHADA'!E61</f>
        <v/>
      </c>
      <c r="BM31" s="43">
        <f>'REV. FACHADA'!E62</f>
        <v/>
      </c>
      <c r="BN31" s="43">
        <f>'REV. FACHADA'!E63</f>
        <v/>
      </c>
      <c r="BO31" s="43">
        <f>'REV. FACHADA'!E64</f>
        <v/>
      </c>
      <c r="BP31" s="43">
        <f>'REV. FACHADA'!E65</f>
        <v/>
      </c>
      <c r="BQ31" s="43">
        <f>'REV. FACHADA'!E66</f>
        <v/>
      </c>
      <c r="BR31" s="43">
        <f>'REV. FACHADA'!E67</f>
        <v/>
      </c>
      <c r="BS31" s="43">
        <f>'REV. FACHADA'!E68</f>
        <v/>
      </c>
      <c r="BT31" s="43">
        <f>'REV. FACHADA'!E69</f>
        <v/>
      </c>
      <c r="BU31" s="43">
        <f>'REV. FACHADA'!E70</f>
        <v/>
      </c>
      <c r="BV31" s="43">
        <f>'REV. FACHADA'!E71</f>
        <v/>
      </c>
      <c r="BW31" s="43">
        <f>'REV. FACHADA'!E72</f>
        <v/>
      </c>
      <c r="BX31" s="43">
        <f>'REV. FACHADA'!E73</f>
        <v/>
      </c>
      <c r="BY31" s="43">
        <f>'REV. FACHADA'!E74</f>
        <v/>
      </c>
      <c r="BZ31" s="43">
        <f>'REV. FACHADA'!E75</f>
        <v/>
      </c>
      <c r="CA31" s="43">
        <f>'REV. FACHADA'!E76</f>
        <v/>
      </c>
    </row>
    <row r="32">
      <c r="A32" s="21" t="inlineStr">
        <is>
          <t>G041.002</t>
        </is>
      </c>
      <c r="B32" s="21" t="inlineStr">
        <is>
          <t>1030-1070-490</t>
        </is>
      </c>
      <c r="C32" s="21" t="inlineStr">
        <is>
          <t>REVESTIMENTOS DE ACABAMENTO</t>
        </is>
      </c>
      <c r="D32" s="37">
        <f>'REV. ACAB'!$K$5</f>
        <v/>
      </c>
      <c r="E32" s="12">
        <f>SUM(H32:CA32)</f>
        <v/>
      </c>
      <c r="F32" s="12">
        <f>IF(D32="","",D32-E32)</f>
        <v/>
      </c>
      <c r="H32" s="43">
        <f>'REV. ACAB'!E5</f>
        <v/>
      </c>
      <c r="I32" s="43">
        <f>'REV. ACAB'!E6</f>
        <v/>
      </c>
      <c r="J32" s="43">
        <f>'REV. ACAB'!E7</f>
        <v/>
      </c>
      <c r="K32" s="43">
        <f>'REV. ACAB'!E8</f>
        <v/>
      </c>
      <c r="L32" s="43">
        <f>'REV. ACAB'!E9</f>
        <v/>
      </c>
      <c r="M32" s="43">
        <f>'REV. ACAB'!E10</f>
        <v/>
      </c>
      <c r="N32" s="43">
        <f>'REV. ACAB'!E11</f>
        <v/>
      </c>
      <c r="O32" s="43">
        <f>'REV. ACAB'!E12</f>
        <v/>
      </c>
      <c r="P32" s="43">
        <f>'REV. ACAB'!E13</f>
        <v/>
      </c>
      <c r="Q32" s="43">
        <f>'REV. ACAB'!E14</f>
        <v/>
      </c>
      <c r="R32" s="43">
        <f>'REV. ACAB'!E15</f>
        <v/>
      </c>
      <c r="S32" s="43">
        <f>'REV. ACAB'!E16</f>
        <v/>
      </c>
      <c r="T32" s="43">
        <f>'REV. ACAB'!E17</f>
        <v/>
      </c>
      <c r="U32" s="43">
        <f>'REV. ACAB'!E18</f>
        <v/>
      </c>
      <c r="V32" s="43">
        <f>'REV. ACAB'!E19</f>
        <v/>
      </c>
      <c r="W32" s="43">
        <f>'REV. ACAB'!E20</f>
        <v/>
      </c>
      <c r="X32" s="43">
        <f>'REV. ACAB'!E21</f>
        <v/>
      </c>
      <c r="Y32" s="43">
        <f>'REV. ACAB'!E22</f>
        <v/>
      </c>
      <c r="Z32" s="43">
        <f>'REV. ACAB'!E23</f>
        <v/>
      </c>
      <c r="AA32" s="43">
        <f>'REV. ACAB'!E24</f>
        <v/>
      </c>
      <c r="AB32" s="43">
        <f>'REV. ACAB'!E25</f>
        <v/>
      </c>
      <c r="AC32" s="43">
        <f>'REV. ACAB'!E26</f>
        <v/>
      </c>
      <c r="AD32" s="43">
        <f>'REV. ACAB'!E27</f>
        <v/>
      </c>
      <c r="AE32" s="43">
        <f>'REV. ACAB'!E28</f>
        <v/>
      </c>
      <c r="AF32" s="43">
        <f>'REV. ACAB'!E29</f>
        <v/>
      </c>
      <c r="AG32" s="43">
        <f>'REV. ACAB'!E30</f>
        <v/>
      </c>
      <c r="AH32" s="43">
        <f>'REV. ACAB'!E31</f>
        <v/>
      </c>
      <c r="AI32" s="43">
        <f>'REV. ACAB'!E32</f>
        <v/>
      </c>
      <c r="AJ32" s="43">
        <f>'REV. ACAB'!E33</f>
        <v/>
      </c>
      <c r="AK32" s="43">
        <f>'REV. ACAB'!E34</f>
        <v/>
      </c>
      <c r="AL32" s="43">
        <f>'REV. ACAB'!E35</f>
        <v/>
      </c>
      <c r="AM32" s="43">
        <f>'REV. ACAB'!E36</f>
        <v/>
      </c>
      <c r="AN32" s="43">
        <f>'REV. ACAB'!E37</f>
        <v/>
      </c>
      <c r="AO32" s="43">
        <f>'REV. ACAB'!E38</f>
        <v/>
      </c>
      <c r="AP32" s="43">
        <f>'REV. ACAB'!E39</f>
        <v/>
      </c>
      <c r="AQ32" s="43">
        <f>'REV. ACAB'!E40</f>
        <v/>
      </c>
      <c r="AR32" s="43">
        <f>'REV. ACAB'!E41</f>
        <v/>
      </c>
      <c r="AS32" s="43">
        <f>'REV. ACAB'!E42</f>
        <v/>
      </c>
      <c r="AT32" s="43">
        <f>'REV. ACAB'!E43</f>
        <v/>
      </c>
      <c r="AU32" s="43">
        <f>'REV. ACAB'!E44</f>
        <v/>
      </c>
      <c r="AV32" s="43">
        <f>'REV. ACAB'!E45</f>
        <v/>
      </c>
      <c r="AW32" s="43">
        <f>'REV. ACAB'!E46</f>
        <v/>
      </c>
      <c r="AX32" s="43">
        <f>'REV. ACAB'!E47</f>
        <v/>
      </c>
      <c r="AY32" s="43">
        <f>'REV. ACAB'!E48</f>
        <v/>
      </c>
      <c r="AZ32" s="43">
        <f>'REV. ACAB'!E49</f>
        <v/>
      </c>
      <c r="BA32" s="43">
        <f>'REV. ACAB'!E50</f>
        <v/>
      </c>
      <c r="BB32" s="43">
        <f>'REV. ACAB'!E51</f>
        <v/>
      </c>
      <c r="BC32" s="43">
        <f>'REV. ACAB'!E52</f>
        <v/>
      </c>
      <c r="BD32" s="43">
        <f>'REV. ACAB'!E53</f>
        <v/>
      </c>
      <c r="BE32" s="43">
        <f>'REV. ACAB'!E54</f>
        <v/>
      </c>
      <c r="BF32" s="43">
        <f>'REV. ACAB'!E55</f>
        <v/>
      </c>
      <c r="BG32" s="43">
        <f>'REV. ACAB'!E56</f>
        <v/>
      </c>
      <c r="BH32" s="43">
        <f>'REV. ACAB'!E57</f>
        <v/>
      </c>
      <c r="BI32" s="43">
        <f>'REV. ACAB'!E58</f>
        <v/>
      </c>
      <c r="BJ32" s="43">
        <f>'REV. ACAB'!E59</f>
        <v/>
      </c>
      <c r="BK32" s="43">
        <f>'REV. ACAB'!E60</f>
        <v/>
      </c>
      <c r="BL32" s="43">
        <f>'REV. ACAB'!E61</f>
        <v/>
      </c>
      <c r="BM32" s="43">
        <f>'REV. ACAB'!E62</f>
        <v/>
      </c>
      <c r="BN32" s="43">
        <f>'REV. ACAB'!E63</f>
        <v/>
      </c>
      <c r="BO32" s="43">
        <f>'REV. ACAB'!E64</f>
        <v/>
      </c>
      <c r="BP32" s="43">
        <f>'REV. ACAB'!E65</f>
        <v/>
      </c>
      <c r="BQ32" s="43">
        <f>'REV. ACAB'!E66</f>
        <v/>
      </c>
      <c r="BR32" s="43">
        <f>'REV. ACAB'!E67</f>
        <v/>
      </c>
      <c r="BS32" s="43">
        <f>'REV. ACAB'!E68</f>
        <v/>
      </c>
      <c r="BT32" s="43">
        <f>'REV. ACAB'!E69</f>
        <v/>
      </c>
      <c r="BU32" s="43">
        <f>'REV. ACAB'!E70</f>
        <v/>
      </c>
      <c r="BV32" s="43">
        <f>'REV. ACAB'!E71</f>
        <v/>
      </c>
      <c r="BW32" s="43">
        <f>'REV. ACAB'!E72</f>
        <v/>
      </c>
      <c r="BX32" s="43">
        <f>'REV. ACAB'!E73</f>
        <v/>
      </c>
      <c r="BY32" s="43">
        <f>'REV. ACAB'!E74</f>
        <v/>
      </c>
      <c r="BZ32" s="43">
        <f>'REV. ACAB'!E75</f>
        <v/>
      </c>
      <c r="CA32" s="43">
        <f>'REV. ACAB'!E76</f>
        <v/>
      </c>
    </row>
    <row r="33">
      <c r="A33" s="21" t="inlineStr">
        <is>
          <t>G041.002</t>
        </is>
      </c>
      <c r="B33" s="21" t="inlineStr">
        <is>
          <t>1030-1070-320</t>
        </is>
      </c>
      <c r="C33" s="21" t="inlineStr">
        <is>
          <t>REVESTIMENTOS DE MASSA EM PISOS</t>
        </is>
      </c>
      <c r="D33" s="37">
        <f>'REV. PISOS'!$K$5</f>
        <v/>
      </c>
      <c r="E33" s="12">
        <f>SUM(H33:CA33)</f>
        <v/>
      </c>
      <c r="F33" s="12">
        <f>IF(D33="","",D33-E33)</f>
        <v/>
      </c>
      <c r="H33" s="43">
        <f>'REV. PISOS'!E5</f>
        <v/>
      </c>
      <c r="I33" s="43">
        <f>'REV. PISOS'!E6</f>
        <v/>
      </c>
      <c r="J33" s="43">
        <f>'REV. PISOS'!E7</f>
        <v/>
      </c>
      <c r="K33" s="43">
        <f>'REV. PISOS'!E8</f>
        <v/>
      </c>
      <c r="L33" s="43">
        <f>'REV. PISOS'!E9</f>
        <v/>
      </c>
      <c r="M33" s="43">
        <f>'REV. PISOS'!E10</f>
        <v/>
      </c>
      <c r="N33" s="43">
        <f>'REV. PISOS'!E11</f>
        <v/>
      </c>
      <c r="O33" s="43">
        <f>'REV. PISOS'!E12</f>
        <v/>
      </c>
      <c r="P33" s="43">
        <f>'REV. PISOS'!E13</f>
        <v/>
      </c>
      <c r="Q33" s="43">
        <f>'REV. PISOS'!E14</f>
        <v/>
      </c>
      <c r="R33" s="43">
        <f>'REV. PISOS'!E15</f>
        <v/>
      </c>
      <c r="S33" s="43">
        <f>'REV. PISOS'!E16</f>
        <v/>
      </c>
      <c r="T33" s="43">
        <f>'REV. PISOS'!E17</f>
        <v/>
      </c>
      <c r="U33" s="43">
        <f>'REV. PISOS'!E18</f>
        <v/>
      </c>
      <c r="V33" s="43">
        <f>'REV. PISOS'!E19</f>
        <v/>
      </c>
      <c r="W33" s="43">
        <f>'REV. PISOS'!E20</f>
        <v/>
      </c>
      <c r="X33" s="43">
        <f>'REV. PISOS'!E21</f>
        <v/>
      </c>
      <c r="Y33" s="43">
        <f>'REV. PISOS'!E22</f>
        <v/>
      </c>
      <c r="Z33" s="43">
        <f>'REV. PISOS'!E23</f>
        <v/>
      </c>
      <c r="AA33" s="43">
        <f>'REV. PISOS'!E24</f>
        <v/>
      </c>
      <c r="AB33" s="43">
        <f>'REV. PISOS'!E25</f>
        <v/>
      </c>
      <c r="AC33" s="43">
        <f>'REV. PISOS'!E26</f>
        <v/>
      </c>
      <c r="AD33" s="43">
        <f>'REV. PISOS'!E27</f>
        <v/>
      </c>
      <c r="AE33" s="43">
        <f>'REV. PISOS'!E28</f>
        <v/>
      </c>
      <c r="AF33" s="43">
        <f>'REV. PISOS'!E29</f>
        <v/>
      </c>
      <c r="AG33" s="43">
        <f>'REV. PISOS'!E30</f>
        <v/>
      </c>
      <c r="AH33" s="43">
        <f>'REV. PISOS'!E31</f>
        <v/>
      </c>
      <c r="AI33" s="43">
        <f>'REV. PISOS'!E32</f>
        <v/>
      </c>
      <c r="AJ33" s="43">
        <f>'REV. PISOS'!E33</f>
        <v/>
      </c>
      <c r="AK33" s="43">
        <f>'REV. PISOS'!E34</f>
        <v/>
      </c>
      <c r="AL33" s="43">
        <f>'REV. PISOS'!E35</f>
        <v/>
      </c>
      <c r="AM33" s="43">
        <f>'REV. PISOS'!E36</f>
        <v/>
      </c>
      <c r="AN33" s="43">
        <f>'REV. PISOS'!E37</f>
        <v/>
      </c>
      <c r="AO33" s="43">
        <f>'REV. PISOS'!E38</f>
        <v/>
      </c>
      <c r="AP33" s="43">
        <f>'REV. PISOS'!E39</f>
        <v/>
      </c>
      <c r="AQ33" s="43">
        <f>'REV. PISOS'!E40</f>
        <v/>
      </c>
      <c r="AR33" s="43">
        <f>'REV. PISOS'!E41</f>
        <v/>
      </c>
      <c r="AS33" s="43">
        <f>'REV. PISOS'!E42</f>
        <v/>
      </c>
      <c r="AT33" s="43">
        <f>'REV. PISOS'!E43</f>
        <v/>
      </c>
      <c r="AU33" s="43">
        <f>'REV. PISOS'!E44</f>
        <v/>
      </c>
      <c r="AV33" s="43">
        <f>'REV. PISOS'!E45</f>
        <v/>
      </c>
      <c r="AW33" s="43">
        <f>'REV. PISOS'!E46</f>
        <v/>
      </c>
      <c r="AX33" s="43">
        <f>'REV. PISOS'!E47</f>
        <v/>
      </c>
      <c r="AY33" s="43">
        <f>'REV. PISOS'!E48</f>
        <v/>
      </c>
      <c r="AZ33" s="43">
        <f>'REV. PISOS'!E49</f>
        <v/>
      </c>
      <c r="BA33" s="43">
        <f>'REV. PISOS'!E50</f>
        <v/>
      </c>
      <c r="BB33" s="43">
        <f>'REV. PISOS'!E51</f>
        <v/>
      </c>
      <c r="BC33" s="43">
        <f>'REV. PISOS'!E52</f>
        <v/>
      </c>
      <c r="BD33" s="43">
        <f>'REV. PISOS'!E53</f>
        <v/>
      </c>
      <c r="BE33" s="43">
        <f>'REV. PISOS'!E54</f>
        <v/>
      </c>
      <c r="BF33" s="43">
        <f>'REV. PISOS'!E55</f>
        <v/>
      </c>
      <c r="BG33" s="43">
        <f>'REV. PISOS'!E56</f>
        <v/>
      </c>
      <c r="BH33" s="43">
        <f>'REV. PISOS'!E57</f>
        <v/>
      </c>
      <c r="BI33" s="43">
        <f>'REV. PISOS'!E58</f>
        <v/>
      </c>
      <c r="BJ33" s="43">
        <f>'REV. PISOS'!E59</f>
        <v/>
      </c>
      <c r="BK33" s="43">
        <f>'REV. PISOS'!E60</f>
        <v/>
      </c>
      <c r="BL33" s="43">
        <f>'REV. PISOS'!E61</f>
        <v/>
      </c>
      <c r="BM33" s="43">
        <f>'REV. PISOS'!E62</f>
        <v/>
      </c>
      <c r="BN33" s="43">
        <f>'REV. PISOS'!E63</f>
        <v/>
      </c>
      <c r="BO33" s="43">
        <f>'REV. PISOS'!E64</f>
        <v/>
      </c>
      <c r="BP33" s="43">
        <f>'REV. PISOS'!E65</f>
        <v/>
      </c>
      <c r="BQ33" s="43">
        <f>'REV. PISOS'!E66</f>
        <v/>
      </c>
      <c r="BR33" s="43">
        <f>'REV. PISOS'!E67</f>
        <v/>
      </c>
      <c r="BS33" s="43">
        <f>'REV. PISOS'!E68</f>
        <v/>
      </c>
      <c r="BT33" s="43">
        <f>'REV. PISOS'!E69</f>
        <v/>
      </c>
      <c r="BU33" s="43">
        <f>'REV. PISOS'!E70</f>
        <v/>
      </c>
      <c r="BV33" s="43">
        <f>'REV. PISOS'!E71</f>
        <v/>
      </c>
      <c r="BW33" s="43">
        <f>'REV. PISOS'!E72</f>
        <v/>
      </c>
      <c r="BX33" s="43">
        <f>'REV. PISOS'!E73</f>
        <v/>
      </c>
      <c r="BY33" s="43">
        <f>'REV. PISOS'!E74</f>
        <v/>
      </c>
      <c r="BZ33" s="43">
        <f>'REV. PISOS'!E75</f>
        <v/>
      </c>
      <c r="CA33" s="43">
        <f>'REV. PISOS'!E76</f>
        <v/>
      </c>
    </row>
    <row r="34">
      <c r="A34" s="21" t="inlineStr">
        <is>
          <t>G041.002</t>
        </is>
      </c>
      <c r="B34" s="21" t="inlineStr">
        <is>
          <t>1030-1070-300</t>
        </is>
      </c>
      <c r="C34" s="21" t="inlineStr">
        <is>
          <t>REVESTIMENTOS DE MASSA EM PAREDES</t>
        </is>
      </c>
      <c r="D34" s="37">
        <f>'REV. PAREDE'!$K$5</f>
        <v/>
      </c>
      <c r="E34" s="12">
        <f>SUM(H34:CA34)</f>
        <v/>
      </c>
      <c r="F34" s="12">
        <f>IF(D34="","",D34-E34)</f>
        <v/>
      </c>
      <c r="H34" s="43">
        <f>'REV. PAREDE'!E5</f>
        <v/>
      </c>
      <c r="I34" s="43">
        <f>'REV. PAREDE'!E6</f>
        <v/>
      </c>
      <c r="J34" s="43">
        <f>'REV. PAREDE'!E7</f>
        <v/>
      </c>
      <c r="K34" s="43">
        <f>'REV. PAREDE'!E8</f>
        <v/>
      </c>
      <c r="L34" s="43">
        <f>'REV. PAREDE'!E9</f>
        <v/>
      </c>
      <c r="M34" s="43">
        <f>'REV. PAREDE'!E10</f>
        <v/>
      </c>
      <c r="N34" s="43">
        <f>'REV. PAREDE'!E11</f>
        <v/>
      </c>
      <c r="O34" s="43">
        <f>'REV. PAREDE'!E12</f>
        <v/>
      </c>
      <c r="P34" s="43">
        <f>'REV. PAREDE'!E13</f>
        <v/>
      </c>
      <c r="Q34" s="43">
        <f>'REV. PAREDE'!E14</f>
        <v/>
      </c>
      <c r="R34" s="43">
        <f>'REV. PAREDE'!E15</f>
        <v/>
      </c>
      <c r="S34" s="43">
        <f>'REV. PAREDE'!E16</f>
        <v/>
      </c>
      <c r="T34" s="43">
        <f>'REV. PAREDE'!E17</f>
        <v/>
      </c>
      <c r="U34" s="43">
        <f>'REV. PAREDE'!E18</f>
        <v/>
      </c>
      <c r="V34" s="43">
        <f>'REV. PAREDE'!E19</f>
        <v/>
      </c>
      <c r="W34" s="43">
        <f>'REV. PAREDE'!E20</f>
        <v/>
      </c>
      <c r="X34" s="43">
        <f>'REV. PAREDE'!E21</f>
        <v/>
      </c>
      <c r="Y34" s="43">
        <f>'REV. PAREDE'!E22</f>
        <v/>
      </c>
      <c r="Z34" s="43">
        <f>'REV. PAREDE'!E23</f>
        <v/>
      </c>
      <c r="AA34" s="43">
        <f>'REV. PAREDE'!E24</f>
        <v/>
      </c>
      <c r="AB34" s="43">
        <f>'REV. PAREDE'!E25</f>
        <v/>
      </c>
      <c r="AC34" s="43">
        <f>'REV. PAREDE'!E26</f>
        <v/>
      </c>
      <c r="AD34" s="43">
        <f>'REV. PAREDE'!E27</f>
        <v/>
      </c>
      <c r="AE34" s="43">
        <f>'REV. PAREDE'!E28</f>
        <v/>
      </c>
      <c r="AF34" s="43">
        <f>'REV. PAREDE'!E29</f>
        <v/>
      </c>
      <c r="AG34" s="43">
        <f>'REV. PAREDE'!E30</f>
        <v/>
      </c>
      <c r="AH34" s="43">
        <f>'REV. PAREDE'!E31</f>
        <v/>
      </c>
      <c r="AI34" s="43">
        <f>'REV. PAREDE'!E32</f>
        <v/>
      </c>
      <c r="AJ34" s="43">
        <f>'REV. PAREDE'!E33</f>
        <v/>
      </c>
      <c r="AK34" s="43">
        <f>'REV. PAREDE'!E34</f>
        <v/>
      </c>
      <c r="AL34" s="43">
        <f>'REV. PAREDE'!E35</f>
        <v/>
      </c>
      <c r="AM34" s="43">
        <f>'REV. PAREDE'!E36</f>
        <v/>
      </c>
      <c r="AN34" s="43">
        <f>'REV. PAREDE'!E37</f>
        <v/>
      </c>
      <c r="AO34" s="43">
        <f>'REV. PAREDE'!E38</f>
        <v/>
      </c>
      <c r="AP34" s="43">
        <f>'REV. PAREDE'!E39</f>
        <v/>
      </c>
      <c r="AQ34" s="43">
        <f>'REV. PAREDE'!E40</f>
        <v/>
      </c>
      <c r="AR34" s="43">
        <f>'REV. PAREDE'!E41</f>
        <v/>
      </c>
      <c r="AS34" s="43">
        <f>'REV. PAREDE'!E42</f>
        <v/>
      </c>
      <c r="AT34" s="43">
        <f>'REV. PAREDE'!E43</f>
        <v/>
      </c>
      <c r="AU34" s="43">
        <f>'REV. PAREDE'!E44</f>
        <v/>
      </c>
      <c r="AV34" s="43">
        <f>'REV. PAREDE'!E45</f>
        <v/>
      </c>
      <c r="AW34" s="43">
        <f>'REV. PAREDE'!E46</f>
        <v/>
      </c>
      <c r="AX34" s="43">
        <f>'REV. PAREDE'!E47</f>
        <v/>
      </c>
      <c r="AY34" s="43">
        <f>'REV. PAREDE'!E48</f>
        <v/>
      </c>
      <c r="AZ34" s="43">
        <f>'REV. PAREDE'!E49</f>
        <v/>
      </c>
      <c r="BA34" s="43">
        <f>'REV. PAREDE'!E50</f>
        <v/>
      </c>
      <c r="BB34" s="43">
        <f>'REV. PAREDE'!E51</f>
        <v/>
      </c>
      <c r="BC34" s="43">
        <f>'REV. PAREDE'!E52</f>
        <v/>
      </c>
      <c r="BD34" s="43">
        <f>'REV. PAREDE'!E53</f>
        <v/>
      </c>
      <c r="BE34" s="43">
        <f>'REV. PAREDE'!E54</f>
        <v/>
      </c>
      <c r="BF34" s="43">
        <f>'REV. PAREDE'!E55</f>
        <v/>
      </c>
      <c r="BG34" s="43">
        <f>'REV. PAREDE'!E56</f>
        <v/>
      </c>
      <c r="BH34" s="43">
        <f>'REV. PAREDE'!E57</f>
        <v/>
      </c>
      <c r="BI34" s="43">
        <f>'REV. PAREDE'!E58</f>
        <v/>
      </c>
      <c r="BJ34" s="43">
        <f>'REV. PAREDE'!E59</f>
        <v/>
      </c>
      <c r="BK34" s="43">
        <f>'REV. PAREDE'!E60</f>
        <v/>
      </c>
      <c r="BL34" s="43">
        <f>'REV. PAREDE'!E61</f>
        <v/>
      </c>
      <c r="BM34" s="43">
        <f>'REV. PAREDE'!E62</f>
        <v/>
      </c>
      <c r="BN34" s="43">
        <f>'REV. PAREDE'!E63</f>
        <v/>
      </c>
      <c r="BO34" s="43">
        <f>'REV. PAREDE'!E64</f>
        <v/>
      </c>
      <c r="BP34" s="43">
        <f>'REV. PAREDE'!E65</f>
        <v/>
      </c>
      <c r="BQ34" s="43">
        <f>'REV. PAREDE'!E66</f>
        <v/>
      </c>
      <c r="BR34" s="43">
        <f>'REV. PAREDE'!E67</f>
        <v/>
      </c>
      <c r="BS34" s="43">
        <f>'REV. PAREDE'!E68</f>
        <v/>
      </c>
      <c r="BT34" s="43">
        <f>'REV. PAREDE'!E69</f>
        <v/>
      </c>
      <c r="BU34" s="43">
        <f>'REV. PAREDE'!E70</f>
        <v/>
      </c>
      <c r="BV34" s="43">
        <f>'REV. PAREDE'!E71</f>
        <v/>
      </c>
      <c r="BW34" s="43">
        <f>'REV. PAREDE'!E72</f>
        <v/>
      </c>
      <c r="BX34" s="43">
        <f>'REV. PAREDE'!E73</f>
        <v/>
      </c>
      <c r="BY34" s="43">
        <f>'REV. PAREDE'!E74</f>
        <v/>
      </c>
      <c r="BZ34" s="43">
        <f>'REV. PAREDE'!E75</f>
        <v/>
      </c>
      <c r="CA34" s="43">
        <f>'REV. PAREDE'!E76</f>
        <v/>
      </c>
    </row>
    <row r="35">
      <c r="A35" s="21" t="inlineStr">
        <is>
          <t>G041.002</t>
        </is>
      </c>
      <c r="B35" s="21" t="inlineStr">
        <is>
          <t>1030-1070-580</t>
        </is>
      </c>
      <c r="C35" s="21" t="inlineStr">
        <is>
          <t>REVESTIMENTOS DIVERSOS-FACHADA</t>
        </is>
      </c>
      <c r="E35" s="12">
        <f>SUM(H35:CA35)</f>
        <v/>
      </c>
      <c r="F35" s="12">
        <f>IF(D35="","",D35-E35)</f>
        <v/>
      </c>
    </row>
    <row r="36">
      <c r="A36" s="21" t="inlineStr">
        <is>
          <t>G041.002</t>
        </is>
      </c>
      <c r="B36" s="21" t="inlineStr">
        <is>
          <t>1030-1070-310</t>
        </is>
      </c>
      <c r="C36" s="21" t="inlineStr">
        <is>
          <t>REVESTIMENTOS DIVERSOS-PAREDE</t>
        </is>
      </c>
      <c r="E36" s="12">
        <f>SUM(H36:CA36)</f>
        <v/>
      </c>
      <c r="F36" s="12">
        <f>IF(D36="","",D36-E36)</f>
        <v/>
      </c>
    </row>
    <row r="37">
      <c r="A37" s="21" t="inlineStr">
        <is>
          <t>G041.002</t>
        </is>
      </c>
      <c r="B37" s="21" t="inlineStr">
        <is>
          <t>1030-1070-330</t>
        </is>
      </c>
      <c r="C37" s="21" t="inlineStr">
        <is>
          <t>REVESTIMENTOS DIVERSOS-PISOS</t>
        </is>
      </c>
      <c r="E37" s="12">
        <f>SUM(H37:CA37)</f>
        <v/>
      </c>
      <c r="F37" s="12">
        <f>IF(D37="","",D37-E37)</f>
        <v/>
      </c>
    </row>
    <row r="38">
      <c r="A38" s="21" t="inlineStr">
        <is>
          <t>G041.002</t>
        </is>
      </c>
      <c r="B38" s="21" t="inlineStr">
        <is>
          <t>1030-1070-340</t>
        </is>
      </c>
      <c r="C38" s="21" t="inlineStr">
        <is>
          <t>RODAPÉS/SOLEIRAS/PEITORIL/ADUELAS</t>
        </is>
      </c>
      <c r="E38" s="12">
        <f>SUM(H38:CA38)</f>
        <v/>
      </c>
      <c r="F38" s="12">
        <f>IF(D38="","",D38-E38)</f>
        <v/>
      </c>
    </row>
    <row r="39">
      <c r="A39" s="21" t="inlineStr">
        <is>
          <t>G041.002</t>
        </is>
      </c>
      <c r="B39" s="21" t="inlineStr">
        <is>
          <t>1030-1070-220</t>
        </is>
      </c>
      <c r="C39" s="21" t="inlineStr">
        <is>
          <t>EQUIPAMENTOS DE PROTEÇÃO COLETIVA</t>
        </is>
      </c>
      <c r="E39" s="12">
        <f>SUM(H39:CA39)</f>
        <v/>
      </c>
      <c r="F39" s="12">
        <f>IF(D39="","",D39-E39)</f>
        <v/>
      </c>
    </row>
    <row r="40">
      <c r="A40" s="21" t="inlineStr">
        <is>
          <t>G041.002</t>
        </is>
      </c>
      <c r="B40" s="21" t="inlineStr">
        <is>
          <t>1030-1070-110</t>
        </is>
      </c>
      <c r="C40" s="21" t="inlineStr">
        <is>
          <t>SEGUROS</t>
        </is>
      </c>
      <c r="D40" s="37">
        <f>'SEGUROS'!$K$5</f>
        <v/>
      </c>
      <c r="E40" s="12">
        <f>SUM(H40:CA40)</f>
        <v/>
      </c>
      <c r="F40" s="12">
        <f>IF(D40="","",D40-E40)</f>
        <v/>
      </c>
      <c r="H40" s="43">
        <f>'SEGUROS'!E5</f>
        <v/>
      </c>
      <c r="I40" s="43">
        <f>'SEGUROS'!E6</f>
        <v/>
      </c>
      <c r="J40" s="43">
        <f>'SEGUROS'!E7</f>
        <v/>
      </c>
      <c r="K40" s="43">
        <f>'SEGUROS'!E8</f>
        <v/>
      </c>
      <c r="L40" s="43">
        <f>'SEGUROS'!E9</f>
        <v/>
      </c>
      <c r="M40" s="43">
        <f>'SEGUROS'!E10</f>
        <v/>
      </c>
      <c r="N40" s="43">
        <f>'SEGUROS'!E11</f>
        <v/>
      </c>
      <c r="O40" s="43">
        <f>'SEGUROS'!E12</f>
        <v/>
      </c>
      <c r="P40" s="43">
        <f>'SEGUROS'!E13</f>
        <v/>
      </c>
      <c r="Q40" s="43">
        <f>'SEGUROS'!E14</f>
        <v/>
      </c>
      <c r="R40" s="43">
        <f>'SEGUROS'!E15</f>
        <v/>
      </c>
      <c r="S40" s="43">
        <f>'SEGUROS'!E16</f>
        <v/>
      </c>
      <c r="T40" s="43">
        <f>'SEGUROS'!E17</f>
        <v/>
      </c>
      <c r="U40" s="43">
        <f>'SEGUROS'!E18</f>
        <v/>
      </c>
      <c r="V40" s="43">
        <f>'SEGUROS'!E19</f>
        <v/>
      </c>
      <c r="W40" s="43">
        <f>'SEGUROS'!E20</f>
        <v/>
      </c>
      <c r="X40" s="43">
        <f>'SEGUROS'!E21</f>
        <v/>
      </c>
      <c r="Y40" s="43">
        <f>'SEGUROS'!E22</f>
        <v/>
      </c>
      <c r="Z40" s="43">
        <f>'SEGUROS'!E23</f>
        <v/>
      </c>
      <c r="AA40" s="43">
        <f>'SEGUROS'!E24</f>
        <v/>
      </c>
      <c r="AB40" s="43">
        <f>'SEGUROS'!E25</f>
        <v/>
      </c>
      <c r="AC40" s="43">
        <f>'SEGUROS'!E26</f>
        <v/>
      </c>
      <c r="AD40" s="43">
        <f>'SEGUROS'!E27</f>
        <v/>
      </c>
      <c r="AE40" s="43">
        <f>'SEGUROS'!E28</f>
        <v/>
      </c>
      <c r="AF40" s="43">
        <f>'SEGUROS'!E29</f>
        <v/>
      </c>
      <c r="AG40" s="43">
        <f>'SEGUROS'!E30</f>
        <v/>
      </c>
      <c r="AH40" s="43">
        <f>'SEGUROS'!E31</f>
        <v/>
      </c>
      <c r="AI40" s="43">
        <f>'SEGUROS'!E32</f>
        <v/>
      </c>
      <c r="AJ40" s="43">
        <f>'SEGUROS'!E33</f>
        <v/>
      </c>
      <c r="AK40" s="43">
        <f>'SEGUROS'!E34</f>
        <v/>
      </c>
      <c r="AL40" s="43">
        <f>'SEGUROS'!E35</f>
        <v/>
      </c>
      <c r="AM40" s="43">
        <f>'SEGUROS'!E36</f>
        <v/>
      </c>
      <c r="AN40" s="43">
        <f>'SEGUROS'!E37</f>
        <v/>
      </c>
      <c r="AO40" s="43">
        <f>'SEGUROS'!E38</f>
        <v/>
      </c>
      <c r="AP40" s="43">
        <f>'SEGUROS'!E39</f>
        <v/>
      </c>
      <c r="AQ40" s="43">
        <f>'SEGUROS'!E40</f>
        <v/>
      </c>
      <c r="AR40" s="43">
        <f>'SEGUROS'!E41</f>
        <v/>
      </c>
      <c r="AS40" s="43">
        <f>'SEGUROS'!E42</f>
        <v/>
      </c>
      <c r="AT40" s="43">
        <f>'SEGUROS'!E43</f>
        <v/>
      </c>
      <c r="AU40" s="43">
        <f>'SEGUROS'!E44</f>
        <v/>
      </c>
      <c r="AV40" s="43">
        <f>'SEGUROS'!E45</f>
        <v/>
      </c>
      <c r="AW40" s="43">
        <f>'SEGUROS'!E46</f>
        <v/>
      </c>
      <c r="AX40" s="43">
        <f>'SEGUROS'!E47</f>
        <v/>
      </c>
      <c r="AY40" s="43">
        <f>'SEGUROS'!E48</f>
        <v/>
      </c>
      <c r="AZ40" s="43">
        <f>'SEGUROS'!E49</f>
        <v/>
      </c>
      <c r="BA40" s="43">
        <f>'SEGUROS'!E50</f>
        <v/>
      </c>
      <c r="BB40" s="43">
        <f>'SEGUROS'!E51</f>
        <v/>
      </c>
      <c r="BC40" s="43">
        <f>'SEGUROS'!E52</f>
        <v/>
      </c>
      <c r="BD40" s="43">
        <f>'SEGUROS'!E53</f>
        <v/>
      </c>
      <c r="BE40" s="43">
        <f>'SEGUROS'!E54</f>
        <v/>
      </c>
      <c r="BF40" s="43">
        <f>'SEGUROS'!E55</f>
        <v/>
      </c>
      <c r="BG40" s="43">
        <f>'SEGUROS'!E56</f>
        <v/>
      </c>
      <c r="BH40" s="43">
        <f>'SEGUROS'!E57</f>
        <v/>
      </c>
      <c r="BI40" s="43">
        <f>'SEGUROS'!E58</f>
        <v/>
      </c>
      <c r="BJ40" s="43">
        <f>'SEGUROS'!E59</f>
        <v/>
      </c>
      <c r="BK40" s="43">
        <f>'SEGUROS'!E60</f>
        <v/>
      </c>
      <c r="BL40" s="43">
        <f>'SEGUROS'!E61</f>
        <v/>
      </c>
      <c r="BM40" s="43">
        <f>'SEGUROS'!E62</f>
        <v/>
      </c>
      <c r="BN40" s="43">
        <f>'SEGUROS'!E63</f>
        <v/>
      </c>
      <c r="BO40" s="43">
        <f>'SEGUROS'!E64</f>
        <v/>
      </c>
      <c r="BP40" s="43">
        <f>'SEGUROS'!E65</f>
        <v/>
      </c>
      <c r="BQ40" s="43">
        <f>'SEGUROS'!E66</f>
        <v/>
      </c>
      <c r="BR40" s="43">
        <f>'SEGUROS'!E67</f>
        <v/>
      </c>
      <c r="BS40" s="43">
        <f>'SEGUROS'!E68</f>
        <v/>
      </c>
      <c r="BT40" s="43">
        <f>'SEGUROS'!E69</f>
        <v/>
      </c>
      <c r="BU40" s="43">
        <f>'SEGUROS'!E70</f>
        <v/>
      </c>
      <c r="BV40" s="43">
        <f>'SEGUROS'!E71</f>
        <v/>
      </c>
      <c r="BW40" s="43">
        <f>'SEGUROS'!E72</f>
        <v/>
      </c>
      <c r="BX40" s="43">
        <f>'SEGUROS'!E73</f>
        <v/>
      </c>
      <c r="BY40" s="43">
        <f>'SEGUROS'!E74</f>
        <v/>
      </c>
      <c r="BZ40" s="43">
        <f>'SEGUROS'!E75</f>
        <v/>
      </c>
      <c r="CA40" s="43">
        <f>'SEGUROS'!E76</f>
        <v/>
      </c>
    </row>
    <row r="41">
      <c r="A41" s="21" t="inlineStr">
        <is>
          <t>G041.002</t>
        </is>
      </c>
      <c r="B41" s="21" t="inlineStr">
        <is>
          <t>1030-1070-380</t>
        </is>
      </c>
      <c r="C41" s="21" t="inlineStr">
        <is>
          <t>SERRALHERIA</t>
        </is>
      </c>
      <c r="D41" s="37">
        <f>'SERRALHERIA'!$K$5</f>
        <v/>
      </c>
      <c r="E41" s="12">
        <f>SUM(H41:CA41)</f>
        <v/>
      </c>
      <c r="F41" s="12">
        <f>IF(D41="","",D41-E41)</f>
        <v/>
      </c>
      <c r="H41" s="43">
        <f>'SERRALHERIA'!E5</f>
        <v/>
      </c>
      <c r="I41" s="43">
        <f>'SERRALHERIA'!E6</f>
        <v/>
      </c>
      <c r="J41" s="43">
        <f>'SERRALHERIA'!E7</f>
        <v/>
      </c>
      <c r="K41" s="43">
        <f>'SERRALHERIA'!E8</f>
        <v/>
      </c>
      <c r="L41" s="43">
        <f>'SERRALHERIA'!E9</f>
        <v/>
      </c>
      <c r="M41" s="43">
        <f>'SERRALHERIA'!E10</f>
        <v/>
      </c>
      <c r="N41" s="43">
        <f>'SERRALHERIA'!E11</f>
        <v/>
      </c>
      <c r="O41" s="43">
        <f>'SERRALHERIA'!E12</f>
        <v/>
      </c>
      <c r="P41" s="43">
        <f>'SERRALHERIA'!E13</f>
        <v/>
      </c>
      <c r="Q41" s="43">
        <f>'SERRALHERIA'!E14</f>
        <v/>
      </c>
      <c r="R41" s="43">
        <f>'SERRALHERIA'!E15</f>
        <v/>
      </c>
      <c r="S41" s="43">
        <f>'SERRALHERIA'!E16</f>
        <v/>
      </c>
      <c r="T41" s="43">
        <f>'SERRALHERIA'!E17</f>
        <v/>
      </c>
      <c r="U41" s="43">
        <f>'SERRALHERIA'!E18</f>
        <v/>
      </c>
      <c r="V41" s="43">
        <f>'SERRALHERIA'!E19</f>
        <v/>
      </c>
      <c r="W41" s="43">
        <f>'SERRALHERIA'!E20</f>
        <v/>
      </c>
      <c r="X41" s="43">
        <f>'SERRALHERIA'!E21</f>
        <v/>
      </c>
      <c r="Y41" s="43">
        <f>'SERRALHERIA'!E22</f>
        <v/>
      </c>
      <c r="Z41" s="43">
        <f>'SERRALHERIA'!E23</f>
        <v/>
      </c>
      <c r="AA41" s="43">
        <f>'SERRALHERIA'!E24</f>
        <v/>
      </c>
      <c r="AB41" s="43">
        <f>'SERRALHERIA'!E25</f>
        <v/>
      </c>
      <c r="AC41" s="43">
        <f>'SERRALHERIA'!E26</f>
        <v/>
      </c>
      <c r="AD41" s="43">
        <f>'SERRALHERIA'!E27</f>
        <v/>
      </c>
      <c r="AE41" s="43">
        <f>'SERRALHERIA'!E28</f>
        <v/>
      </c>
      <c r="AF41" s="43">
        <f>'SERRALHERIA'!E29</f>
        <v/>
      </c>
      <c r="AG41" s="43">
        <f>'SERRALHERIA'!E30</f>
        <v/>
      </c>
      <c r="AH41" s="43">
        <f>'SERRALHERIA'!E31</f>
        <v/>
      </c>
      <c r="AI41" s="43">
        <f>'SERRALHERIA'!E32</f>
        <v/>
      </c>
      <c r="AJ41" s="43">
        <f>'SERRALHERIA'!E33</f>
        <v/>
      </c>
      <c r="AK41" s="43">
        <f>'SERRALHERIA'!E34</f>
        <v/>
      </c>
      <c r="AL41" s="43">
        <f>'SERRALHERIA'!E35</f>
        <v/>
      </c>
      <c r="AM41" s="43">
        <f>'SERRALHERIA'!E36</f>
        <v/>
      </c>
      <c r="AN41" s="43">
        <f>'SERRALHERIA'!E37</f>
        <v/>
      </c>
      <c r="AO41" s="43">
        <f>'SERRALHERIA'!E38</f>
        <v/>
      </c>
      <c r="AP41" s="43">
        <f>'SERRALHERIA'!E39</f>
        <v/>
      </c>
      <c r="AQ41" s="43">
        <f>'SERRALHERIA'!E40</f>
        <v/>
      </c>
      <c r="AR41" s="43">
        <f>'SERRALHERIA'!E41</f>
        <v/>
      </c>
      <c r="AS41" s="43">
        <f>'SERRALHERIA'!E42</f>
        <v/>
      </c>
      <c r="AT41" s="43">
        <f>'SERRALHERIA'!E43</f>
        <v/>
      </c>
      <c r="AU41" s="43">
        <f>'SERRALHERIA'!E44</f>
        <v/>
      </c>
      <c r="AV41" s="43">
        <f>'SERRALHERIA'!E45</f>
        <v/>
      </c>
      <c r="AW41" s="43">
        <f>'SERRALHERIA'!E46</f>
        <v/>
      </c>
      <c r="AX41" s="43">
        <f>'SERRALHERIA'!E47</f>
        <v/>
      </c>
      <c r="AY41" s="43">
        <f>'SERRALHERIA'!E48</f>
        <v/>
      </c>
      <c r="AZ41" s="43">
        <f>'SERRALHERIA'!E49</f>
        <v/>
      </c>
      <c r="BA41" s="43">
        <f>'SERRALHERIA'!E50</f>
        <v/>
      </c>
      <c r="BB41" s="43">
        <f>'SERRALHERIA'!E51</f>
        <v/>
      </c>
      <c r="BC41" s="43">
        <f>'SERRALHERIA'!E52</f>
        <v/>
      </c>
      <c r="BD41" s="43">
        <f>'SERRALHERIA'!E53</f>
        <v/>
      </c>
      <c r="BE41" s="43">
        <f>'SERRALHERIA'!E54</f>
        <v/>
      </c>
      <c r="BF41" s="43">
        <f>'SERRALHERIA'!E55</f>
        <v/>
      </c>
      <c r="BG41" s="43">
        <f>'SERRALHERIA'!E56</f>
        <v/>
      </c>
      <c r="BH41" s="43">
        <f>'SERRALHERIA'!E57</f>
        <v/>
      </c>
      <c r="BI41" s="43">
        <f>'SERRALHERIA'!E58</f>
        <v/>
      </c>
      <c r="BJ41" s="43">
        <f>'SERRALHERIA'!E59</f>
        <v/>
      </c>
      <c r="BK41" s="43">
        <f>'SERRALHERIA'!E60</f>
        <v/>
      </c>
      <c r="BL41" s="43">
        <f>'SERRALHERIA'!E61</f>
        <v/>
      </c>
      <c r="BM41" s="43">
        <f>'SERRALHERIA'!E62</f>
        <v/>
      </c>
      <c r="BN41" s="43">
        <f>'SERRALHERIA'!E63</f>
        <v/>
      </c>
      <c r="BO41" s="43">
        <f>'SERRALHERIA'!E64</f>
        <v/>
      </c>
      <c r="BP41" s="43">
        <f>'SERRALHERIA'!E65</f>
        <v/>
      </c>
      <c r="BQ41" s="43">
        <f>'SERRALHERIA'!E66</f>
        <v/>
      </c>
      <c r="BR41" s="43">
        <f>'SERRALHERIA'!E67</f>
        <v/>
      </c>
      <c r="BS41" s="43">
        <f>'SERRALHERIA'!E68</f>
        <v/>
      </c>
      <c r="BT41" s="43">
        <f>'SERRALHERIA'!E69</f>
        <v/>
      </c>
      <c r="BU41" s="43">
        <f>'SERRALHERIA'!E70</f>
        <v/>
      </c>
      <c r="BV41" s="43">
        <f>'SERRALHERIA'!E71</f>
        <v/>
      </c>
      <c r="BW41" s="43">
        <f>'SERRALHERIA'!E72</f>
        <v/>
      </c>
      <c r="BX41" s="43">
        <f>'SERRALHERIA'!E73</f>
        <v/>
      </c>
      <c r="BY41" s="43">
        <f>'SERRALHERIA'!E74</f>
        <v/>
      </c>
      <c r="BZ41" s="43">
        <f>'SERRALHERIA'!E75</f>
        <v/>
      </c>
      <c r="CA41" s="43">
        <f>'SERRALHERIA'!E76</f>
        <v/>
      </c>
    </row>
    <row r="42">
      <c r="A42" s="21" t="inlineStr">
        <is>
          <t>G041.002</t>
        </is>
      </c>
      <c r="B42" s="21" t="inlineStr">
        <is>
          <t>1030-1070-150</t>
        </is>
      </c>
      <c r="C42" s="21" t="inlineStr">
        <is>
          <t>LIGAÇÕES PROVISÓRIAS AGUA, ENERGIA,TELEFONIA, ESGOTO</t>
        </is>
      </c>
      <c r="D42" s="37">
        <f>'LIG. PROVISÓRIAS'!$K$5</f>
        <v/>
      </c>
      <c r="E42" s="12">
        <f>SUM(H42:CA42)</f>
        <v/>
      </c>
      <c r="F42" s="12">
        <f>IF(D42="","",D42-E42)</f>
        <v/>
      </c>
      <c r="H42" s="43">
        <f>'LIG. PROVISÓRIAS'!E5</f>
        <v/>
      </c>
      <c r="I42" s="43">
        <f>'LIG. PROVISÓRIAS'!E6</f>
        <v/>
      </c>
      <c r="J42" s="43">
        <f>'LIG. PROVISÓRIAS'!E7</f>
        <v/>
      </c>
      <c r="K42" s="43">
        <f>'LIG. PROVISÓRIAS'!E8</f>
        <v/>
      </c>
      <c r="L42" s="43">
        <f>'LIG. PROVISÓRIAS'!E9</f>
        <v/>
      </c>
      <c r="M42" s="43">
        <f>'LIG. PROVISÓRIAS'!E10</f>
        <v/>
      </c>
      <c r="N42" s="43">
        <f>'LIG. PROVISÓRIAS'!E11</f>
        <v/>
      </c>
      <c r="O42" s="43">
        <f>'LIG. PROVISÓRIAS'!E12</f>
        <v/>
      </c>
      <c r="P42" s="43">
        <f>'LIG. PROVISÓRIAS'!E13</f>
        <v/>
      </c>
      <c r="Q42" s="43">
        <f>'LIG. PROVISÓRIAS'!E14</f>
        <v/>
      </c>
      <c r="R42" s="43">
        <f>'LIG. PROVISÓRIAS'!E15</f>
        <v/>
      </c>
      <c r="S42" s="43">
        <f>'LIG. PROVISÓRIAS'!E16</f>
        <v/>
      </c>
      <c r="T42" s="43">
        <f>'LIG. PROVISÓRIAS'!E17</f>
        <v/>
      </c>
      <c r="U42" s="43">
        <f>'LIG. PROVISÓRIAS'!E18</f>
        <v/>
      </c>
      <c r="V42" s="43">
        <f>'LIG. PROVISÓRIAS'!E19</f>
        <v/>
      </c>
      <c r="W42" s="43">
        <f>'LIG. PROVISÓRIAS'!E20</f>
        <v/>
      </c>
      <c r="X42" s="43">
        <f>'LIG. PROVISÓRIAS'!E21</f>
        <v/>
      </c>
      <c r="Y42" s="43">
        <f>'LIG. PROVISÓRIAS'!E22</f>
        <v/>
      </c>
      <c r="Z42" s="43">
        <f>'LIG. PROVISÓRIAS'!E23</f>
        <v/>
      </c>
      <c r="AA42" s="43">
        <f>'LIG. PROVISÓRIAS'!E24</f>
        <v/>
      </c>
      <c r="AB42" s="43">
        <f>'LIG. PROVISÓRIAS'!E25</f>
        <v/>
      </c>
      <c r="AC42" s="43">
        <f>'LIG. PROVISÓRIAS'!E26</f>
        <v/>
      </c>
      <c r="AD42" s="43">
        <f>'LIG. PROVISÓRIAS'!E27</f>
        <v/>
      </c>
      <c r="AE42" s="43">
        <f>'LIG. PROVISÓRIAS'!E28</f>
        <v/>
      </c>
      <c r="AF42" s="43">
        <f>'LIG. PROVISÓRIAS'!E29</f>
        <v/>
      </c>
      <c r="AG42" s="43">
        <f>'LIG. PROVISÓRIAS'!E30</f>
        <v/>
      </c>
      <c r="AH42" s="43">
        <f>'LIG. PROVISÓRIAS'!E31</f>
        <v/>
      </c>
      <c r="AI42" s="43">
        <f>'LIG. PROVISÓRIAS'!E32</f>
        <v/>
      </c>
      <c r="AJ42" s="43">
        <f>'LIG. PROVISÓRIAS'!E33</f>
        <v/>
      </c>
      <c r="AK42" s="43">
        <f>'LIG. PROVISÓRIAS'!E34</f>
        <v/>
      </c>
      <c r="AL42" s="43">
        <f>'LIG. PROVISÓRIAS'!E35</f>
        <v/>
      </c>
      <c r="AM42" s="43">
        <f>'LIG. PROVISÓRIAS'!E36</f>
        <v/>
      </c>
      <c r="AN42" s="43">
        <f>'LIG. PROVISÓRIAS'!E37</f>
        <v/>
      </c>
      <c r="AO42" s="43">
        <f>'LIG. PROVISÓRIAS'!E38</f>
        <v/>
      </c>
      <c r="AP42" s="43">
        <f>'LIG. PROVISÓRIAS'!E39</f>
        <v/>
      </c>
      <c r="AQ42" s="43">
        <f>'LIG. PROVISÓRIAS'!E40</f>
        <v/>
      </c>
      <c r="AR42" s="43">
        <f>'LIG. PROVISÓRIAS'!E41</f>
        <v/>
      </c>
      <c r="AS42" s="43">
        <f>'LIG. PROVISÓRIAS'!E42</f>
        <v/>
      </c>
      <c r="AT42" s="43">
        <f>'LIG. PROVISÓRIAS'!E43</f>
        <v/>
      </c>
      <c r="AU42" s="43">
        <f>'LIG. PROVISÓRIAS'!E44</f>
        <v/>
      </c>
      <c r="AV42" s="43">
        <f>'LIG. PROVISÓRIAS'!E45</f>
        <v/>
      </c>
      <c r="AW42" s="43">
        <f>'LIG. PROVISÓRIAS'!E46</f>
        <v/>
      </c>
      <c r="AX42" s="43">
        <f>'LIG. PROVISÓRIAS'!E47</f>
        <v/>
      </c>
      <c r="AY42" s="43">
        <f>'LIG. PROVISÓRIAS'!E48</f>
        <v/>
      </c>
      <c r="AZ42" s="43">
        <f>'LIG. PROVISÓRIAS'!E49</f>
        <v/>
      </c>
      <c r="BA42" s="43">
        <f>'LIG. PROVISÓRIAS'!E50</f>
        <v/>
      </c>
      <c r="BB42" s="43">
        <f>'LIG. PROVISÓRIAS'!E51</f>
        <v/>
      </c>
      <c r="BC42" s="43">
        <f>'LIG. PROVISÓRIAS'!E52</f>
        <v/>
      </c>
      <c r="BD42" s="43">
        <f>'LIG. PROVISÓRIAS'!E53</f>
        <v/>
      </c>
      <c r="BE42" s="43">
        <f>'LIG. PROVISÓRIAS'!E54</f>
        <v/>
      </c>
      <c r="BF42" s="43">
        <f>'LIG. PROVISÓRIAS'!E55</f>
        <v/>
      </c>
      <c r="BG42" s="43">
        <f>'LIG. PROVISÓRIAS'!E56</f>
        <v/>
      </c>
      <c r="BH42" s="43">
        <f>'LIG. PROVISÓRIAS'!E57</f>
        <v/>
      </c>
      <c r="BI42" s="43">
        <f>'LIG. PROVISÓRIAS'!E58</f>
        <v/>
      </c>
      <c r="BJ42" s="43">
        <f>'LIG. PROVISÓRIAS'!E59</f>
        <v/>
      </c>
      <c r="BK42" s="43">
        <f>'LIG. PROVISÓRIAS'!E60</f>
        <v/>
      </c>
      <c r="BL42" s="43">
        <f>'LIG. PROVISÓRIAS'!E61</f>
        <v/>
      </c>
      <c r="BM42" s="43">
        <f>'LIG. PROVISÓRIAS'!E62</f>
        <v/>
      </c>
      <c r="BN42" s="43">
        <f>'LIG. PROVISÓRIAS'!E63</f>
        <v/>
      </c>
      <c r="BO42" s="43">
        <f>'LIG. PROVISÓRIAS'!E64</f>
        <v/>
      </c>
      <c r="BP42" s="43">
        <f>'LIG. PROVISÓRIAS'!E65</f>
        <v/>
      </c>
      <c r="BQ42" s="43">
        <f>'LIG. PROVISÓRIAS'!E66</f>
        <v/>
      </c>
      <c r="BR42" s="43">
        <f>'LIG. PROVISÓRIAS'!E67</f>
        <v/>
      </c>
      <c r="BS42" s="43">
        <f>'LIG. PROVISÓRIAS'!E68</f>
        <v/>
      </c>
      <c r="BT42" s="43">
        <f>'LIG. PROVISÓRIAS'!E69</f>
        <v/>
      </c>
      <c r="BU42" s="43">
        <f>'LIG. PROVISÓRIAS'!E70</f>
        <v/>
      </c>
      <c r="BV42" s="43">
        <f>'LIG. PROVISÓRIAS'!E71</f>
        <v/>
      </c>
      <c r="BW42" s="43">
        <f>'LIG. PROVISÓRIAS'!E72</f>
        <v/>
      </c>
      <c r="BX42" s="43">
        <f>'LIG. PROVISÓRIAS'!E73</f>
        <v/>
      </c>
      <c r="BY42" s="43">
        <f>'LIG. PROVISÓRIAS'!E74</f>
        <v/>
      </c>
      <c r="BZ42" s="43">
        <f>'LIG. PROVISÓRIAS'!E75</f>
        <v/>
      </c>
      <c r="CA42" s="43">
        <f>'LIG. PROVISÓRIAS'!E76</f>
        <v/>
      </c>
    </row>
    <row r="43">
      <c r="A43" s="21" t="inlineStr">
        <is>
          <t>G041.002</t>
        </is>
      </c>
      <c r="B43" s="21" t="inlineStr">
        <is>
          <t>1030-1070-470</t>
        </is>
      </c>
      <c r="C43" s="21" t="inlineStr">
        <is>
          <t>TAXA DE ADMINISTRAÇÃO</t>
        </is>
      </c>
      <c r="D43" s="37">
        <f>'TAX. ADM'!$K$5</f>
        <v/>
      </c>
      <c r="E43" s="12">
        <f>SUM(H43:CA43)</f>
        <v/>
      </c>
      <c r="F43" s="12">
        <f>IF(D43="","",D43-E43)</f>
        <v/>
      </c>
      <c r="H43" s="43">
        <f>'TAX. ADM'!E5</f>
        <v/>
      </c>
      <c r="I43" s="43">
        <f>'TAX. ADM'!E6</f>
        <v/>
      </c>
      <c r="J43" s="43">
        <f>'TAX. ADM'!E7</f>
        <v/>
      </c>
      <c r="K43" s="43">
        <f>'TAX. ADM'!E8</f>
        <v/>
      </c>
      <c r="L43" s="43">
        <f>'TAX. ADM'!E9</f>
        <v/>
      </c>
      <c r="M43" s="43">
        <f>'TAX. ADM'!E10</f>
        <v/>
      </c>
      <c r="N43" s="43">
        <f>'TAX. ADM'!E11</f>
        <v/>
      </c>
      <c r="O43" s="43">
        <f>'TAX. ADM'!E12</f>
        <v/>
      </c>
      <c r="P43" s="43">
        <f>'TAX. ADM'!E13</f>
        <v/>
      </c>
      <c r="Q43" s="43">
        <f>'TAX. ADM'!E14</f>
        <v/>
      </c>
      <c r="R43" s="43">
        <f>'TAX. ADM'!E15</f>
        <v/>
      </c>
      <c r="S43" s="43">
        <f>'TAX. ADM'!E16</f>
        <v/>
      </c>
      <c r="T43" s="43">
        <f>'TAX. ADM'!E17</f>
        <v/>
      </c>
      <c r="U43" s="43">
        <f>'TAX. ADM'!E18</f>
        <v/>
      </c>
      <c r="V43" s="43">
        <f>'TAX. ADM'!E19</f>
        <v/>
      </c>
      <c r="W43" s="43">
        <f>'TAX. ADM'!E20</f>
        <v/>
      </c>
      <c r="X43" s="43">
        <f>'TAX. ADM'!E21</f>
        <v/>
      </c>
      <c r="Y43" s="43">
        <f>'TAX. ADM'!E22</f>
        <v/>
      </c>
      <c r="Z43" s="43">
        <f>'TAX. ADM'!E23</f>
        <v/>
      </c>
      <c r="AA43" s="43">
        <f>'TAX. ADM'!E24</f>
        <v/>
      </c>
      <c r="AB43" s="43">
        <f>'TAX. ADM'!E25</f>
        <v/>
      </c>
      <c r="AC43" s="43">
        <f>'TAX. ADM'!E26</f>
        <v/>
      </c>
      <c r="AD43" s="43">
        <f>'TAX. ADM'!E27</f>
        <v/>
      </c>
      <c r="AE43" s="43">
        <f>'TAX. ADM'!E28</f>
        <v/>
      </c>
      <c r="AF43" s="43">
        <f>'TAX. ADM'!E29</f>
        <v/>
      </c>
      <c r="AG43" s="43">
        <f>'TAX. ADM'!E30</f>
        <v/>
      </c>
      <c r="AH43" s="43">
        <f>'TAX. ADM'!E31</f>
        <v/>
      </c>
      <c r="AI43" s="43">
        <f>'TAX. ADM'!E32</f>
        <v/>
      </c>
      <c r="AJ43" s="43">
        <f>'TAX. ADM'!E33</f>
        <v/>
      </c>
      <c r="AK43" s="43">
        <f>'TAX. ADM'!E34</f>
        <v/>
      </c>
      <c r="AL43" s="43">
        <f>'TAX. ADM'!E35</f>
        <v/>
      </c>
      <c r="AM43" s="43">
        <f>'TAX. ADM'!E36</f>
        <v/>
      </c>
      <c r="AN43" s="43">
        <f>'TAX. ADM'!E37</f>
        <v/>
      </c>
      <c r="AO43" s="43">
        <f>'TAX. ADM'!E38</f>
        <v/>
      </c>
      <c r="AP43" s="43">
        <f>'TAX. ADM'!E39</f>
        <v/>
      </c>
      <c r="AQ43" s="43">
        <f>'TAX. ADM'!E40</f>
        <v/>
      </c>
      <c r="AR43" s="43">
        <f>'TAX. ADM'!E41</f>
        <v/>
      </c>
      <c r="AS43" s="43">
        <f>'TAX. ADM'!E42</f>
        <v/>
      </c>
      <c r="AT43" s="43">
        <f>'TAX. ADM'!E43</f>
        <v/>
      </c>
      <c r="AU43" s="43">
        <f>'TAX. ADM'!E44</f>
        <v/>
      </c>
      <c r="AV43" s="43">
        <f>'TAX. ADM'!E45</f>
        <v/>
      </c>
      <c r="AW43" s="43">
        <f>'TAX. ADM'!E46</f>
        <v/>
      </c>
      <c r="AX43" s="43">
        <f>'TAX. ADM'!E47</f>
        <v/>
      </c>
      <c r="AY43" s="43">
        <f>'TAX. ADM'!E48</f>
        <v/>
      </c>
      <c r="AZ43" s="43">
        <f>'TAX. ADM'!E49</f>
        <v/>
      </c>
      <c r="BA43" s="43">
        <f>'TAX. ADM'!E50</f>
        <v/>
      </c>
      <c r="BB43" s="43">
        <f>'TAX. ADM'!E51</f>
        <v/>
      </c>
      <c r="BC43" s="43">
        <f>'TAX. ADM'!E52</f>
        <v/>
      </c>
      <c r="BD43" s="43">
        <f>'TAX. ADM'!E53</f>
        <v/>
      </c>
      <c r="BE43" s="43">
        <f>'TAX. ADM'!E54</f>
        <v/>
      </c>
      <c r="BF43" s="43">
        <f>'TAX. ADM'!E55</f>
        <v/>
      </c>
      <c r="BG43" s="43">
        <f>'TAX. ADM'!E56</f>
        <v/>
      </c>
      <c r="BH43" s="43">
        <f>'TAX. ADM'!E57</f>
        <v/>
      </c>
      <c r="BI43" s="43">
        <f>'TAX. ADM'!E58</f>
        <v/>
      </c>
      <c r="BJ43" s="43">
        <f>'TAX. ADM'!E59</f>
        <v/>
      </c>
      <c r="BK43" s="43">
        <f>'TAX. ADM'!E60</f>
        <v/>
      </c>
      <c r="BL43" s="43">
        <f>'TAX. ADM'!E61</f>
        <v/>
      </c>
      <c r="BM43" s="43">
        <f>'TAX. ADM'!E62</f>
        <v/>
      </c>
      <c r="BN43" s="43">
        <f>'TAX. ADM'!E63</f>
        <v/>
      </c>
      <c r="BO43" s="43">
        <f>'TAX. ADM'!E64</f>
        <v/>
      </c>
      <c r="BP43" s="43">
        <f>'TAX. ADM'!E65</f>
        <v/>
      </c>
      <c r="BQ43" s="43">
        <f>'TAX. ADM'!E66</f>
        <v/>
      </c>
      <c r="BR43" s="43">
        <f>'TAX. ADM'!E67</f>
        <v/>
      </c>
      <c r="BS43" s="43">
        <f>'TAX. ADM'!E68</f>
        <v/>
      </c>
      <c r="BT43" s="43">
        <f>'TAX. ADM'!E69</f>
        <v/>
      </c>
      <c r="BU43" s="43">
        <f>'TAX. ADM'!E70</f>
        <v/>
      </c>
      <c r="BV43" s="43">
        <f>'TAX. ADM'!E71</f>
        <v/>
      </c>
      <c r="BW43" s="43">
        <f>'TAX. ADM'!E72</f>
        <v/>
      </c>
      <c r="BX43" s="43">
        <f>'TAX. ADM'!E73</f>
        <v/>
      </c>
      <c r="BY43" s="43">
        <f>'TAX. ADM'!E74</f>
        <v/>
      </c>
      <c r="BZ43" s="43">
        <f>'TAX. ADM'!E75</f>
        <v/>
      </c>
      <c r="CA43" s="43">
        <f>'TAX. ADM'!E76</f>
        <v/>
      </c>
    </row>
    <row r="44">
      <c r="A44" s="21" t="inlineStr">
        <is>
          <t>G041.002</t>
        </is>
      </c>
      <c r="B44" s="21" t="inlineStr">
        <is>
          <t>1030-1070-180</t>
        </is>
      </c>
      <c r="C44" s="21" t="inlineStr">
        <is>
          <t>TERRAPLENAGEM</t>
        </is>
      </c>
      <c r="D44" s="37">
        <f>'TERRAPLENAGEM'!$K$5</f>
        <v/>
      </c>
      <c r="E44" s="12">
        <f>SUM(H44:CA44)</f>
        <v/>
      </c>
      <c r="F44" s="12">
        <f>IF(D44="","",D44-E44)</f>
        <v/>
      </c>
      <c r="H44" s="43">
        <f>'TERRAPLENAGEM'!E5</f>
        <v/>
      </c>
      <c r="I44" s="43">
        <f>'TERRAPLENAGEM'!E6</f>
        <v/>
      </c>
      <c r="J44" s="43">
        <f>'TERRAPLENAGEM'!E7</f>
        <v/>
      </c>
      <c r="K44" s="43">
        <f>'TERRAPLENAGEM'!E8</f>
        <v/>
      </c>
      <c r="L44" s="43">
        <f>'TERRAPLENAGEM'!E9</f>
        <v/>
      </c>
      <c r="M44" s="43">
        <f>'TERRAPLENAGEM'!E10</f>
        <v/>
      </c>
      <c r="N44" s="43">
        <f>'TERRAPLENAGEM'!E11</f>
        <v/>
      </c>
      <c r="O44" s="43">
        <f>'TERRAPLENAGEM'!E12</f>
        <v/>
      </c>
      <c r="P44" s="43">
        <f>'TERRAPLENAGEM'!E13</f>
        <v/>
      </c>
      <c r="Q44" s="43">
        <f>'TERRAPLENAGEM'!E14</f>
        <v/>
      </c>
      <c r="R44" s="43">
        <f>'TERRAPLENAGEM'!E15</f>
        <v/>
      </c>
      <c r="S44" s="43">
        <f>'TERRAPLENAGEM'!E16</f>
        <v/>
      </c>
      <c r="T44" s="43">
        <f>'TERRAPLENAGEM'!E17</f>
        <v/>
      </c>
      <c r="U44" s="43">
        <f>'TERRAPLENAGEM'!E18</f>
        <v/>
      </c>
      <c r="V44" s="43">
        <f>'TERRAPLENAGEM'!E19</f>
        <v/>
      </c>
      <c r="W44" s="43">
        <f>'TERRAPLENAGEM'!E20</f>
        <v/>
      </c>
      <c r="X44" s="43">
        <f>'TERRAPLENAGEM'!E21</f>
        <v/>
      </c>
      <c r="Y44" s="43">
        <f>'TERRAPLENAGEM'!E22</f>
        <v/>
      </c>
      <c r="Z44" s="43">
        <f>'TERRAPLENAGEM'!E23</f>
        <v/>
      </c>
      <c r="AA44" s="43">
        <f>'TERRAPLENAGEM'!E24</f>
        <v/>
      </c>
      <c r="AB44" s="43">
        <f>'TERRAPLENAGEM'!E25</f>
        <v/>
      </c>
      <c r="AC44" s="43">
        <f>'TERRAPLENAGEM'!E26</f>
        <v/>
      </c>
      <c r="AD44" s="43">
        <f>'TERRAPLENAGEM'!E27</f>
        <v/>
      </c>
      <c r="AE44" s="43">
        <f>'TERRAPLENAGEM'!E28</f>
        <v/>
      </c>
      <c r="AF44" s="43">
        <f>'TERRAPLENAGEM'!E29</f>
        <v/>
      </c>
      <c r="AG44" s="43">
        <f>'TERRAPLENAGEM'!E30</f>
        <v/>
      </c>
      <c r="AH44" s="43">
        <f>'TERRAPLENAGEM'!E31</f>
        <v/>
      </c>
      <c r="AI44" s="43">
        <f>'TERRAPLENAGEM'!E32</f>
        <v/>
      </c>
      <c r="AJ44" s="43">
        <f>'TERRAPLENAGEM'!E33</f>
        <v/>
      </c>
      <c r="AK44" s="43">
        <f>'TERRAPLENAGEM'!E34</f>
        <v/>
      </c>
      <c r="AL44" s="43">
        <f>'TERRAPLENAGEM'!E35</f>
        <v/>
      </c>
      <c r="AM44" s="43">
        <f>'TERRAPLENAGEM'!E36</f>
        <v/>
      </c>
      <c r="AN44" s="43">
        <f>'TERRAPLENAGEM'!E37</f>
        <v/>
      </c>
      <c r="AO44" s="43">
        <f>'TERRAPLENAGEM'!E38</f>
        <v/>
      </c>
      <c r="AP44" s="43">
        <f>'TERRAPLENAGEM'!E39</f>
        <v/>
      </c>
      <c r="AQ44" s="43">
        <f>'TERRAPLENAGEM'!E40</f>
        <v/>
      </c>
      <c r="AR44" s="43">
        <f>'TERRAPLENAGEM'!E41</f>
        <v/>
      </c>
      <c r="AS44" s="43">
        <f>'TERRAPLENAGEM'!E42</f>
        <v/>
      </c>
      <c r="AT44" s="43">
        <f>'TERRAPLENAGEM'!E43</f>
        <v/>
      </c>
      <c r="AU44" s="43">
        <f>'TERRAPLENAGEM'!E44</f>
        <v/>
      </c>
      <c r="AV44" s="43">
        <f>'TERRAPLENAGEM'!E45</f>
        <v/>
      </c>
      <c r="AW44" s="43">
        <f>'TERRAPLENAGEM'!E46</f>
        <v/>
      </c>
      <c r="AX44" s="43">
        <f>'TERRAPLENAGEM'!E47</f>
        <v/>
      </c>
      <c r="AY44" s="43">
        <f>'TERRAPLENAGEM'!E48</f>
        <v/>
      </c>
      <c r="AZ44" s="43">
        <f>'TERRAPLENAGEM'!E49</f>
        <v/>
      </c>
      <c r="BA44" s="43">
        <f>'TERRAPLENAGEM'!E50</f>
        <v/>
      </c>
      <c r="BB44" s="43">
        <f>'TERRAPLENAGEM'!E51</f>
        <v/>
      </c>
      <c r="BC44" s="43">
        <f>'TERRAPLENAGEM'!E52</f>
        <v/>
      </c>
      <c r="BD44" s="43">
        <f>'TERRAPLENAGEM'!E53</f>
        <v/>
      </c>
      <c r="BE44" s="43">
        <f>'TERRAPLENAGEM'!E54</f>
        <v/>
      </c>
      <c r="BF44" s="43">
        <f>'TERRAPLENAGEM'!E55</f>
        <v/>
      </c>
      <c r="BG44" s="43">
        <f>'TERRAPLENAGEM'!E56</f>
        <v/>
      </c>
      <c r="BH44" s="43">
        <f>'TERRAPLENAGEM'!E57</f>
        <v/>
      </c>
      <c r="BI44" s="43">
        <f>'TERRAPLENAGEM'!E58</f>
        <v/>
      </c>
      <c r="BJ44" s="43">
        <f>'TERRAPLENAGEM'!E59</f>
        <v/>
      </c>
      <c r="BK44" s="43">
        <f>'TERRAPLENAGEM'!E60</f>
        <v/>
      </c>
      <c r="BL44" s="43">
        <f>'TERRAPLENAGEM'!E61</f>
        <v/>
      </c>
      <c r="BM44" s="43">
        <f>'TERRAPLENAGEM'!E62</f>
        <v/>
      </c>
      <c r="BN44" s="43">
        <f>'TERRAPLENAGEM'!E63</f>
        <v/>
      </c>
      <c r="BO44" s="43">
        <f>'TERRAPLENAGEM'!E64</f>
        <v/>
      </c>
      <c r="BP44" s="43">
        <f>'TERRAPLENAGEM'!E65</f>
        <v/>
      </c>
      <c r="BQ44" s="43">
        <f>'TERRAPLENAGEM'!E66</f>
        <v/>
      </c>
      <c r="BR44" s="43">
        <f>'TERRAPLENAGEM'!E67</f>
        <v/>
      </c>
      <c r="BS44" s="43">
        <f>'TERRAPLENAGEM'!E68</f>
        <v/>
      </c>
      <c r="BT44" s="43">
        <f>'TERRAPLENAGEM'!E69</f>
        <v/>
      </c>
      <c r="BU44" s="43">
        <f>'TERRAPLENAGEM'!E70</f>
        <v/>
      </c>
      <c r="BV44" s="43">
        <f>'TERRAPLENAGEM'!E71</f>
        <v/>
      </c>
      <c r="BW44" s="43">
        <f>'TERRAPLENAGEM'!E72</f>
        <v/>
      </c>
      <c r="BX44" s="43">
        <f>'TERRAPLENAGEM'!E73</f>
        <v/>
      </c>
      <c r="BY44" s="43">
        <f>'TERRAPLENAGEM'!E74</f>
        <v/>
      </c>
      <c r="BZ44" s="43">
        <f>'TERRAPLENAGEM'!E75</f>
        <v/>
      </c>
      <c r="CA44" s="43">
        <f>'TERRAPLENAGEM'!E76</f>
        <v/>
      </c>
    </row>
    <row r="45">
      <c r="A45" s="21" t="inlineStr">
        <is>
          <t>G041.002</t>
        </is>
      </c>
      <c r="B45" s="21" t="inlineStr">
        <is>
          <t>1030-1070-600</t>
        </is>
      </c>
      <c r="C45" s="21" t="inlineStr">
        <is>
          <t>TOPOGRAFIA</t>
        </is>
      </c>
      <c r="E45" s="12">
        <f>SUM(H45:CA45)</f>
        <v/>
      </c>
      <c r="F45" s="12">
        <f>IF(D45="","",D45-E45)</f>
        <v/>
      </c>
    </row>
    <row r="46">
      <c r="A46" s="21" t="inlineStr">
        <is>
          <t>G041.002</t>
        </is>
      </c>
      <c r="B46" s="21" t="inlineStr">
        <is>
          <t>1030-1070-460</t>
        </is>
      </c>
      <c r="C46" s="21" t="inlineStr">
        <is>
          <t>TRANSPORTES</t>
        </is>
      </c>
      <c r="D46" s="37">
        <f>'TRANSPORTES'!$K$5</f>
        <v/>
      </c>
      <c r="E46" s="12">
        <f>SUM(H46:CA46)</f>
        <v/>
      </c>
      <c r="F46" s="12">
        <f>IF(D46="","",D46-E46)</f>
        <v/>
      </c>
      <c r="H46" s="43">
        <f>'TRANSPORTES'!E5</f>
        <v/>
      </c>
      <c r="I46" s="43">
        <f>'TRANSPORTES'!E6</f>
        <v/>
      </c>
      <c r="J46" s="43">
        <f>'TRANSPORTES'!E7</f>
        <v/>
      </c>
      <c r="K46" s="43">
        <f>'TRANSPORTES'!E8</f>
        <v/>
      </c>
      <c r="L46" s="43">
        <f>'TRANSPORTES'!E9</f>
        <v/>
      </c>
      <c r="M46" s="43">
        <f>'TRANSPORTES'!E10</f>
        <v/>
      </c>
      <c r="N46" s="43">
        <f>'TRANSPORTES'!E11</f>
        <v/>
      </c>
      <c r="O46" s="43">
        <f>'TRANSPORTES'!E12</f>
        <v/>
      </c>
      <c r="P46" s="43">
        <f>'TRANSPORTES'!E13</f>
        <v/>
      </c>
      <c r="Q46" s="43">
        <f>'TRANSPORTES'!E14</f>
        <v/>
      </c>
      <c r="R46" s="43">
        <f>'TRANSPORTES'!E15</f>
        <v/>
      </c>
      <c r="S46" s="43">
        <f>'TRANSPORTES'!E16</f>
        <v/>
      </c>
      <c r="T46" s="43">
        <f>'TRANSPORTES'!E17</f>
        <v/>
      </c>
      <c r="U46" s="43">
        <f>'TRANSPORTES'!E18</f>
        <v/>
      </c>
      <c r="V46" s="43">
        <f>'TRANSPORTES'!E19</f>
        <v/>
      </c>
      <c r="W46" s="43">
        <f>'TRANSPORTES'!E20</f>
        <v/>
      </c>
      <c r="X46" s="43">
        <f>'TRANSPORTES'!E21</f>
        <v/>
      </c>
      <c r="Y46" s="43">
        <f>'TRANSPORTES'!E22</f>
        <v/>
      </c>
      <c r="Z46" s="43">
        <f>'TRANSPORTES'!E23</f>
        <v/>
      </c>
      <c r="AA46" s="43">
        <f>'TRANSPORTES'!E24</f>
        <v/>
      </c>
      <c r="AB46" s="43">
        <f>'TRANSPORTES'!E25</f>
        <v/>
      </c>
      <c r="AC46" s="43">
        <f>'TRANSPORTES'!E26</f>
        <v/>
      </c>
      <c r="AD46" s="43">
        <f>'TRANSPORTES'!E27</f>
        <v/>
      </c>
      <c r="AE46" s="43">
        <f>'TRANSPORTES'!E28</f>
        <v/>
      </c>
      <c r="AF46" s="43">
        <f>'TRANSPORTES'!E29</f>
        <v/>
      </c>
      <c r="AG46" s="43">
        <f>'TRANSPORTES'!E30</f>
        <v/>
      </c>
      <c r="AH46" s="43">
        <f>'TRANSPORTES'!E31</f>
        <v/>
      </c>
      <c r="AI46" s="43">
        <f>'TRANSPORTES'!E32</f>
        <v/>
      </c>
      <c r="AJ46" s="43">
        <f>'TRANSPORTES'!E33</f>
        <v/>
      </c>
      <c r="AK46" s="43">
        <f>'TRANSPORTES'!E34</f>
        <v/>
      </c>
      <c r="AL46" s="43">
        <f>'TRANSPORTES'!E35</f>
        <v/>
      </c>
      <c r="AM46" s="43">
        <f>'TRANSPORTES'!E36</f>
        <v/>
      </c>
      <c r="AN46" s="43">
        <f>'TRANSPORTES'!E37</f>
        <v/>
      </c>
      <c r="AO46" s="43">
        <f>'TRANSPORTES'!E38</f>
        <v/>
      </c>
      <c r="AP46" s="43">
        <f>'TRANSPORTES'!E39</f>
        <v/>
      </c>
      <c r="AQ46" s="43">
        <f>'TRANSPORTES'!E40</f>
        <v/>
      </c>
      <c r="AR46" s="43">
        <f>'TRANSPORTES'!E41</f>
        <v/>
      </c>
      <c r="AS46" s="43">
        <f>'TRANSPORTES'!E42</f>
        <v/>
      </c>
      <c r="AT46" s="43">
        <f>'TRANSPORTES'!E43</f>
        <v/>
      </c>
      <c r="AU46" s="43">
        <f>'TRANSPORTES'!E44</f>
        <v/>
      </c>
      <c r="AV46" s="43">
        <f>'TRANSPORTES'!E45</f>
        <v/>
      </c>
      <c r="AW46" s="43">
        <f>'TRANSPORTES'!E46</f>
        <v/>
      </c>
      <c r="AX46" s="43">
        <f>'TRANSPORTES'!E47</f>
        <v/>
      </c>
      <c r="AY46" s="43">
        <f>'TRANSPORTES'!E48</f>
        <v/>
      </c>
      <c r="AZ46" s="43">
        <f>'TRANSPORTES'!E49</f>
        <v/>
      </c>
      <c r="BA46" s="43">
        <f>'TRANSPORTES'!E50</f>
        <v/>
      </c>
      <c r="BB46" s="43">
        <f>'TRANSPORTES'!E51</f>
        <v/>
      </c>
      <c r="BC46" s="43">
        <f>'TRANSPORTES'!E52</f>
        <v/>
      </c>
      <c r="BD46" s="43">
        <f>'TRANSPORTES'!E53</f>
        <v/>
      </c>
      <c r="BE46" s="43">
        <f>'TRANSPORTES'!E54</f>
        <v/>
      </c>
      <c r="BF46" s="43">
        <f>'TRANSPORTES'!E55</f>
        <v/>
      </c>
      <c r="BG46" s="43">
        <f>'TRANSPORTES'!E56</f>
        <v/>
      </c>
      <c r="BH46" s="43">
        <f>'TRANSPORTES'!E57</f>
        <v/>
      </c>
      <c r="BI46" s="43">
        <f>'TRANSPORTES'!E58</f>
        <v/>
      </c>
      <c r="BJ46" s="43">
        <f>'TRANSPORTES'!E59</f>
        <v/>
      </c>
      <c r="BK46" s="43">
        <f>'TRANSPORTES'!E60</f>
        <v/>
      </c>
      <c r="BL46" s="43">
        <f>'TRANSPORTES'!E61</f>
        <v/>
      </c>
      <c r="BM46" s="43">
        <f>'TRANSPORTES'!E62</f>
        <v/>
      </c>
      <c r="BN46" s="43">
        <f>'TRANSPORTES'!E63</f>
        <v/>
      </c>
      <c r="BO46" s="43">
        <f>'TRANSPORTES'!E64</f>
        <v/>
      </c>
      <c r="BP46" s="43">
        <f>'TRANSPORTES'!E65</f>
        <v/>
      </c>
      <c r="BQ46" s="43">
        <f>'TRANSPORTES'!E66</f>
        <v/>
      </c>
      <c r="BR46" s="43">
        <f>'TRANSPORTES'!E67</f>
        <v/>
      </c>
      <c r="BS46" s="43">
        <f>'TRANSPORTES'!E68</f>
        <v/>
      </c>
      <c r="BT46" s="43">
        <f>'TRANSPORTES'!E69</f>
        <v/>
      </c>
      <c r="BU46" s="43">
        <f>'TRANSPORTES'!E70</f>
        <v/>
      </c>
      <c r="BV46" s="43">
        <f>'TRANSPORTES'!E71</f>
        <v/>
      </c>
      <c r="BW46" s="43">
        <f>'TRANSPORTES'!E72</f>
        <v/>
      </c>
      <c r="BX46" s="43">
        <f>'TRANSPORTES'!E73</f>
        <v/>
      </c>
      <c r="BY46" s="43">
        <f>'TRANSPORTES'!E74</f>
        <v/>
      </c>
      <c r="BZ46" s="43">
        <f>'TRANSPORTES'!E75</f>
        <v/>
      </c>
      <c r="CA46" s="43">
        <f>'TRANSPORTES'!E76</f>
        <v/>
      </c>
    </row>
    <row r="47">
      <c r="A47" s="21" t="inlineStr">
        <is>
          <t>G041.002</t>
        </is>
      </c>
      <c r="B47" s="21" t="inlineStr">
        <is>
          <t>1030-1070-480</t>
        </is>
      </c>
      <c r="C47" s="21" t="inlineStr">
        <is>
          <t>ESTRUTURA EM COBERTURA METÁLICA</t>
        </is>
      </c>
      <c r="E47" s="12">
        <f>SUM(H47:CA47)</f>
        <v/>
      </c>
      <c r="F47" s="12">
        <f>IF(D47="","",D47-E47)</f>
        <v/>
      </c>
    </row>
    <row r="48">
      <c r="A48" s="21" t="inlineStr">
        <is>
          <t>G041.002</t>
        </is>
      </c>
      <c r="B48" s="21" t="inlineStr">
        <is>
          <t>1030-1070-500</t>
        </is>
      </c>
      <c r="C48" s="21" t="inlineStr">
        <is>
          <t>REFORÇO ESTRUTURAL</t>
        </is>
      </c>
      <c r="E48" s="12">
        <f>SUM(H48:CA48)</f>
        <v/>
      </c>
      <c r="F48" s="12">
        <f>IF(D48="","",D48-E48)</f>
        <v/>
      </c>
    </row>
    <row r="49">
      <c r="A49" s="21" t="inlineStr">
        <is>
          <t>G041.002</t>
        </is>
      </c>
      <c r="B49" s="21" t="inlineStr">
        <is>
          <t>1030-1070-530</t>
        </is>
      </c>
      <c r="C49" s="21" t="inlineStr">
        <is>
          <t>MÃO DE OBRA PRÓPRIA</t>
        </is>
      </c>
      <c r="D49" s="37">
        <f>'MDO'!$K$5</f>
        <v/>
      </c>
      <c r="E49" s="12">
        <f>SUM(H49:CA49)</f>
        <v/>
      </c>
      <c r="F49" s="12">
        <f>IF(D49="","",D49-E49)</f>
        <v/>
      </c>
      <c r="H49" s="43">
        <f>'MDO'!E5</f>
        <v/>
      </c>
      <c r="I49" s="43">
        <f>'MDO'!E6</f>
        <v/>
      </c>
      <c r="J49" s="43">
        <f>'MDO'!E7</f>
        <v/>
      </c>
      <c r="K49" s="43">
        <f>'MDO'!E8</f>
        <v/>
      </c>
      <c r="L49" s="43">
        <f>'MDO'!E9</f>
        <v/>
      </c>
      <c r="M49" s="43">
        <f>'MDO'!E10</f>
        <v/>
      </c>
      <c r="N49" s="43">
        <f>'MDO'!E11</f>
        <v/>
      </c>
      <c r="O49" s="43">
        <f>'MDO'!E12</f>
        <v/>
      </c>
      <c r="P49" s="43">
        <f>'MDO'!E13</f>
        <v/>
      </c>
      <c r="Q49" s="43">
        <f>'MDO'!E14</f>
        <v/>
      </c>
      <c r="R49" s="43">
        <f>'MDO'!E15</f>
        <v/>
      </c>
      <c r="S49" s="43">
        <f>'MDO'!E16</f>
        <v/>
      </c>
      <c r="T49" s="43">
        <f>'MDO'!E17</f>
        <v/>
      </c>
      <c r="U49" s="43">
        <f>'MDO'!E18</f>
        <v/>
      </c>
      <c r="V49" s="43">
        <f>'MDO'!E19</f>
        <v/>
      </c>
      <c r="W49" s="43">
        <f>'MDO'!E20</f>
        <v/>
      </c>
      <c r="X49" s="43">
        <f>'MDO'!E21</f>
        <v/>
      </c>
      <c r="Y49" s="43">
        <f>'MDO'!E22</f>
        <v/>
      </c>
      <c r="Z49" s="43">
        <f>'MDO'!E23</f>
        <v/>
      </c>
      <c r="AA49" s="43">
        <f>'MDO'!E24</f>
        <v/>
      </c>
      <c r="AB49" s="43">
        <f>'MDO'!E25</f>
        <v/>
      </c>
      <c r="AC49" s="43">
        <f>'MDO'!E26</f>
        <v/>
      </c>
      <c r="AD49" s="43">
        <f>'MDO'!E27</f>
        <v/>
      </c>
      <c r="AE49" s="43">
        <f>'MDO'!E28</f>
        <v/>
      </c>
      <c r="AF49" s="43">
        <f>'MDO'!E29</f>
        <v/>
      </c>
      <c r="AG49" s="43">
        <f>'MDO'!E30</f>
        <v/>
      </c>
      <c r="AH49" s="43">
        <f>'MDO'!E31</f>
        <v/>
      </c>
      <c r="AI49" s="43">
        <f>'MDO'!E32</f>
        <v/>
      </c>
      <c r="AJ49" s="43">
        <f>'MDO'!E33</f>
        <v/>
      </c>
      <c r="AK49" s="43">
        <f>'MDO'!E34</f>
        <v/>
      </c>
      <c r="AL49" s="43">
        <f>'MDO'!E35</f>
        <v/>
      </c>
      <c r="AM49" s="43">
        <f>'MDO'!E36</f>
        <v/>
      </c>
      <c r="AN49" s="43">
        <f>'MDO'!E37</f>
        <v/>
      </c>
      <c r="AO49" s="43">
        <f>'MDO'!E38</f>
        <v/>
      </c>
      <c r="AP49" s="43">
        <f>'MDO'!E39</f>
        <v/>
      </c>
      <c r="AQ49" s="43">
        <f>'MDO'!E40</f>
        <v/>
      </c>
      <c r="AR49" s="43">
        <f>'MDO'!E41</f>
        <v/>
      </c>
      <c r="AS49" s="43">
        <f>'MDO'!E42</f>
        <v/>
      </c>
      <c r="AT49" s="43">
        <f>'MDO'!E43</f>
        <v/>
      </c>
      <c r="AU49" s="43">
        <f>'MDO'!E44</f>
        <v/>
      </c>
      <c r="AV49" s="43">
        <f>'MDO'!E45</f>
        <v/>
      </c>
      <c r="AW49" s="43">
        <f>'MDO'!E46</f>
        <v/>
      </c>
      <c r="AX49" s="43">
        <f>'MDO'!E47</f>
        <v/>
      </c>
      <c r="AY49" s="43">
        <f>'MDO'!E48</f>
        <v/>
      </c>
      <c r="AZ49" s="43">
        <f>'MDO'!E49</f>
        <v/>
      </c>
      <c r="BA49" s="43">
        <f>'MDO'!E50</f>
        <v/>
      </c>
      <c r="BB49" s="43">
        <f>'MDO'!E51</f>
        <v/>
      </c>
      <c r="BC49" s="43">
        <f>'MDO'!E52</f>
        <v/>
      </c>
      <c r="BD49" s="43">
        <f>'MDO'!E53</f>
        <v/>
      </c>
      <c r="BE49" s="43">
        <f>'MDO'!E54</f>
        <v/>
      </c>
      <c r="BF49" s="43">
        <f>'MDO'!E55</f>
        <v/>
      </c>
      <c r="BG49" s="43">
        <f>'MDO'!E56</f>
        <v/>
      </c>
      <c r="BH49" s="43">
        <f>'MDO'!E57</f>
        <v/>
      </c>
      <c r="BI49" s="43">
        <f>'MDO'!E58</f>
        <v/>
      </c>
      <c r="BJ49" s="43">
        <f>'MDO'!E59</f>
        <v/>
      </c>
      <c r="BK49" s="43">
        <f>'MDO'!E60</f>
        <v/>
      </c>
      <c r="BL49" s="43">
        <f>'MDO'!E61</f>
        <v/>
      </c>
      <c r="BM49" s="43">
        <f>'MDO'!E62</f>
        <v/>
      </c>
      <c r="BN49" s="43">
        <f>'MDO'!E63</f>
        <v/>
      </c>
      <c r="BO49" s="43">
        <f>'MDO'!E64</f>
        <v/>
      </c>
      <c r="BP49" s="43">
        <f>'MDO'!E65</f>
        <v/>
      </c>
      <c r="BQ49" s="43">
        <f>'MDO'!E66</f>
        <v/>
      </c>
      <c r="BR49" s="43">
        <f>'MDO'!E67</f>
        <v/>
      </c>
      <c r="BS49" s="43">
        <f>'MDO'!E68</f>
        <v/>
      </c>
      <c r="BT49" s="43">
        <f>'MDO'!E69</f>
        <v/>
      </c>
      <c r="BU49" s="43">
        <f>'MDO'!E70</f>
        <v/>
      </c>
      <c r="BV49" s="43">
        <f>'MDO'!E71</f>
        <v/>
      </c>
      <c r="BW49" s="43">
        <f>'MDO'!E72</f>
        <v/>
      </c>
      <c r="BX49" s="43">
        <f>'MDO'!E73</f>
        <v/>
      </c>
      <c r="BY49" s="43">
        <f>'MDO'!E74</f>
        <v/>
      </c>
      <c r="BZ49" s="43">
        <f>'MDO'!E75</f>
        <v/>
      </c>
      <c r="CA49" s="43">
        <f>'MDO'!E76</f>
        <v/>
      </c>
    </row>
    <row r="50">
      <c r="A50" s="21" t="inlineStr">
        <is>
          <t>G041.002</t>
        </is>
      </c>
      <c r="B50" s="21" t="inlineStr">
        <is>
          <t>1030-1070-120</t>
        </is>
      </c>
      <c r="C50" s="21" t="inlineStr">
        <is>
          <t>TAXAS DIVERSAS</t>
        </is>
      </c>
      <c r="D50" s="37">
        <f>'TAX. DIVERSAS'!$K$5</f>
        <v/>
      </c>
      <c r="E50" s="12">
        <f>SUM(H50:CA50)</f>
        <v/>
      </c>
      <c r="F50" s="12">
        <f>IF(D50="","",D50-E50)</f>
        <v/>
      </c>
      <c r="H50" s="43">
        <f>'TAX. DIVERSAS'!E5</f>
        <v/>
      </c>
      <c r="I50" s="43">
        <f>'TAX. DIVERSAS'!E6</f>
        <v/>
      </c>
      <c r="J50" s="43">
        <f>'TAX. DIVERSAS'!E7</f>
        <v/>
      </c>
      <c r="K50" s="43">
        <f>'TAX. DIVERSAS'!E8</f>
        <v/>
      </c>
      <c r="L50" s="43">
        <f>'TAX. DIVERSAS'!E9</f>
        <v/>
      </c>
      <c r="M50" s="43">
        <f>'TAX. DIVERSAS'!E10</f>
        <v/>
      </c>
      <c r="N50" s="43">
        <f>'TAX. DIVERSAS'!E11</f>
        <v/>
      </c>
      <c r="O50" s="43">
        <f>'TAX. DIVERSAS'!E12</f>
        <v/>
      </c>
      <c r="P50" s="43">
        <f>'TAX. DIVERSAS'!E13</f>
        <v/>
      </c>
      <c r="Q50" s="43">
        <f>'TAX. DIVERSAS'!E14</f>
        <v/>
      </c>
      <c r="R50" s="43">
        <f>'TAX. DIVERSAS'!E15</f>
        <v/>
      </c>
      <c r="S50" s="43">
        <f>'TAX. DIVERSAS'!E16</f>
        <v/>
      </c>
      <c r="T50" s="43">
        <f>'TAX. DIVERSAS'!E17</f>
        <v/>
      </c>
      <c r="U50" s="43">
        <f>'TAX. DIVERSAS'!E18</f>
        <v/>
      </c>
      <c r="V50" s="43">
        <f>'TAX. DIVERSAS'!E19</f>
        <v/>
      </c>
      <c r="W50" s="43">
        <f>'TAX. DIVERSAS'!E20</f>
        <v/>
      </c>
      <c r="X50" s="43">
        <f>'TAX. DIVERSAS'!E21</f>
        <v/>
      </c>
      <c r="Y50" s="43">
        <f>'TAX. DIVERSAS'!E22</f>
        <v/>
      </c>
      <c r="Z50" s="43">
        <f>'TAX. DIVERSAS'!E23</f>
        <v/>
      </c>
      <c r="AA50" s="43">
        <f>'TAX. DIVERSAS'!E24</f>
        <v/>
      </c>
      <c r="AB50" s="43">
        <f>'TAX. DIVERSAS'!E25</f>
        <v/>
      </c>
      <c r="AC50" s="43">
        <f>'TAX. DIVERSAS'!E26</f>
        <v/>
      </c>
      <c r="AD50" s="43">
        <f>'TAX. DIVERSAS'!E27</f>
        <v/>
      </c>
      <c r="AE50" s="43">
        <f>'TAX. DIVERSAS'!E28</f>
        <v/>
      </c>
      <c r="AF50" s="43">
        <f>'TAX. DIVERSAS'!E29</f>
        <v/>
      </c>
      <c r="AG50" s="43">
        <f>'TAX. DIVERSAS'!E30</f>
        <v/>
      </c>
      <c r="AH50" s="43">
        <f>'TAX. DIVERSAS'!E31</f>
        <v/>
      </c>
      <c r="AI50" s="43">
        <f>'TAX. DIVERSAS'!E32</f>
        <v/>
      </c>
      <c r="AJ50" s="43">
        <f>'TAX. DIVERSAS'!E33</f>
        <v/>
      </c>
      <c r="AK50" s="43">
        <f>'TAX. DIVERSAS'!E34</f>
        <v/>
      </c>
      <c r="AL50" s="43">
        <f>'TAX. DIVERSAS'!E35</f>
        <v/>
      </c>
      <c r="AM50" s="43">
        <f>'TAX. DIVERSAS'!E36</f>
        <v/>
      </c>
      <c r="AN50" s="43">
        <f>'TAX. DIVERSAS'!E37</f>
        <v/>
      </c>
      <c r="AO50" s="43">
        <f>'TAX. DIVERSAS'!E38</f>
        <v/>
      </c>
      <c r="AP50" s="43">
        <f>'TAX. DIVERSAS'!E39</f>
        <v/>
      </c>
      <c r="AQ50" s="43">
        <f>'TAX. DIVERSAS'!E40</f>
        <v/>
      </c>
      <c r="AR50" s="43">
        <f>'TAX. DIVERSAS'!E41</f>
        <v/>
      </c>
      <c r="AS50" s="43">
        <f>'TAX. DIVERSAS'!E42</f>
        <v/>
      </c>
      <c r="AT50" s="43">
        <f>'TAX. DIVERSAS'!E43</f>
        <v/>
      </c>
      <c r="AU50" s="43">
        <f>'TAX. DIVERSAS'!E44</f>
        <v/>
      </c>
      <c r="AV50" s="43">
        <f>'TAX. DIVERSAS'!E45</f>
        <v/>
      </c>
      <c r="AW50" s="43">
        <f>'TAX. DIVERSAS'!E46</f>
        <v/>
      </c>
      <c r="AX50" s="43">
        <f>'TAX. DIVERSAS'!E47</f>
        <v/>
      </c>
      <c r="AY50" s="43">
        <f>'TAX. DIVERSAS'!E48</f>
        <v/>
      </c>
      <c r="AZ50" s="43">
        <f>'TAX. DIVERSAS'!E49</f>
        <v/>
      </c>
      <c r="BA50" s="43">
        <f>'TAX. DIVERSAS'!E50</f>
        <v/>
      </c>
      <c r="BB50" s="43">
        <f>'TAX. DIVERSAS'!E51</f>
        <v/>
      </c>
      <c r="BC50" s="43">
        <f>'TAX. DIVERSAS'!E52</f>
        <v/>
      </c>
      <c r="BD50" s="43">
        <f>'TAX. DIVERSAS'!E53</f>
        <v/>
      </c>
      <c r="BE50" s="43">
        <f>'TAX. DIVERSAS'!E54</f>
        <v/>
      </c>
      <c r="BF50" s="43">
        <f>'TAX. DIVERSAS'!E55</f>
        <v/>
      </c>
      <c r="BG50" s="43">
        <f>'TAX. DIVERSAS'!E56</f>
        <v/>
      </c>
      <c r="BH50" s="43">
        <f>'TAX. DIVERSAS'!E57</f>
        <v/>
      </c>
      <c r="BI50" s="43">
        <f>'TAX. DIVERSAS'!E58</f>
        <v/>
      </c>
      <c r="BJ50" s="43">
        <f>'TAX. DIVERSAS'!E59</f>
        <v/>
      </c>
      <c r="BK50" s="43">
        <f>'TAX. DIVERSAS'!E60</f>
        <v/>
      </c>
      <c r="BL50" s="43">
        <f>'TAX. DIVERSAS'!E61</f>
        <v/>
      </c>
      <c r="BM50" s="43">
        <f>'TAX. DIVERSAS'!E62</f>
        <v/>
      </c>
      <c r="BN50" s="43">
        <f>'TAX. DIVERSAS'!E63</f>
        <v/>
      </c>
      <c r="BO50" s="43">
        <f>'TAX. DIVERSAS'!E64</f>
        <v/>
      </c>
      <c r="BP50" s="43">
        <f>'TAX. DIVERSAS'!E65</f>
        <v/>
      </c>
      <c r="BQ50" s="43">
        <f>'TAX. DIVERSAS'!E66</f>
        <v/>
      </c>
      <c r="BR50" s="43">
        <f>'TAX. DIVERSAS'!E67</f>
        <v/>
      </c>
      <c r="BS50" s="43">
        <f>'TAX. DIVERSAS'!E68</f>
        <v/>
      </c>
      <c r="BT50" s="43">
        <f>'TAX. DIVERSAS'!E69</f>
        <v/>
      </c>
      <c r="BU50" s="43">
        <f>'TAX. DIVERSAS'!E70</f>
        <v/>
      </c>
      <c r="BV50" s="43">
        <f>'TAX. DIVERSAS'!E71</f>
        <v/>
      </c>
      <c r="BW50" s="43">
        <f>'TAX. DIVERSAS'!E72</f>
        <v/>
      </c>
      <c r="BX50" s="43">
        <f>'TAX. DIVERSAS'!E73</f>
        <v/>
      </c>
      <c r="BY50" s="43">
        <f>'TAX. DIVERSAS'!E74</f>
        <v/>
      </c>
      <c r="BZ50" s="43">
        <f>'TAX. DIVERSAS'!E75</f>
        <v/>
      </c>
      <c r="CA50" s="43">
        <f>'TAX. DIVERSAS'!E76</f>
        <v/>
      </c>
    </row>
    <row r="51">
      <c r="A51" s="21" t="inlineStr">
        <is>
          <t>G041.002</t>
        </is>
      </c>
      <c r="B51" s="21" t="inlineStr">
        <is>
          <t>1030-1070-590</t>
        </is>
      </c>
      <c r="C51" s="21" t="inlineStr">
        <is>
          <t>SEGURANÇA DO TRABALHO</t>
        </is>
      </c>
      <c r="E51" s="12">
        <f>SUM(H51:CA51)</f>
        <v/>
      </c>
      <c r="F51" s="12">
        <f>IF(D51="","",D51-E51)</f>
        <v/>
      </c>
    </row>
    <row r="52">
      <c r="A52" s="21" t="inlineStr">
        <is>
          <t>G041.002</t>
        </is>
      </c>
      <c r="B52" s="21" t="inlineStr">
        <is>
          <t>1030-1070-520</t>
        </is>
      </c>
      <c r="C52" s="21" t="inlineStr">
        <is>
          <t>SERVIÇOS INICIAIS</t>
        </is>
      </c>
      <c r="D52" s="37">
        <f>'SERV. INICIAIS'!$K$5</f>
        <v/>
      </c>
      <c r="E52" s="12">
        <f>SUM(H52:CA52)</f>
        <v/>
      </c>
      <c r="F52" s="12">
        <f>IF(D52="","",D52-E52)</f>
        <v/>
      </c>
      <c r="H52" s="43">
        <f>'SERV. INICIAIS'!E5</f>
        <v/>
      </c>
      <c r="I52" s="43">
        <f>'SERV. INICIAIS'!E6</f>
        <v/>
      </c>
      <c r="J52" s="43">
        <f>'SERV. INICIAIS'!E7</f>
        <v/>
      </c>
      <c r="K52" s="43">
        <f>'SERV. INICIAIS'!E8</f>
        <v/>
      </c>
      <c r="L52" s="43">
        <f>'SERV. INICIAIS'!E9</f>
        <v/>
      </c>
      <c r="M52" s="43">
        <f>'SERV. INICIAIS'!E10</f>
        <v/>
      </c>
      <c r="N52" s="43">
        <f>'SERV. INICIAIS'!E11</f>
        <v/>
      </c>
      <c r="O52" s="43">
        <f>'SERV. INICIAIS'!E12</f>
        <v/>
      </c>
      <c r="P52" s="43">
        <f>'SERV. INICIAIS'!E13</f>
        <v/>
      </c>
      <c r="Q52" s="43">
        <f>'SERV. INICIAIS'!E14</f>
        <v/>
      </c>
      <c r="R52" s="43">
        <f>'SERV. INICIAIS'!E15</f>
        <v/>
      </c>
      <c r="S52" s="43">
        <f>'SERV. INICIAIS'!E16</f>
        <v/>
      </c>
      <c r="T52" s="43">
        <f>'SERV. INICIAIS'!E17</f>
        <v/>
      </c>
      <c r="U52" s="43">
        <f>'SERV. INICIAIS'!E18</f>
        <v/>
      </c>
      <c r="V52" s="43">
        <f>'SERV. INICIAIS'!E19</f>
        <v/>
      </c>
      <c r="W52" s="43">
        <f>'SERV. INICIAIS'!E20</f>
        <v/>
      </c>
      <c r="X52" s="43">
        <f>'SERV. INICIAIS'!E21</f>
        <v/>
      </c>
      <c r="Y52" s="43">
        <f>'SERV. INICIAIS'!E22</f>
        <v/>
      </c>
      <c r="Z52" s="43">
        <f>'SERV. INICIAIS'!E23</f>
        <v/>
      </c>
      <c r="AA52" s="43">
        <f>'SERV. INICIAIS'!E24</f>
        <v/>
      </c>
      <c r="AB52" s="43">
        <f>'SERV. INICIAIS'!E25</f>
        <v/>
      </c>
      <c r="AC52" s="43">
        <f>'SERV. INICIAIS'!E26</f>
        <v/>
      </c>
      <c r="AD52" s="43">
        <f>'SERV. INICIAIS'!E27</f>
        <v/>
      </c>
      <c r="AE52" s="43">
        <f>'SERV. INICIAIS'!E28</f>
        <v/>
      </c>
      <c r="AF52" s="43">
        <f>'SERV. INICIAIS'!E29</f>
        <v/>
      </c>
      <c r="AG52" s="43">
        <f>'SERV. INICIAIS'!E30</f>
        <v/>
      </c>
      <c r="AH52" s="43">
        <f>'SERV. INICIAIS'!E31</f>
        <v/>
      </c>
      <c r="AI52" s="43">
        <f>'SERV. INICIAIS'!E32</f>
        <v/>
      </c>
      <c r="AJ52" s="43">
        <f>'SERV. INICIAIS'!E33</f>
        <v/>
      </c>
      <c r="AK52" s="43">
        <f>'SERV. INICIAIS'!E34</f>
        <v/>
      </c>
      <c r="AL52" s="43">
        <f>'SERV. INICIAIS'!E35</f>
        <v/>
      </c>
      <c r="AM52" s="43">
        <f>'SERV. INICIAIS'!E36</f>
        <v/>
      </c>
      <c r="AN52" s="43">
        <f>'SERV. INICIAIS'!E37</f>
        <v/>
      </c>
      <c r="AO52" s="43">
        <f>'SERV. INICIAIS'!E38</f>
        <v/>
      </c>
      <c r="AP52" s="43">
        <f>'SERV. INICIAIS'!E39</f>
        <v/>
      </c>
      <c r="AQ52" s="43">
        <f>'SERV. INICIAIS'!E40</f>
        <v/>
      </c>
      <c r="AR52" s="43">
        <f>'SERV. INICIAIS'!E41</f>
        <v/>
      </c>
      <c r="AS52" s="43">
        <f>'SERV. INICIAIS'!E42</f>
        <v/>
      </c>
      <c r="AT52" s="43">
        <f>'SERV. INICIAIS'!E43</f>
        <v/>
      </c>
      <c r="AU52" s="43">
        <f>'SERV. INICIAIS'!E44</f>
        <v/>
      </c>
      <c r="AV52" s="43">
        <f>'SERV. INICIAIS'!E45</f>
        <v/>
      </c>
      <c r="AW52" s="43">
        <f>'SERV. INICIAIS'!E46</f>
        <v/>
      </c>
      <c r="AX52" s="43">
        <f>'SERV. INICIAIS'!E47</f>
        <v/>
      </c>
      <c r="AY52" s="43">
        <f>'SERV. INICIAIS'!E48</f>
        <v/>
      </c>
      <c r="AZ52" s="43">
        <f>'SERV. INICIAIS'!E49</f>
        <v/>
      </c>
      <c r="BA52" s="43">
        <f>'SERV. INICIAIS'!E50</f>
        <v/>
      </c>
      <c r="BB52" s="43">
        <f>'SERV. INICIAIS'!E51</f>
        <v/>
      </c>
      <c r="BC52" s="43">
        <f>'SERV. INICIAIS'!E52</f>
        <v/>
      </c>
      <c r="BD52" s="43">
        <f>'SERV. INICIAIS'!E53</f>
        <v/>
      </c>
      <c r="BE52" s="43">
        <f>'SERV. INICIAIS'!E54</f>
        <v/>
      </c>
      <c r="BF52" s="43">
        <f>'SERV. INICIAIS'!E55</f>
        <v/>
      </c>
      <c r="BG52" s="43">
        <f>'SERV. INICIAIS'!E56</f>
        <v/>
      </c>
      <c r="BH52" s="43">
        <f>'SERV. INICIAIS'!E57</f>
        <v/>
      </c>
      <c r="BI52" s="43">
        <f>'SERV. INICIAIS'!E58</f>
        <v/>
      </c>
      <c r="BJ52" s="43">
        <f>'SERV. INICIAIS'!E59</f>
        <v/>
      </c>
      <c r="BK52" s="43">
        <f>'SERV. INICIAIS'!E60</f>
        <v/>
      </c>
      <c r="BL52" s="43">
        <f>'SERV. INICIAIS'!E61</f>
        <v/>
      </c>
      <c r="BM52" s="43">
        <f>'SERV. INICIAIS'!E62</f>
        <v/>
      </c>
      <c r="BN52" s="43">
        <f>'SERV. INICIAIS'!E63</f>
        <v/>
      </c>
      <c r="BO52" s="43">
        <f>'SERV. INICIAIS'!E64</f>
        <v/>
      </c>
      <c r="BP52" s="43">
        <f>'SERV. INICIAIS'!E65</f>
        <v/>
      </c>
      <c r="BQ52" s="43">
        <f>'SERV. INICIAIS'!E66</f>
        <v/>
      </c>
      <c r="BR52" s="43">
        <f>'SERV. INICIAIS'!E67</f>
        <v/>
      </c>
      <c r="BS52" s="43">
        <f>'SERV. INICIAIS'!E68</f>
        <v/>
      </c>
      <c r="BT52" s="43">
        <f>'SERV. INICIAIS'!E69</f>
        <v/>
      </c>
      <c r="BU52" s="43">
        <f>'SERV. INICIAIS'!E70</f>
        <v/>
      </c>
      <c r="BV52" s="43">
        <f>'SERV. INICIAIS'!E71</f>
        <v/>
      </c>
      <c r="BW52" s="43">
        <f>'SERV. INICIAIS'!E72</f>
        <v/>
      </c>
      <c r="BX52" s="43">
        <f>'SERV. INICIAIS'!E73</f>
        <v/>
      </c>
      <c r="BY52" s="43">
        <f>'SERV. INICIAIS'!E74</f>
        <v/>
      </c>
      <c r="BZ52" s="43">
        <f>'SERV. INICIAIS'!E75</f>
        <v/>
      </c>
      <c r="CA52" s="43">
        <f>'SERV. INICIAIS'!E76</f>
        <v/>
      </c>
    </row>
    <row r="53">
      <c r="A53" s="21" t="inlineStr">
        <is>
          <t>G041.002</t>
        </is>
      </c>
      <c r="B53" s="21" t="inlineStr">
        <is>
          <t>1040-1110-115</t>
        </is>
      </c>
      <c r="C53" s="21" t="inlineStr">
        <is>
          <t>COMERCIAIS</t>
        </is>
      </c>
      <c r="E53" s="12">
        <f>SUM(H53:CA53)</f>
        <v/>
      </c>
      <c r="F53" s="12">
        <f>IF(D53="","",D53-E53)</f>
        <v/>
      </c>
    </row>
    <row r="54">
      <c r="A54" s="21" t="inlineStr">
        <is>
          <t>G041.002</t>
        </is>
      </c>
      <c r="B54" s="21" t="inlineStr">
        <is>
          <t>1040-1130-110</t>
        </is>
      </c>
      <c r="C54" s="21" t="inlineStr">
        <is>
          <t>INCORPORAÇÃO / LEGALIZAÇÃO</t>
        </is>
      </c>
      <c r="E54" s="12">
        <f>SUM(H54:CA54)</f>
        <v/>
      </c>
      <c r="F54" s="12">
        <f>IF(D54="","",D54-E54)</f>
        <v/>
      </c>
    </row>
    <row r="55">
      <c r="A55" s="21" t="inlineStr">
        <is>
          <t>G041.002</t>
        </is>
      </c>
      <c r="B55" s="21" t="inlineStr">
        <is>
          <t>1040-1130-110</t>
        </is>
      </c>
      <c r="C55" s="21" t="inlineStr">
        <is>
          <t>INCORPORAÇÃO / LEGALIZAÇÃO</t>
        </is>
      </c>
      <c r="E55" s="12">
        <f>SUM(H55:CA55)</f>
        <v/>
      </c>
      <c r="F55" s="12">
        <f>IF(D55="","",D55-E55)</f>
        <v/>
      </c>
    </row>
    <row r="56">
      <c r="A56" s="21" t="inlineStr">
        <is>
          <t>G041.002</t>
        </is>
      </c>
      <c r="B56" s="21" t="inlineStr">
        <is>
          <t>1030-1090-100</t>
        </is>
      </c>
      <c r="C56" s="21" t="inlineStr">
        <is>
          <t>MEDIDAS COMPENSATÓRIAS</t>
        </is>
      </c>
      <c r="E56" s="12">
        <f>SUM(H56:CA56)</f>
        <v/>
      </c>
      <c r="F56" s="12">
        <f>IF(D56="","",D56-E56)</f>
        <v/>
      </c>
    </row>
    <row r="57">
      <c r="A57" s="21" t="inlineStr">
        <is>
          <t>G041.002</t>
        </is>
      </c>
      <c r="B57" s="21" t="inlineStr">
        <is>
          <t>1040-1110-130</t>
        </is>
      </c>
      <c r="C57" s="21" t="n"/>
      <c r="E57" s="12">
        <f>SUM(H57:CA57)</f>
        <v/>
      </c>
      <c r="F57" s="12">
        <f>IF(D57="","",D57-E57)</f>
        <v/>
      </c>
    </row>
    <row r="59">
      <c r="C59" s="9" t="inlineStr">
        <is>
          <t>SOMA SEM TAXA DE ADM. (INCC)</t>
        </is>
      </c>
      <c r="D59" s="23">
        <f>SUM(D2:D57)-D43</f>
        <v/>
      </c>
      <c r="E59" s="23">
        <f>SUM(E2:E57)-E43</f>
        <v/>
      </c>
      <c r="H59" s="23">
        <f>SUM(H2:H57)-H43</f>
        <v/>
      </c>
      <c r="I59" s="23">
        <f>SUM(I2:I57)-I43</f>
        <v/>
      </c>
      <c r="J59" s="23">
        <f>SUM(J2:J57)-J43</f>
        <v/>
      </c>
      <c r="K59" s="23">
        <f>SUM(K2:K57)-K43</f>
        <v/>
      </c>
      <c r="L59" s="23">
        <f>SUM(L2:L57)-L43</f>
        <v/>
      </c>
      <c r="M59" s="23">
        <f>SUM(M2:M57)-M43</f>
        <v/>
      </c>
      <c r="N59" s="23">
        <f>SUM(N2:N57)-N43</f>
        <v/>
      </c>
      <c r="O59" s="23">
        <f>SUM(O2:O57)-O43</f>
        <v/>
      </c>
      <c r="P59" s="23">
        <f>SUM(P2:P57)-P43</f>
        <v/>
      </c>
      <c r="Q59" s="23">
        <f>SUM(Q2:Q57)-Q43</f>
        <v/>
      </c>
      <c r="R59" s="23">
        <f>SUM(R2:R57)-R43</f>
        <v/>
      </c>
      <c r="S59" s="23">
        <f>SUM(S2:S57)-S43</f>
        <v/>
      </c>
      <c r="T59" s="23">
        <f>SUM(T2:T57)-T43</f>
        <v/>
      </c>
      <c r="U59" s="23">
        <f>SUM(U2:U57)-U43</f>
        <v/>
      </c>
      <c r="V59" s="23">
        <f>SUM(V2:V57)-V43</f>
        <v/>
      </c>
      <c r="W59" s="23">
        <f>SUM(W2:W57)-W43</f>
        <v/>
      </c>
      <c r="X59" s="23">
        <f>SUM(X2:X57)-X43</f>
        <v/>
      </c>
      <c r="Y59" s="23">
        <f>SUM(Y2:Y57)-Y43</f>
        <v/>
      </c>
      <c r="Z59" s="23">
        <f>SUM(Z2:Z57)-Z43</f>
        <v/>
      </c>
      <c r="AA59" s="23">
        <f>SUM(AA2:AA57)-AA43</f>
        <v/>
      </c>
      <c r="AB59" s="23">
        <f>SUM(AB2:AB57)-AB43</f>
        <v/>
      </c>
      <c r="AC59" s="23">
        <f>SUM(AC2:AC57)-AC43</f>
        <v/>
      </c>
      <c r="AD59" s="23">
        <f>SUM(AD2:AD57)-AD43</f>
        <v/>
      </c>
      <c r="AE59" s="23">
        <f>SUM(AE2:AE57)-AE43</f>
        <v/>
      </c>
      <c r="AF59" s="23">
        <f>SUM(AF2:AF57)-AF43</f>
        <v/>
      </c>
      <c r="AG59" s="23">
        <f>SUM(AG2:AG57)-AG43</f>
        <v/>
      </c>
      <c r="AH59" s="23">
        <f>SUM(AH2:AH57)-AH43</f>
        <v/>
      </c>
      <c r="AI59" s="23">
        <f>SUM(AI2:AI57)-AI43</f>
        <v/>
      </c>
      <c r="AJ59" s="23">
        <f>SUM(AJ2:AJ57)-AJ43</f>
        <v/>
      </c>
      <c r="AK59" s="23">
        <f>SUM(AK2:AK57)-AK43</f>
        <v/>
      </c>
      <c r="AL59" s="23">
        <f>SUM(AL2:AL57)-AL43</f>
        <v/>
      </c>
      <c r="AM59" s="23">
        <f>SUM(AM2:AM57)-AM43</f>
        <v/>
      </c>
      <c r="AN59" s="23">
        <f>SUM(AN2:AN57)-AN43</f>
        <v/>
      </c>
      <c r="AO59" s="23">
        <f>SUM(AO2:AO57)-AO43</f>
        <v/>
      </c>
      <c r="AP59" s="23">
        <f>SUM(AP2:AP57)-AP43</f>
        <v/>
      </c>
      <c r="AQ59" s="23">
        <f>SUM(AQ2:AQ57)-AQ43</f>
        <v/>
      </c>
      <c r="AR59" s="23">
        <f>SUM(AR2:AR57)-AR43</f>
        <v/>
      </c>
      <c r="AS59" s="23">
        <f>SUM(AS2:AS57)-AS43</f>
        <v/>
      </c>
      <c r="AT59" s="23">
        <f>SUM(AT2:AT57)-AT43</f>
        <v/>
      </c>
      <c r="AU59" s="23">
        <f>SUM(AU2:AU57)-AU43</f>
        <v/>
      </c>
      <c r="AV59" s="23">
        <f>SUM(AV2:AV57)-AV43</f>
        <v/>
      </c>
      <c r="AW59" s="23">
        <f>SUM(AW2:AW57)-AW43</f>
        <v/>
      </c>
      <c r="AX59" s="23">
        <f>SUM(AX2:AX57)-AX43</f>
        <v/>
      </c>
      <c r="AY59" s="23">
        <f>SUM(AY2:AY57)-AY43</f>
        <v/>
      </c>
      <c r="AZ59" s="23">
        <f>SUM(AZ2:AZ57)-AZ43</f>
        <v/>
      </c>
      <c r="BA59" s="23">
        <f>SUM(BA2:BA57)-BA43</f>
        <v/>
      </c>
      <c r="BB59" s="23">
        <f>SUM(BB2:BB57)-BB43</f>
        <v/>
      </c>
      <c r="BC59" s="23">
        <f>SUM(BC2:BC57)-BC43</f>
        <v/>
      </c>
      <c r="BD59" s="23">
        <f>SUM(BD2:BD57)-BD43</f>
        <v/>
      </c>
      <c r="BE59" s="23">
        <f>SUM(BE2:BE57)-BE43</f>
        <v/>
      </c>
      <c r="BF59" s="23">
        <f>SUM(BF2:BF57)-BF43</f>
        <v/>
      </c>
      <c r="BG59" s="23">
        <f>SUM(BG2:BG57)-BG43</f>
        <v/>
      </c>
      <c r="BH59" s="23">
        <f>SUM(BH2:BH57)-BH43</f>
        <v/>
      </c>
      <c r="BI59" s="23">
        <f>SUM(BI2:BI57)-BI43</f>
        <v/>
      </c>
      <c r="BJ59" s="23">
        <f>SUM(BJ2:BJ57)-BJ43</f>
        <v/>
      </c>
      <c r="BK59" s="23">
        <f>SUM(BK2:BK57)-BK43</f>
        <v/>
      </c>
      <c r="BL59" s="23">
        <f>SUM(BL2:BL57)-BL43</f>
        <v/>
      </c>
      <c r="BM59" s="23">
        <f>SUM(BM2:BM57)-BM43</f>
        <v/>
      </c>
      <c r="BN59" s="23">
        <f>SUM(BN2:BN57)-BN43</f>
        <v/>
      </c>
      <c r="BO59" s="23">
        <f>SUM(BO2:BO57)-BO43</f>
        <v/>
      </c>
      <c r="BP59" s="23">
        <f>SUM(BP2:BP57)-BP43</f>
        <v/>
      </c>
      <c r="BQ59" s="23">
        <f>SUM(BQ2:BQ57)-BQ43</f>
        <v/>
      </c>
      <c r="BR59" s="23">
        <f>SUM(BR2:BR57)-BR43</f>
        <v/>
      </c>
      <c r="BS59" s="23">
        <f>SUM(BS2:BS57)-BS43</f>
        <v/>
      </c>
      <c r="BT59" s="23">
        <f>SUM(BT2:BT57)-BT43</f>
        <v/>
      </c>
      <c r="BU59" s="23">
        <f>SUM(BU2:BU57)-BU43</f>
        <v/>
      </c>
      <c r="BV59" s="23">
        <f>SUM(BV2:BV57)-BV43</f>
        <v/>
      </c>
      <c r="BW59" s="23">
        <f>SUM(BW2:BW57)-BW43</f>
        <v/>
      </c>
      <c r="BX59" s="23">
        <f>SUM(BX2:BX57)-BX43</f>
        <v/>
      </c>
      <c r="BY59" s="23">
        <f>SUM(BY2:BY57)-BY43</f>
        <v/>
      </c>
      <c r="BZ59" s="23">
        <f>SUM(BZ2:BZ57)-BZ43</f>
        <v/>
      </c>
      <c r="CA59" s="23">
        <f>SUM(CA2:CA57)-CA43</f>
        <v/>
      </c>
    </row>
    <row r="60">
      <c r="C60" s="9" t="inlineStr">
        <is>
          <t>TAXA DE ADMINISTRAÇÃO (INCC)</t>
        </is>
      </c>
      <c r="D60" s="23">
        <f>D43</f>
        <v/>
      </c>
      <c r="E60" s="23">
        <f>E43</f>
        <v/>
      </c>
      <c r="H60" s="23">
        <f>H43</f>
        <v/>
      </c>
      <c r="I60" s="23">
        <f>I43</f>
        <v/>
      </c>
      <c r="J60" s="23">
        <f>J43</f>
        <v/>
      </c>
      <c r="K60" s="23">
        <f>K43</f>
        <v/>
      </c>
      <c r="L60" s="23">
        <f>L43</f>
        <v/>
      </c>
      <c r="M60" s="23">
        <f>M43</f>
        <v/>
      </c>
      <c r="N60" s="23">
        <f>N43</f>
        <v/>
      </c>
      <c r="O60" s="23">
        <f>O43</f>
        <v/>
      </c>
      <c r="P60" s="23">
        <f>P43</f>
        <v/>
      </c>
      <c r="Q60" s="23">
        <f>Q43</f>
        <v/>
      </c>
      <c r="R60" s="23">
        <f>R43</f>
        <v/>
      </c>
      <c r="S60" s="23">
        <f>S43</f>
        <v/>
      </c>
      <c r="T60" s="23">
        <f>T43</f>
        <v/>
      </c>
      <c r="U60" s="23">
        <f>U43</f>
        <v/>
      </c>
      <c r="V60" s="23">
        <f>V43</f>
        <v/>
      </c>
      <c r="W60" s="23">
        <f>W43</f>
        <v/>
      </c>
      <c r="X60" s="23">
        <f>X43</f>
        <v/>
      </c>
      <c r="Y60" s="23">
        <f>Y43</f>
        <v/>
      </c>
      <c r="Z60" s="23">
        <f>Z43</f>
        <v/>
      </c>
      <c r="AA60" s="23">
        <f>AA43</f>
        <v/>
      </c>
      <c r="AB60" s="23">
        <f>AB43</f>
        <v/>
      </c>
      <c r="AC60" s="23">
        <f>AC43</f>
        <v/>
      </c>
      <c r="AD60" s="23">
        <f>AD43</f>
        <v/>
      </c>
      <c r="AE60" s="23">
        <f>AE43</f>
        <v/>
      </c>
      <c r="AF60" s="23">
        <f>AF43</f>
        <v/>
      </c>
      <c r="AG60" s="23">
        <f>AG43</f>
        <v/>
      </c>
      <c r="AH60" s="23">
        <f>AH43</f>
        <v/>
      </c>
      <c r="AI60" s="23">
        <f>AI43</f>
        <v/>
      </c>
      <c r="AJ60" s="23">
        <f>AJ43</f>
        <v/>
      </c>
      <c r="AK60" s="23">
        <f>AK43</f>
        <v/>
      </c>
      <c r="AL60" s="23">
        <f>AL43</f>
        <v/>
      </c>
      <c r="AM60" s="23">
        <f>AM43</f>
        <v/>
      </c>
      <c r="AN60" s="23">
        <f>AN43</f>
        <v/>
      </c>
      <c r="AO60" s="23">
        <f>AO43</f>
        <v/>
      </c>
      <c r="AP60" s="23">
        <f>AP43</f>
        <v/>
      </c>
      <c r="AQ60" s="23">
        <f>AQ43</f>
        <v/>
      </c>
      <c r="AR60" s="23">
        <f>AR43</f>
        <v/>
      </c>
      <c r="AS60" s="23">
        <f>AS43</f>
        <v/>
      </c>
      <c r="AT60" s="23">
        <f>AT43</f>
        <v/>
      </c>
      <c r="AU60" s="23">
        <f>AU43</f>
        <v/>
      </c>
      <c r="AV60" s="23">
        <f>AV43</f>
        <v/>
      </c>
      <c r="AW60" s="23">
        <f>AW43</f>
        <v/>
      </c>
      <c r="AX60" s="23">
        <f>AX43</f>
        <v/>
      </c>
      <c r="AY60" s="23">
        <f>AY43</f>
        <v/>
      </c>
      <c r="AZ60" s="23">
        <f>AZ43</f>
        <v/>
      </c>
      <c r="BA60" s="23">
        <f>BA43</f>
        <v/>
      </c>
      <c r="BB60" s="23">
        <f>BB43</f>
        <v/>
      </c>
      <c r="BC60" s="23">
        <f>BC43</f>
        <v/>
      </c>
      <c r="BD60" s="23">
        <f>BD43</f>
        <v/>
      </c>
      <c r="BE60" s="23">
        <f>BE43</f>
        <v/>
      </c>
      <c r="BF60" s="23">
        <f>BF43</f>
        <v/>
      </c>
      <c r="BG60" s="23">
        <f>BG43</f>
        <v/>
      </c>
      <c r="BH60" s="23">
        <f>BH43</f>
        <v/>
      </c>
      <c r="BI60" s="23">
        <f>BI43</f>
        <v/>
      </c>
      <c r="BJ60" s="23">
        <f>BJ43</f>
        <v/>
      </c>
      <c r="BK60" s="23">
        <f>BK43</f>
        <v/>
      </c>
      <c r="BL60" s="23">
        <f>BL43</f>
        <v/>
      </c>
      <c r="BM60" s="23">
        <f>BM43</f>
        <v/>
      </c>
      <c r="BN60" s="23">
        <f>BN43</f>
        <v/>
      </c>
      <c r="BO60" s="23">
        <f>BO43</f>
        <v/>
      </c>
      <c r="BP60" s="23">
        <f>BP43</f>
        <v/>
      </c>
      <c r="BQ60" s="23">
        <f>BQ43</f>
        <v/>
      </c>
      <c r="BR60" s="23">
        <f>BR43</f>
        <v/>
      </c>
      <c r="BS60" s="23">
        <f>BS43</f>
        <v/>
      </c>
      <c r="BT60" s="23">
        <f>BT43</f>
        <v/>
      </c>
      <c r="BU60" s="23">
        <f>BU43</f>
        <v/>
      </c>
      <c r="BV60" s="23">
        <f>BV43</f>
        <v/>
      </c>
      <c r="BW60" s="23">
        <f>BW43</f>
        <v/>
      </c>
      <c r="BX60" s="23">
        <f>BX43</f>
        <v/>
      </c>
      <c r="BY60" s="23">
        <f>BY43</f>
        <v/>
      </c>
      <c r="BZ60" s="23">
        <f>BZ43</f>
        <v/>
      </c>
      <c r="CA60" s="23">
        <f>CA43</f>
        <v/>
      </c>
    </row>
    <row r="61">
      <c r="C61" s="9" t="inlineStr">
        <is>
          <t>TOTAL (INCC)</t>
        </is>
      </c>
      <c r="D61" s="23">
        <f>D59+D60</f>
        <v/>
      </c>
      <c r="E61" s="23">
        <f>E59+E60</f>
        <v/>
      </c>
      <c r="H61" s="23">
        <f>H59+H60</f>
        <v/>
      </c>
      <c r="I61" s="23">
        <f>I59+I60</f>
        <v/>
      </c>
      <c r="J61" s="23">
        <f>J59+J60</f>
        <v/>
      </c>
      <c r="K61" s="23">
        <f>K59+K60</f>
        <v/>
      </c>
      <c r="L61" s="23">
        <f>L59+L60</f>
        <v/>
      </c>
      <c r="M61" s="23">
        <f>M59+M60</f>
        <v/>
      </c>
      <c r="N61" s="23">
        <f>N59+N60</f>
        <v/>
      </c>
      <c r="O61" s="23">
        <f>O59+O60</f>
        <v/>
      </c>
      <c r="P61" s="23">
        <f>P59+P60</f>
        <v/>
      </c>
      <c r="Q61" s="23">
        <f>Q59+Q60</f>
        <v/>
      </c>
      <c r="R61" s="23">
        <f>R59+R60</f>
        <v/>
      </c>
      <c r="S61" s="23">
        <f>S59+S60</f>
        <v/>
      </c>
      <c r="T61" s="23">
        <f>T59+T60</f>
        <v/>
      </c>
      <c r="U61" s="23">
        <f>U59+U60</f>
        <v/>
      </c>
      <c r="V61" s="23">
        <f>V59+V60</f>
        <v/>
      </c>
      <c r="W61" s="23">
        <f>W59+W60</f>
        <v/>
      </c>
      <c r="X61" s="23">
        <f>X59+X60</f>
        <v/>
      </c>
      <c r="Y61" s="23">
        <f>Y59+Y60</f>
        <v/>
      </c>
      <c r="Z61" s="23">
        <f>Z59+Z60</f>
        <v/>
      </c>
      <c r="AA61" s="23">
        <f>AA59+AA60</f>
        <v/>
      </c>
      <c r="AB61" s="23">
        <f>AB59+AB60</f>
        <v/>
      </c>
      <c r="AC61" s="23">
        <f>AC59+AC60</f>
        <v/>
      </c>
      <c r="AD61" s="23">
        <f>AD59+AD60</f>
        <v/>
      </c>
      <c r="AE61" s="23">
        <f>AE59+AE60</f>
        <v/>
      </c>
      <c r="AF61" s="23">
        <f>AF59+AF60</f>
        <v/>
      </c>
      <c r="AG61" s="23">
        <f>AG59+AG60</f>
        <v/>
      </c>
      <c r="AH61" s="23">
        <f>AH59+AH60</f>
        <v/>
      </c>
      <c r="AI61" s="23">
        <f>AI59+AI60</f>
        <v/>
      </c>
      <c r="AJ61" s="23">
        <f>AJ59+AJ60</f>
        <v/>
      </c>
      <c r="AK61" s="23">
        <f>AK59+AK60</f>
        <v/>
      </c>
      <c r="AL61" s="23">
        <f>AL59+AL60</f>
        <v/>
      </c>
      <c r="AM61" s="23">
        <f>AM59+AM60</f>
        <v/>
      </c>
      <c r="AN61" s="23">
        <f>AN59+AN60</f>
        <v/>
      </c>
      <c r="AO61" s="23">
        <f>AO59+AO60</f>
        <v/>
      </c>
      <c r="AP61" s="23">
        <f>AP59+AP60</f>
        <v/>
      </c>
      <c r="AQ61" s="23">
        <f>AQ59+AQ60</f>
        <v/>
      </c>
      <c r="AR61" s="23">
        <f>AR59+AR60</f>
        <v/>
      </c>
      <c r="AS61" s="23">
        <f>AS59+AS60</f>
        <v/>
      </c>
      <c r="AT61" s="23">
        <f>AT59+AT60</f>
        <v/>
      </c>
      <c r="AU61" s="23">
        <f>AU59+AU60</f>
        <v/>
      </c>
      <c r="AV61" s="23">
        <f>AV59+AV60</f>
        <v/>
      </c>
      <c r="AW61" s="23">
        <f>AW59+AW60</f>
        <v/>
      </c>
      <c r="AX61" s="23">
        <f>AX59+AX60</f>
        <v/>
      </c>
      <c r="AY61" s="23">
        <f>AY59+AY60</f>
        <v/>
      </c>
      <c r="AZ61" s="23">
        <f>AZ59+AZ60</f>
        <v/>
      </c>
      <c r="BA61" s="23">
        <f>BA59+BA60</f>
        <v/>
      </c>
      <c r="BB61" s="23">
        <f>BB59+BB60</f>
        <v/>
      </c>
      <c r="BC61" s="23">
        <f>BC59+BC60</f>
        <v/>
      </c>
      <c r="BD61" s="23">
        <f>BD59+BD60</f>
        <v/>
      </c>
      <c r="BE61" s="23">
        <f>BE59+BE60</f>
        <v/>
      </c>
      <c r="BF61" s="23">
        <f>BF59+BF60</f>
        <v/>
      </c>
      <c r="BG61" s="23">
        <f>BG59+BG60</f>
        <v/>
      </c>
      <c r="BH61" s="23">
        <f>BH59+BH60</f>
        <v/>
      </c>
      <c r="BI61" s="23">
        <f>BI59+BI60</f>
        <v/>
      </c>
      <c r="BJ61" s="23">
        <f>BJ59+BJ60</f>
        <v/>
      </c>
      <c r="BK61" s="23">
        <f>BK59+BK60</f>
        <v/>
      </c>
      <c r="BL61" s="23">
        <f>BL59+BL60</f>
        <v/>
      </c>
      <c r="BM61" s="23">
        <f>BM59+BM60</f>
        <v/>
      </c>
      <c r="BN61" s="23">
        <f>BN59+BN60</f>
        <v/>
      </c>
      <c r="BO61" s="23">
        <f>BO59+BO60</f>
        <v/>
      </c>
      <c r="BP61" s="23">
        <f>BP59+BP60</f>
        <v/>
      </c>
      <c r="BQ61" s="23">
        <f>BQ59+BQ60</f>
        <v/>
      </c>
      <c r="BR61" s="23">
        <f>BR59+BR60</f>
        <v/>
      </c>
      <c r="BS61" s="23">
        <f>BS59+BS60</f>
        <v/>
      </c>
      <c r="BT61" s="23">
        <f>BT59+BT60</f>
        <v/>
      </c>
      <c r="BU61" s="23">
        <f>BU59+BU60</f>
        <v/>
      </c>
      <c r="BV61" s="23">
        <f>BV59+BV60</f>
        <v/>
      </c>
      <c r="BW61" s="23">
        <f>BW59+BW60</f>
        <v/>
      </c>
      <c r="BX61" s="23">
        <f>BX59+BX60</f>
        <v/>
      </c>
      <c r="BY61" s="23">
        <f>BY59+BY60</f>
        <v/>
      </c>
      <c r="BZ61" s="23">
        <f>BZ59+BZ60</f>
        <v/>
      </c>
      <c r="CA61" s="23">
        <f>CA59+CA60</f>
        <v/>
      </c>
    </row>
    <row r="62">
      <c r="C62" s="34">
        <f>"INCORRIDO ATÉ -&gt; "&amp;TEXT('VALOR POR PL'!$P$5,"mm/aaaa")</f>
        <v/>
      </c>
    </row>
    <row r="63">
      <c r="C63" s="9" t="inlineStr">
        <is>
          <t>CURVA MENSAL (R$ nominal)</t>
        </is>
      </c>
      <c r="E63" s="44">
        <f>SUM(H63:CA63)</f>
        <v/>
      </c>
      <c r="H63" s="17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17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17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17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17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17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17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17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17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17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17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17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17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17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17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17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17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17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17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17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17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17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17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17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17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17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17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17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17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17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17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17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17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17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17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17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17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17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17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17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17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17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17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17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17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17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17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17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17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17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17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17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17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17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17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17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17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17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17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17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17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17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17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17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17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17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17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17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17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17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17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17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9" t="inlineStr">
        <is>
          <t>CURVA ACUMULADA (R$ nominal)</t>
        </is>
      </c>
      <c r="E64" s="44">
        <f>CA64</f>
        <v/>
      </c>
      <c r="H64" s="17">
        <f>H63</f>
        <v/>
      </c>
      <c r="I64" s="17">
        <f>H64+I63</f>
        <v/>
      </c>
      <c r="J64" s="17">
        <f>I64+J63</f>
        <v/>
      </c>
      <c r="K64" s="17">
        <f>J64+K63</f>
        <v/>
      </c>
      <c r="L64" s="17">
        <f>K64+L63</f>
        <v/>
      </c>
      <c r="M64" s="17">
        <f>L64+M63</f>
        <v/>
      </c>
      <c r="N64" s="17">
        <f>M64+N63</f>
        <v/>
      </c>
      <c r="O64" s="17">
        <f>N64+O63</f>
        <v/>
      </c>
      <c r="P64" s="17">
        <f>O64+P63</f>
        <v/>
      </c>
      <c r="Q64" s="17">
        <f>P64+Q63</f>
        <v/>
      </c>
      <c r="R64" s="17">
        <f>Q64+R63</f>
        <v/>
      </c>
      <c r="S64" s="17">
        <f>R64+S63</f>
        <v/>
      </c>
      <c r="T64" s="17">
        <f>S64+T63</f>
        <v/>
      </c>
      <c r="U64" s="17">
        <f>T64+U63</f>
        <v/>
      </c>
      <c r="V64" s="17">
        <f>U64+V63</f>
        <v/>
      </c>
      <c r="W64" s="17">
        <f>V64+W63</f>
        <v/>
      </c>
      <c r="X64" s="17">
        <f>W64+X63</f>
        <v/>
      </c>
      <c r="Y64" s="17">
        <f>X64+Y63</f>
        <v/>
      </c>
      <c r="Z64" s="17">
        <f>Y64+Z63</f>
        <v/>
      </c>
      <c r="AA64" s="17">
        <f>Z64+AA63</f>
        <v/>
      </c>
      <c r="AB64" s="17">
        <f>AA64+AB63</f>
        <v/>
      </c>
      <c r="AC64" s="17">
        <f>AB64+AC63</f>
        <v/>
      </c>
      <c r="AD64" s="17">
        <f>AC64+AD63</f>
        <v/>
      </c>
      <c r="AE64" s="17">
        <f>AD64+AE63</f>
        <v/>
      </c>
      <c r="AF64" s="17">
        <f>AE64+AF63</f>
        <v/>
      </c>
      <c r="AG64" s="17">
        <f>AF64+AG63</f>
        <v/>
      </c>
      <c r="AH64" s="17">
        <f>AG64+AH63</f>
        <v/>
      </c>
      <c r="AI64" s="17">
        <f>AH64+AI63</f>
        <v/>
      </c>
      <c r="AJ64" s="17">
        <f>AI64+AJ63</f>
        <v/>
      </c>
      <c r="AK64" s="17">
        <f>AJ64+AK63</f>
        <v/>
      </c>
      <c r="AL64" s="17">
        <f>AK64+AL63</f>
        <v/>
      </c>
      <c r="AM64" s="17">
        <f>AL64+AM63</f>
        <v/>
      </c>
      <c r="AN64" s="17">
        <f>AM64+AN63</f>
        <v/>
      </c>
      <c r="AO64" s="17">
        <f>AN64+AO63</f>
        <v/>
      </c>
      <c r="AP64" s="17">
        <f>AO64+AP63</f>
        <v/>
      </c>
      <c r="AQ64" s="17">
        <f>AP64+AQ63</f>
        <v/>
      </c>
      <c r="AR64" s="17">
        <f>AQ64+AR63</f>
        <v/>
      </c>
      <c r="AS64" s="17">
        <f>AR64+AS63</f>
        <v/>
      </c>
      <c r="AT64" s="17">
        <f>AS64+AT63</f>
        <v/>
      </c>
      <c r="AU64" s="17">
        <f>AT64+AU63</f>
        <v/>
      </c>
      <c r="AV64" s="17">
        <f>AU64+AV63</f>
        <v/>
      </c>
      <c r="AW64" s="17">
        <f>AV64+AW63</f>
        <v/>
      </c>
      <c r="AX64" s="17">
        <f>AW64+AX63</f>
        <v/>
      </c>
      <c r="AY64" s="17">
        <f>AX64+AY63</f>
        <v/>
      </c>
      <c r="AZ64" s="17">
        <f>AY64+AZ63</f>
        <v/>
      </c>
      <c r="BA64" s="17">
        <f>AZ64+BA63</f>
        <v/>
      </c>
      <c r="BB64" s="17">
        <f>BA64+BB63</f>
        <v/>
      </c>
      <c r="BC64" s="17">
        <f>BB64+BC63</f>
        <v/>
      </c>
      <c r="BD64" s="17">
        <f>BC64+BD63</f>
        <v/>
      </c>
      <c r="BE64" s="17">
        <f>BD64+BE63</f>
        <v/>
      </c>
      <c r="BF64" s="17">
        <f>BE64+BF63</f>
        <v/>
      </c>
      <c r="BG64" s="17">
        <f>BF64+BG63</f>
        <v/>
      </c>
      <c r="BH64" s="17">
        <f>BG64+BH63</f>
        <v/>
      </c>
      <c r="BI64" s="17">
        <f>BH64+BI63</f>
        <v/>
      </c>
      <c r="BJ64" s="17">
        <f>BI64+BJ63</f>
        <v/>
      </c>
      <c r="BK64" s="17">
        <f>BJ64+BK63</f>
        <v/>
      </c>
      <c r="BL64" s="17">
        <f>BK64+BL63</f>
        <v/>
      </c>
      <c r="BM64" s="17">
        <f>BL64+BM63</f>
        <v/>
      </c>
      <c r="BN64" s="17">
        <f>BM64+BN63</f>
        <v/>
      </c>
      <c r="BO64" s="17">
        <f>BN64+BO63</f>
        <v/>
      </c>
      <c r="BP64" s="17">
        <f>BO64+BP63</f>
        <v/>
      </c>
      <c r="BQ64" s="17">
        <f>BP64+BQ63</f>
        <v/>
      </c>
      <c r="BR64" s="17">
        <f>BQ64+BR63</f>
        <v/>
      </c>
      <c r="BS64" s="17">
        <f>BR64+BS63</f>
        <v/>
      </c>
      <c r="BT64" s="17">
        <f>BS64+BT63</f>
        <v/>
      </c>
      <c r="BU64" s="17">
        <f>BT64+BU63</f>
        <v/>
      </c>
      <c r="BV64" s="17">
        <f>BU64+BV63</f>
        <v/>
      </c>
      <c r="BW64" s="17">
        <f>BV64+BW63</f>
        <v/>
      </c>
      <c r="BX64" s="17">
        <f>BW64+BX63</f>
        <v/>
      </c>
      <c r="BY64" s="17">
        <f>BX64+BY63</f>
        <v/>
      </c>
      <c r="BZ64" s="17">
        <f>BY64+BZ63</f>
        <v/>
      </c>
      <c r="CA64" s="17">
        <f>BZ64+CA63</f>
        <v/>
      </c>
    </row>
    <row r="65">
      <c r="C65" s="9" t="inlineStr">
        <is>
          <t>% ACUMULADO DA PROJEÇÃO</t>
        </is>
      </c>
      <c r="H65" s="36">
        <f>IF('VALOR POR PL'!$L$50=0,0,H64/'VALOR POR PL'!$L$50)</f>
        <v/>
      </c>
      <c r="I65" s="36">
        <f>IF('VALOR POR PL'!$L$50=0,0,I64/'VALOR POR PL'!$L$50)</f>
        <v/>
      </c>
      <c r="J65" s="36">
        <f>IF('VALOR POR PL'!$L$50=0,0,J64/'VALOR POR PL'!$L$50)</f>
        <v/>
      </c>
      <c r="K65" s="36">
        <f>IF('VALOR POR PL'!$L$50=0,0,K64/'VALOR POR PL'!$L$50)</f>
        <v/>
      </c>
      <c r="L65" s="36">
        <f>IF('VALOR POR PL'!$L$50=0,0,L64/'VALOR POR PL'!$L$50)</f>
        <v/>
      </c>
      <c r="M65" s="36">
        <f>IF('VALOR POR PL'!$L$50=0,0,M64/'VALOR POR PL'!$L$50)</f>
        <v/>
      </c>
      <c r="N65" s="36">
        <f>IF('VALOR POR PL'!$L$50=0,0,N64/'VALOR POR PL'!$L$50)</f>
        <v/>
      </c>
      <c r="O65" s="36">
        <f>IF('VALOR POR PL'!$L$50=0,0,O64/'VALOR POR PL'!$L$50)</f>
        <v/>
      </c>
      <c r="P65" s="36">
        <f>IF('VALOR POR PL'!$L$50=0,0,P64/'VALOR POR PL'!$L$50)</f>
        <v/>
      </c>
      <c r="Q65" s="36">
        <f>IF('VALOR POR PL'!$L$50=0,0,Q64/'VALOR POR PL'!$L$50)</f>
        <v/>
      </c>
      <c r="R65" s="36">
        <f>IF('VALOR POR PL'!$L$50=0,0,R64/'VALOR POR PL'!$L$50)</f>
        <v/>
      </c>
      <c r="S65" s="36">
        <f>IF('VALOR POR PL'!$L$50=0,0,S64/'VALOR POR PL'!$L$50)</f>
        <v/>
      </c>
      <c r="T65" s="36">
        <f>IF('VALOR POR PL'!$L$50=0,0,T64/'VALOR POR PL'!$L$50)</f>
        <v/>
      </c>
      <c r="U65" s="36">
        <f>IF('VALOR POR PL'!$L$50=0,0,U64/'VALOR POR PL'!$L$50)</f>
        <v/>
      </c>
      <c r="V65" s="36">
        <f>IF('VALOR POR PL'!$L$50=0,0,V64/'VALOR POR PL'!$L$50)</f>
        <v/>
      </c>
      <c r="W65" s="36">
        <f>IF('VALOR POR PL'!$L$50=0,0,W64/'VALOR POR PL'!$L$50)</f>
        <v/>
      </c>
      <c r="X65" s="36">
        <f>IF('VALOR POR PL'!$L$50=0,0,X64/'VALOR POR PL'!$L$50)</f>
        <v/>
      </c>
      <c r="Y65" s="36">
        <f>IF('VALOR POR PL'!$L$50=0,0,Y64/'VALOR POR PL'!$L$50)</f>
        <v/>
      </c>
      <c r="Z65" s="36">
        <f>IF('VALOR POR PL'!$L$50=0,0,Z64/'VALOR POR PL'!$L$50)</f>
        <v/>
      </c>
      <c r="AA65" s="36">
        <f>IF('VALOR POR PL'!$L$50=0,0,AA64/'VALOR POR PL'!$L$50)</f>
        <v/>
      </c>
      <c r="AB65" s="36">
        <f>IF('VALOR POR PL'!$L$50=0,0,AB64/'VALOR POR PL'!$L$50)</f>
        <v/>
      </c>
      <c r="AC65" s="36">
        <f>IF('VALOR POR PL'!$L$50=0,0,AC64/'VALOR POR PL'!$L$50)</f>
        <v/>
      </c>
      <c r="AD65" s="36">
        <f>IF('VALOR POR PL'!$L$50=0,0,AD64/'VALOR POR PL'!$L$50)</f>
        <v/>
      </c>
      <c r="AE65" s="36">
        <f>IF('VALOR POR PL'!$L$50=0,0,AE64/'VALOR POR PL'!$L$50)</f>
        <v/>
      </c>
      <c r="AF65" s="36">
        <f>IF('VALOR POR PL'!$L$50=0,0,AF64/'VALOR POR PL'!$L$50)</f>
        <v/>
      </c>
      <c r="AG65" s="36">
        <f>IF('VALOR POR PL'!$L$50=0,0,AG64/'VALOR POR PL'!$L$50)</f>
        <v/>
      </c>
      <c r="AH65" s="36">
        <f>IF('VALOR POR PL'!$L$50=0,0,AH64/'VALOR POR PL'!$L$50)</f>
        <v/>
      </c>
      <c r="AI65" s="36">
        <f>IF('VALOR POR PL'!$L$50=0,0,AI64/'VALOR POR PL'!$L$50)</f>
        <v/>
      </c>
      <c r="AJ65" s="36">
        <f>IF('VALOR POR PL'!$L$50=0,0,AJ64/'VALOR POR PL'!$L$50)</f>
        <v/>
      </c>
      <c r="AK65" s="36">
        <f>IF('VALOR POR PL'!$L$50=0,0,AK64/'VALOR POR PL'!$L$50)</f>
        <v/>
      </c>
      <c r="AL65" s="36">
        <f>IF('VALOR POR PL'!$L$50=0,0,AL64/'VALOR POR PL'!$L$50)</f>
        <v/>
      </c>
      <c r="AM65" s="36">
        <f>IF('VALOR POR PL'!$L$50=0,0,AM64/'VALOR POR PL'!$L$50)</f>
        <v/>
      </c>
      <c r="AN65" s="36">
        <f>IF('VALOR POR PL'!$L$50=0,0,AN64/'VALOR POR PL'!$L$50)</f>
        <v/>
      </c>
      <c r="AO65" s="36">
        <f>IF('VALOR POR PL'!$L$50=0,0,AO64/'VALOR POR PL'!$L$50)</f>
        <v/>
      </c>
      <c r="AP65" s="36">
        <f>IF('VALOR POR PL'!$L$50=0,0,AP64/'VALOR POR PL'!$L$50)</f>
        <v/>
      </c>
      <c r="AQ65" s="36">
        <f>IF('VALOR POR PL'!$L$50=0,0,AQ64/'VALOR POR PL'!$L$50)</f>
        <v/>
      </c>
      <c r="AR65" s="36">
        <f>IF('VALOR POR PL'!$L$50=0,0,AR64/'VALOR POR PL'!$L$50)</f>
        <v/>
      </c>
      <c r="AS65" s="36">
        <f>IF('VALOR POR PL'!$L$50=0,0,AS64/'VALOR POR PL'!$L$50)</f>
        <v/>
      </c>
      <c r="AT65" s="36">
        <f>IF('VALOR POR PL'!$L$50=0,0,AT64/'VALOR POR PL'!$L$50)</f>
        <v/>
      </c>
      <c r="AU65" s="36">
        <f>IF('VALOR POR PL'!$L$50=0,0,AU64/'VALOR POR PL'!$L$50)</f>
        <v/>
      </c>
      <c r="AV65" s="36">
        <f>IF('VALOR POR PL'!$L$50=0,0,AV64/'VALOR POR PL'!$L$50)</f>
        <v/>
      </c>
      <c r="AW65" s="36">
        <f>IF('VALOR POR PL'!$L$50=0,0,AW64/'VALOR POR PL'!$L$50)</f>
        <v/>
      </c>
      <c r="AX65" s="36">
        <f>IF('VALOR POR PL'!$L$50=0,0,AX64/'VALOR POR PL'!$L$50)</f>
        <v/>
      </c>
      <c r="AY65" s="36">
        <f>IF('VALOR POR PL'!$L$50=0,0,AY64/'VALOR POR PL'!$L$50)</f>
        <v/>
      </c>
      <c r="AZ65" s="36">
        <f>IF('VALOR POR PL'!$L$50=0,0,AZ64/'VALOR POR PL'!$L$50)</f>
        <v/>
      </c>
      <c r="BA65" s="36">
        <f>IF('VALOR POR PL'!$L$50=0,0,BA64/'VALOR POR PL'!$L$50)</f>
        <v/>
      </c>
      <c r="BB65" s="36">
        <f>IF('VALOR POR PL'!$L$50=0,0,BB64/'VALOR POR PL'!$L$50)</f>
        <v/>
      </c>
      <c r="BC65" s="36">
        <f>IF('VALOR POR PL'!$L$50=0,0,BC64/'VALOR POR PL'!$L$50)</f>
        <v/>
      </c>
      <c r="BD65" s="36">
        <f>IF('VALOR POR PL'!$L$50=0,0,BD64/'VALOR POR PL'!$L$50)</f>
        <v/>
      </c>
      <c r="BE65" s="36">
        <f>IF('VALOR POR PL'!$L$50=0,0,BE64/'VALOR POR PL'!$L$50)</f>
        <v/>
      </c>
      <c r="BF65" s="36">
        <f>IF('VALOR POR PL'!$L$50=0,0,BF64/'VALOR POR PL'!$L$50)</f>
        <v/>
      </c>
      <c r="BG65" s="36">
        <f>IF('VALOR POR PL'!$L$50=0,0,BG64/'VALOR POR PL'!$L$50)</f>
        <v/>
      </c>
      <c r="BH65" s="36">
        <f>IF('VALOR POR PL'!$L$50=0,0,BH64/'VALOR POR PL'!$L$50)</f>
        <v/>
      </c>
      <c r="BI65" s="36">
        <f>IF('VALOR POR PL'!$L$50=0,0,BI64/'VALOR POR PL'!$L$50)</f>
        <v/>
      </c>
      <c r="BJ65" s="36">
        <f>IF('VALOR POR PL'!$L$50=0,0,BJ64/'VALOR POR PL'!$L$50)</f>
        <v/>
      </c>
      <c r="BK65" s="36">
        <f>IF('VALOR POR PL'!$L$50=0,0,BK64/'VALOR POR PL'!$L$50)</f>
        <v/>
      </c>
      <c r="BL65" s="36">
        <f>IF('VALOR POR PL'!$L$50=0,0,BL64/'VALOR POR PL'!$L$50)</f>
        <v/>
      </c>
      <c r="BM65" s="36">
        <f>IF('VALOR POR PL'!$L$50=0,0,BM64/'VALOR POR PL'!$L$50)</f>
        <v/>
      </c>
      <c r="BN65" s="36">
        <f>IF('VALOR POR PL'!$L$50=0,0,BN64/'VALOR POR PL'!$L$50)</f>
        <v/>
      </c>
      <c r="BO65" s="36">
        <f>IF('VALOR POR PL'!$L$50=0,0,BO64/'VALOR POR PL'!$L$50)</f>
        <v/>
      </c>
      <c r="BP65" s="36">
        <f>IF('VALOR POR PL'!$L$50=0,0,BP64/'VALOR POR PL'!$L$50)</f>
        <v/>
      </c>
      <c r="BQ65" s="36">
        <f>IF('VALOR POR PL'!$L$50=0,0,BQ64/'VALOR POR PL'!$L$50)</f>
        <v/>
      </c>
      <c r="BR65" s="36">
        <f>IF('VALOR POR PL'!$L$50=0,0,BR64/'VALOR POR PL'!$L$50)</f>
        <v/>
      </c>
      <c r="BS65" s="36">
        <f>IF('VALOR POR PL'!$L$50=0,0,BS64/'VALOR POR PL'!$L$50)</f>
        <v/>
      </c>
      <c r="BT65" s="36">
        <f>IF('VALOR POR PL'!$L$50=0,0,BT64/'VALOR POR PL'!$L$50)</f>
        <v/>
      </c>
      <c r="BU65" s="36">
        <f>IF('VALOR POR PL'!$L$50=0,0,BU64/'VALOR POR PL'!$L$50)</f>
        <v/>
      </c>
      <c r="BV65" s="36">
        <f>IF('VALOR POR PL'!$L$50=0,0,BV64/'VALOR POR PL'!$L$50)</f>
        <v/>
      </c>
      <c r="BW65" s="36">
        <f>IF('VALOR POR PL'!$L$50=0,0,BW64/'VALOR POR PL'!$L$50)</f>
        <v/>
      </c>
      <c r="BX65" s="36">
        <f>IF('VALOR POR PL'!$L$50=0,0,BX64/'VALOR POR PL'!$L$50)</f>
        <v/>
      </c>
      <c r="BY65" s="36">
        <f>IF('VALOR POR PL'!$L$50=0,0,BY64/'VALOR POR PL'!$L$50)</f>
        <v/>
      </c>
      <c r="BZ65" s="36">
        <f>IF('VALOR POR PL'!$L$50=0,0,BZ64/'VALOR POR PL'!$L$50)</f>
        <v/>
      </c>
      <c r="CA65" s="36">
        <f>IF('VALOR POR PL'!$L$50=0,0,CA64/'VALOR POR PL'!$L$50)</f>
        <v/>
      </c>
    </row>
  </sheetData>
  <conditionalFormatting sqref="H2:CA61">
    <cfRule type="expression" priority="1" dxfId="3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33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20" t="inlineStr">
        <is>
          <t>Mês</t>
        </is>
      </c>
      <c r="B3" s="20" t="inlineStr">
        <is>
          <t>Curva inicial
% mensal (informar)</t>
        </is>
      </c>
      <c r="C3" s="20" t="inlineStr">
        <is>
          <t>Curva inicial
% acumulado</t>
        </is>
      </c>
      <c r="D3" s="20" t="inlineStr">
        <is>
          <t>Realizado
(INCC)</t>
        </is>
      </c>
      <c r="E3" s="20" t="inlineStr">
        <is>
          <t>Previsto
(INCC)</t>
        </is>
      </c>
      <c r="F3" s="20" t="inlineStr">
        <is>
          <t>Atual
% mensal</t>
        </is>
      </c>
      <c r="G3" s="20" t="inlineStr">
        <is>
          <t>Atual
% acumulado</t>
        </is>
      </c>
      <c r="I3" s="20" t="inlineStr">
        <is>
          <t>Curva inicial
(INCC)</t>
        </is>
      </c>
      <c r="J3" s="20" t="inlineStr">
        <is>
          <t>Curva inicial
(R$)</t>
        </is>
      </c>
      <c r="K3" s="20" t="inlineStr">
        <is>
          <t>Atual
(R$ nominal)</t>
        </is>
      </c>
      <c r="L3" s="20" t="inlineStr">
        <is>
          <t>Atual acumulado
(R$ nominal)</t>
        </is>
      </c>
      <c r="M3" s="20" t="inlineStr">
        <is>
          <t>Inicial acumulado
(R$)</t>
        </is>
      </c>
      <c r="O3" s="24" t="inlineStr">
        <is>
          <t>Anotações (do arquivo original)</t>
        </is>
      </c>
    </row>
    <row r="4">
      <c r="A4" s="45">
        <f>'MODELO PARA BI'!H1</f>
        <v/>
      </c>
      <c r="B4" s="46" t="n"/>
      <c r="C4" s="36">
        <f>B4</f>
        <v/>
      </c>
      <c r="D4" s="37">
        <f>IF(A4&lt;='VALOR POR PL'!$P$5,'MODELO PARA BI'!H61,0)</f>
        <v/>
      </c>
      <c r="E4" s="37">
        <f>IF(A4&gt;'VALOR POR PL'!$P$5,'MODELO PARA BI'!H61,0)</f>
        <v/>
      </c>
      <c r="F4" s="36">
        <f>IF('MODELO PARA BI'!$E$61=0,0,(D4+E4)/'MODELO PARA BI'!$E$61)</f>
        <v/>
      </c>
      <c r="G4" s="36">
        <f>F4</f>
        <v/>
      </c>
      <c r="I4" s="12">
        <f>B4*'VALOR POR PL'!$G$50</f>
        <v/>
      </c>
      <c r="J4" s="17">
        <f>I4*IF(A4&lt;='VALOR POR PL'!$P$5,IFERROR(INDEX('"INCC-FGV"'!$B$2:$B$400,MATCH(A4,'"INCC-FGV"'!$A$2:$A$400,0)),'VALOR POR PL'!$P$7),'VALOR POR PL'!$P$7)</f>
        <v/>
      </c>
      <c r="K4" s="29">
        <f>'MODELO PARA BI'!H63</f>
        <v/>
      </c>
      <c r="L4" s="29">
        <f>'MODELO PARA BI'!H64</f>
        <v/>
      </c>
      <c r="M4" s="17">
        <f>J4</f>
        <v/>
      </c>
      <c r="O4" s="4" t="inlineStr">
        <is>
          <t>Email 18/08/26 -&gt; O fluxo fechou o ano em R$ 22.800 Mi</t>
        </is>
      </c>
    </row>
    <row r="5">
      <c r="A5" s="45">
        <f>'MODELO PARA BI'!I1</f>
        <v/>
      </c>
      <c r="B5" s="46" t="n"/>
      <c r="C5" s="36">
        <f>C4+B5</f>
        <v/>
      </c>
      <c r="D5" s="37">
        <f>IF(A5&lt;='VALOR POR PL'!$P$5,'MODELO PARA BI'!I61,0)</f>
        <v/>
      </c>
      <c r="E5" s="37">
        <f>IF(A5&gt;'VALOR POR PL'!$P$5,'MODELO PARA BI'!I61,0)</f>
        <v/>
      </c>
      <c r="F5" s="36">
        <f>IF('MODELO PARA BI'!$E$61=0,0,(D5+E5)/'MODELO PARA BI'!$E$61)</f>
        <v/>
      </c>
      <c r="G5" s="36">
        <f>G4+F5</f>
        <v/>
      </c>
      <c r="I5" s="12">
        <f>B5*'VALOR POR PL'!$G$50</f>
        <v/>
      </c>
      <c r="J5" s="17">
        <f>I5*IF(A5&lt;='VALOR POR PL'!$P$5,IFERROR(INDEX('"INCC-FGV"'!$B$2:$B$400,MATCH(A5,'"INCC-FGV"'!$A$2:$A$400,0)),'VALOR POR PL'!$P$7),'VALOR POR PL'!$P$7)</f>
        <v/>
      </c>
      <c r="K5" s="29">
        <f>'MODELO PARA BI'!I63</f>
        <v/>
      </c>
      <c r="L5" s="29">
        <f>'MODELO PARA BI'!I64</f>
        <v/>
      </c>
      <c r="M5" s="17">
        <f>M4+J5</f>
        <v/>
      </c>
      <c r="O5" s="4" t="inlineStr">
        <is>
          <t>Meta do ano (no BI está somando com a permuta de dez/25)</t>
        </is>
      </c>
    </row>
    <row r="6">
      <c r="A6" s="45">
        <f>'MODELO PARA BI'!J1</f>
        <v/>
      </c>
      <c r="B6" s="46" t="n"/>
      <c r="C6" s="36">
        <f>C5+B6</f>
        <v/>
      </c>
      <c r="D6" s="37">
        <f>IF(A6&lt;='VALOR POR PL'!$P$5,'MODELO PARA BI'!J61,0)</f>
        <v/>
      </c>
      <c r="E6" s="37">
        <f>IF(A6&gt;'VALOR POR PL'!$P$5,'MODELO PARA BI'!J61,0)</f>
        <v/>
      </c>
      <c r="F6" s="36">
        <f>IF('MODELO PARA BI'!$E$61=0,0,(D6+E6)/'MODELO PARA BI'!$E$61)</f>
        <v/>
      </c>
      <c r="G6" s="36">
        <f>G5+F6</f>
        <v/>
      </c>
      <c r="I6" s="12">
        <f>B6*'VALOR POR PL'!$G$50</f>
        <v/>
      </c>
      <c r="J6" s="17">
        <f>I6*IF(A6&lt;='VALOR POR PL'!$P$5,IFERROR(INDEX('"INCC-FGV"'!$B$2:$B$400,MATCH(A6,'"INCC-FGV"'!$A$2:$A$400,0)),'VALOR POR PL'!$P$7),'VALOR POR PL'!$P$7)</f>
        <v/>
      </c>
      <c r="K6" s="29">
        <f>'MODELO PARA BI'!J63</f>
        <v/>
      </c>
      <c r="L6" s="29">
        <f>'MODELO PARA BI'!J64</f>
        <v/>
      </c>
      <c r="M6" s="17">
        <f>M5+J6</f>
        <v/>
      </c>
      <c r="O6" s="4" t="inlineStr">
        <is>
          <t>Meta do ano = 27.300 Mi + 0.300 permuta</t>
        </is>
      </c>
    </row>
    <row r="7">
      <c r="A7" s="45">
        <f>'MODELO PARA BI'!K1</f>
        <v/>
      </c>
      <c r="B7" s="46" t="n"/>
      <c r="C7" s="36">
        <f>C6+B7</f>
        <v/>
      </c>
      <c r="D7" s="37">
        <f>IF(A7&lt;='VALOR POR PL'!$P$5,'MODELO PARA BI'!K61,0)</f>
        <v/>
      </c>
      <c r="E7" s="37">
        <f>IF(A7&gt;'VALOR POR PL'!$P$5,'MODELO PARA BI'!K61,0)</f>
        <v/>
      </c>
      <c r="F7" s="36">
        <f>IF('MODELO PARA BI'!$E$61=0,0,(D7+E7)/'MODELO PARA BI'!$E$61)</f>
        <v/>
      </c>
      <c r="G7" s="36">
        <f>G6+F7</f>
        <v/>
      </c>
      <c r="I7" s="12">
        <f>B7*'VALOR POR PL'!$G$50</f>
        <v/>
      </c>
      <c r="J7" s="17">
        <f>I7*IF(A7&lt;='VALOR POR PL'!$P$5,IFERROR(INDEX('"INCC-FGV"'!$B$2:$B$400,MATCH(A7,'"INCC-FGV"'!$A$2:$A$400,0)),'VALOR POR PL'!$P$7),'VALOR POR PL'!$P$7)</f>
        <v/>
      </c>
      <c r="K7" s="29">
        <f>'MODELO PARA BI'!K63</f>
        <v/>
      </c>
      <c r="L7" s="29">
        <f>'MODELO PARA BI'!K64</f>
        <v/>
      </c>
      <c r="M7" s="17">
        <f>M6+J7</f>
        <v/>
      </c>
      <c r="O7" s="4" t="inlineStr">
        <is>
          <t>Meta corrigida em Mar/2026 --&gt; R$ 23.700 Mi</t>
        </is>
      </c>
    </row>
    <row r="8">
      <c r="A8" s="45">
        <f>'MODELO PARA BI'!L1</f>
        <v/>
      </c>
      <c r="B8" s="46" t="n"/>
      <c r="C8" s="36">
        <f>C7+B8</f>
        <v/>
      </c>
      <c r="D8" s="37">
        <f>IF(A8&lt;='VALOR POR PL'!$P$5,'MODELO PARA BI'!L61,0)</f>
        <v/>
      </c>
      <c r="E8" s="37">
        <f>IF(A8&gt;'VALOR POR PL'!$P$5,'MODELO PARA BI'!L61,0)</f>
        <v/>
      </c>
      <c r="F8" s="36">
        <f>IF('MODELO PARA BI'!$E$61=0,0,(D8+E8)/'MODELO PARA BI'!$E$61)</f>
        <v/>
      </c>
      <c r="G8" s="36">
        <f>G7+F8</f>
        <v/>
      </c>
      <c r="I8" s="12">
        <f>B8*'VALOR POR PL'!$G$50</f>
        <v/>
      </c>
      <c r="J8" s="17">
        <f>I8*IF(A8&lt;='VALOR POR PL'!$P$5,IFERROR(INDEX('"INCC-FGV"'!$B$2:$B$400,MATCH(A8,'"INCC-FGV"'!$A$2:$A$400,0)),'VALOR POR PL'!$P$7),'VALOR POR PL'!$P$7)</f>
        <v/>
      </c>
      <c r="K8" s="29">
        <f>'MODELO PARA BI'!L63</f>
        <v/>
      </c>
      <c r="L8" s="29">
        <f>'MODELO PARA BI'!L64</f>
        <v/>
      </c>
      <c r="M8" s="17">
        <f>M7+J8</f>
        <v/>
      </c>
    </row>
    <row r="9">
      <c r="A9" s="45">
        <f>'MODELO PARA BI'!M1</f>
        <v/>
      </c>
      <c r="B9" s="46" t="n"/>
      <c r="C9" s="36">
        <f>C8+B9</f>
        <v/>
      </c>
      <c r="D9" s="37">
        <f>IF(A9&lt;='VALOR POR PL'!$P$5,'MODELO PARA BI'!M61,0)</f>
        <v/>
      </c>
      <c r="E9" s="37">
        <f>IF(A9&gt;'VALOR POR PL'!$P$5,'MODELO PARA BI'!M61,0)</f>
        <v/>
      </c>
      <c r="F9" s="36">
        <f>IF('MODELO PARA BI'!$E$61=0,0,(D9+E9)/'MODELO PARA BI'!$E$61)</f>
        <v/>
      </c>
      <c r="G9" s="36">
        <f>G8+F9</f>
        <v/>
      </c>
      <c r="I9" s="12">
        <f>B9*'VALOR POR PL'!$G$50</f>
        <v/>
      </c>
      <c r="J9" s="17">
        <f>I9*IF(A9&lt;='VALOR POR PL'!$P$5,IFERROR(INDEX('"INCC-FGV"'!$B$2:$B$400,MATCH(A9,'"INCC-FGV"'!$A$2:$A$400,0)),'VALOR POR PL'!$P$7),'VALOR POR PL'!$P$7)</f>
        <v/>
      </c>
      <c r="K9" s="29">
        <f>'MODELO PARA BI'!M63</f>
        <v/>
      </c>
      <c r="L9" s="29">
        <f>'MODELO PARA BI'!M64</f>
        <v/>
      </c>
      <c r="M9" s="17">
        <f>M8+J9</f>
        <v/>
      </c>
    </row>
    <row r="10">
      <c r="A10" s="45">
        <f>'MODELO PARA BI'!N1</f>
        <v/>
      </c>
      <c r="B10" s="46" t="n"/>
      <c r="C10" s="36">
        <f>C9+B10</f>
        <v/>
      </c>
      <c r="D10" s="37">
        <f>IF(A10&lt;='VALOR POR PL'!$P$5,'MODELO PARA BI'!N61,0)</f>
        <v/>
      </c>
      <c r="E10" s="37">
        <f>IF(A10&gt;'VALOR POR PL'!$P$5,'MODELO PARA BI'!N61,0)</f>
        <v/>
      </c>
      <c r="F10" s="36">
        <f>IF('MODELO PARA BI'!$E$61=0,0,(D10+E10)/'MODELO PARA BI'!$E$61)</f>
        <v/>
      </c>
      <c r="G10" s="36">
        <f>G9+F10</f>
        <v/>
      </c>
      <c r="I10" s="12">
        <f>B10*'VALOR POR PL'!$G$50</f>
        <v/>
      </c>
      <c r="J10" s="17">
        <f>I10*IF(A10&lt;='VALOR POR PL'!$P$5,IFERROR(INDEX('"INCC-FGV"'!$B$2:$B$400,MATCH(A10,'"INCC-FGV"'!$A$2:$A$400,0)),'VALOR POR PL'!$P$7),'VALOR POR PL'!$P$7)</f>
        <v/>
      </c>
      <c r="K10" s="29">
        <f>'MODELO PARA BI'!N63</f>
        <v/>
      </c>
      <c r="L10" s="29">
        <f>'MODELO PARA BI'!N64</f>
        <v/>
      </c>
      <c r="M10" s="17">
        <f>M9+J10</f>
        <v/>
      </c>
    </row>
    <row r="11">
      <c r="A11" s="45">
        <f>'MODELO PARA BI'!O1</f>
        <v/>
      </c>
      <c r="B11" s="46" t="n"/>
      <c r="C11" s="36">
        <f>C10+B11</f>
        <v/>
      </c>
      <c r="D11" s="37">
        <f>IF(A11&lt;='VALOR POR PL'!$P$5,'MODELO PARA BI'!O61,0)</f>
        <v/>
      </c>
      <c r="E11" s="37">
        <f>IF(A11&gt;'VALOR POR PL'!$P$5,'MODELO PARA BI'!O61,0)</f>
        <v/>
      </c>
      <c r="F11" s="36">
        <f>IF('MODELO PARA BI'!$E$61=0,0,(D11+E11)/'MODELO PARA BI'!$E$61)</f>
        <v/>
      </c>
      <c r="G11" s="36">
        <f>G10+F11</f>
        <v/>
      </c>
      <c r="I11" s="12">
        <f>B11*'VALOR POR PL'!$G$50</f>
        <v/>
      </c>
      <c r="J11" s="17">
        <f>I11*IF(A11&lt;='VALOR POR PL'!$P$5,IFERROR(INDEX('"INCC-FGV"'!$B$2:$B$400,MATCH(A11,'"INCC-FGV"'!$A$2:$A$400,0)),'VALOR POR PL'!$P$7),'VALOR POR PL'!$P$7)</f>
        <v/>
      </c>
      <c r="K11" s="29">
        <f>'MODELO PARA BI'!O63</f>
        <v/>
      </c>
      <c r="L11" s="29">
        <f>'MODELO PARA BI'!O64</f>
        <v/>
      </c>
      <c r="M11" s="17">
        <f>M10+J11</f>
        <v/>
      </c>
    </row>
    <row r="12">
      <c r="A12" s="45">
        <f>'MODELO PARA BI'!P1</f>
        <v/>
      </c>
      <c r="B12" s="46" t="n"/>
      <c r="C12" s="36">
        <f>C11+B12</f>
        <v/>
      </c>
      <c r="D12" s="37">
        <f>IF(A12&lt;='VALOR POR PL'!$P$5,'MODELO PARA BI'!P61,0)</f>
        <v/>
      </c>
      <c r="E12" s="37">
        <f>IF(A12&gt;'VALOR POR PL'!$P$5,'MODELO PARA BI'!P61,0)</f>
        <v/>
      </c>
      <c r="F12" s="36">
        <f>IF('MODELO PARA BI'!$E$61=0,0,(D12+E12)/'MODELO PARA BI'!$E$61)</f>
        <v/>
      </c>
      <c r="G12" s="36">
        <f>G11+F12</f>
        <v/>
      </c>
      <c r="I12" s="12">
        <f>B12*'VALOR POR PL'!$G$50</f>
        <v/>
      </c>
      <c r="J12" s="17">
        <f>I12*IF(A12&lt;='VALOR POR PL'!$P$5,IFERROR(INDEX('"INCC-FGV"'!$B$2:$B$400,MATCH(A12,'"INCC-FGV"'!$A$2:$A$400,0)),'VALOR POR PL'!$P$7),'VALOR POR PL'!$P$7)</f>
        <v/>
      </c>
      <c r="K12" s="29">
        <f>'MODELO PARA BI'!P63</f>
        <v/>
      </c>
      <c r="L12" s="29">
        <f>'MODELO PARA BI'!P64</f>
        <v/>
      </c>
      <c r="M12" s="17">
        <f>M11+J12</f>
        <v/>
      </c>
    </row>
    <row r="13">
      <c r="A13" s="45">
        <f>'MODELO PARA BI'!Q1</f>
        <v/>
      </c>
      <c r="B13" s="46" t="n"/>
      <c r="C13" s="36">
        <f>C12+B13</f>
        <v/>
      </c>
      <c r="D13" s="37">
        <f>IF(A13&lt;='VALOR POR PL'!$P$5,'MODELO PARA BI'!Q61,0)</f>
        <v/>
      </c>
      <c r="E13" s="37">
        <f>IF(A13&gt;'VALOR POR PL'!$P$5,'MODELO PARA BI'!Q61,0)</f>
        <v/>
      </c>
      <c r="F13" s="36">
        <f>IF('MODELO PARA BI'!$E$61=0,0,(D13+E13)/'MODELO PARA BI'!$E$61)</f>
        <v/>
      </c>
      <c r="G13" s="36">
        <f>G12+F13</f>
        <v/>
      </c>
      <c r="I13" s="12">
        <f>B13*'VALOR POR PL'!$G$50</f>
        <v/>
      </c>
      <c r="J13" s="17">
        <f>I13*IF(A13&lt;='VALOR POR PL'!$P$5,IFERROR(INDEX('"INCC-FGV"'!$B$2:$B$400,MATCH(A13,'"INCC-FGV"'!$A$2:$A$400,0)),'VALOR POR PL'!$P$7),'VALOR POR PL'!$P$7)</f>
        <v/>
      </c>
      <c r="K13" s="29">
        <f>'MODELO PARA BI'!Q63</f>
        <v/>
      </c>
      <c r="L13" s="29">
        <f>'MODELO PARA BI'!Q64</f>
        <v/>
      </c>
      <c r="M13" s="17">
        <f>M12+J13</f>
        <v/>
      </c>
    </row>
    <row r="14">
      <c r="A14" s="45">
        <f>'MODELO PARA BI'!R1</f>
        <v/>
      </c>
      <c r="B14" s="46" t="n"/>
      <c r="C14" s="36">
        <f>C13+B14</f>
        <v/>
      </c>
      <c r="D14" s="37">
        <f>IF(A14&lt;='VALOR POR PL'!$P$5,'MODELO PARA BI'!R61,0)</f>
        <v/>
      </c>
      <c r="E14" s="37">
        <f>IF(A14&gt;'VALOR POR PL'!$P$5,'MODELO PARA BI'!R61,0)</f>
        <v/>
      </c>
      <c r="F14" s="36">
        <f>IF('MODELO PARA BI'!$E$61=0,0,(D14+E14)/'MODELO PARA BI'!$E$61)</f>
        <v/>
      </c>
      <c r="G14" s="36">
        <f>G13+F14</f>
        <v/>
      </c>
      <c r="I14" s="12">
        <f>B14*'VALOR POR PL'!$G$50</f>
        <v/>
      </c>
      <c r="J14" s="17">
        <f>I14*IF(A14&lt;='VALOR POR PL'!$P$5,IFERROR(INDEX('"INCC-FGV"'!$B$2:$B$400,MATCH(A14,'"INCC-FGV"'!$A$2:$A$400,0)),'VALOR POR PL'!$P$7),'VALOR POR PL'!$P$7)</f>
        <v/>
      </c>
      <c r="K14" s="29">
        <f>'MODELO PARA BI'!R63</f>
        <v/>
      </c>
      <c r="L14" s="29">
        <f>'MODELO PARA BI'!R64</f>
        <v/>
      </c>
      <c r="M14" s="17">
        <f>M13+J14</f>
        <v/>
      </c>
    </row>
    <row r="15">
      <c r="A15" s="45">
        <f>'MODELO PARA BI'!S1</f>
        <v/>
      </c>
      <c r="B15" s="46" t="n"/>
      <c r="C15" s="36">
        <f>C14+B15</f>
        <v/>
      </c>
      <c r="D15" s="37">
        <f>IF(A15&lt;='VALOR POR PL'!$P$5,'MODELO PARA BI'!S61,0)</f>
        <v/>
      </c>
      <c r="E15" s="37">
        <f>IF(A15&gt;'VALOR POR PL'!$P$5,'MODELO PARA BI'!S61,0)</f>
        <v/>
      </c>
      <c r="F15" s="36">
        <f>IF('MODELO PARA BI'!$E$61=0,0,(D15+E15)/'MODELO PARA BI'!$E$61)</f>
        <v/>
      </c>
      <c r="G15" s="36">
        <f>G14+F15</f>
        <v/>
      </c>
      <c r="I15" s="12">
        <f>B15*'VALOR POR PL'!$G$50</f>
        <v/>
      </c>
      <c r="J15" s="17">
        <f>I15*IF(A15&lt;='VALOR POR PL'!$P$5,IFERROR(INDEX('"INCC-FGV"'!$B$2:$B$400,MATCH(A15,'"INCC-FGV"'!$A$2:$A$400,0)),'VALOR POR PL'!$P$7),'VALOR POR PL'!$P$7)</f>
        <v/>
      </c>
      <c r="K15" s="29">
        <f>'MODELO PARA BI'!S63</f>
        <v/>
      </c>
      <c r="L15" s="29">
        <f>'MODELO PARA BI'!S64</f>
        <v/>
      </c>
      <c r="M15" s="17">
        <f>M14+J15</f>
        <v/>
      </c>
    </row>
    <row r="16">
      <c r="A16" s="45">
        <f>'MODELO PARA BI'!T1</f>
        <v/>
      </c>
      <c r="B16" s="46" t="n"/>
      <c r="C16" s="36">
        <f>C15+B16</f>
        <v/>
      </c>
      <c r="D16" s="37">
        <f>IF(A16&lt;='VALOR POR PL'!$P$5,'MODELO PARA BI'!T61,0)</f>
        <v/>
      </c>
      <c r="E16" s="37">
        <f>IF(A16&gt;'VALOR POR PL'!$P$5,'MODELO PARA BI'!T61,0)</f>
        <v/>
      </c>
      <c r="F16" s="36">
        <f>IF('MODELO PARA BI'!$E$61=0,0,(D16+E16)/'MODELO PARA BI'!$E$61)</f>
        <v/>
      </c>
      <c r="G16" s="36">
        <f>G15+F16</f>
        <v/>
      </c>
      <c r="I16" s="12">
        <f>B16*'VALOR POR PL'!$G$50</f>
        <v/>
      </c>
      <c r="J16" s="17">
        <f>I16*IF(A16&lt;='VALOR POR PL'!$P$5,IFERROR(INDEX('"INCC-FGV"'!$B$2:$B$400,MATCH(A16,'"INCC-FGV"'!$A$2:$A$400,0)),'VALOR POR PL'!$P$7),'VALOR POR PL'!$P$7)</f>
        <v/>
      </c>
      <c r="K16" s="29">
        <f>'MODELO PARA BI'!T63</f>
        <v/>
      </c>
      <c r="L16" s="29">
        <f>'MODELO PARA BI'!T64</f>
        <v/>
      </c>
      <c r="M16" s="17">
        <f>M15+J16</f>
        <v/>
      </c>
    </row>
    <row r="17">
      <c r="A17" s="45">
        <f>'MODELO PARA BI'!U1</f>
        <v/>
      </c>
      <c r="B17" s="46" t="n"/>
      <c r="C17" s="36">
        <f>C16+B17</f>
        <v/>
      </c>
      <c r="D17" s="37">
        <f>IF(A17&lt;='VALOR POR PL'!$P$5,'MODELO PARA BI'!U61,0)</f>
        <v/>
      </c>
      <c r="E17" s="37">
        <f>IF(A17&gt;'VALOR POR PL'!$P$5,'MODELO PARA BI'!U61,0)</f>
        <v/>
      </c>
      <c r="F17" s="36">
        <f>IF('MODELO PARA BI'!$E$61=0,0,(D17+E17)/'MODELO PARA BI'!$E$61)</f>
        <v/>
      </c>
      <c r="G17" s="36">
        <f>G16+F17</f>
        <v/>
      </c>
      <c r="I17" s="12">
        <f>B17*'VALOR POR PL'!$G$50</f>
        <v/>
      </c>
      <c r="J17" s="17">
        <f>I17*IF(A17&lt;='VALOR POR PL'!$P$5,IFERROR(INDEX('"INCC-FGV"'!$B$2:$B$400,MATCH(A17,'"INCC-FGV"'!$A$2:$A$400,0)),'VALOR POR PL'!$P$7),'VALOR POR PL'!$P$7)</f>
        <v/>
      </c>
      <c r="K17" s="29">
        <f>'MODELO PARA BI'!U63</f>
        <v/>
      </c>
      <c r="L17" s="29">
        <f>'MODELO PARA BI'!U64</f>
        <v/>
      </c>
      <c r="M17" s="17">
        <f>M16+J17</f>
        <v/>
      </c>
    </row>
    <row r="18">
      <c r="A18" s="45">
        <f>'MODELO PARA BI'!V1</f>
        <v/>
      </c>
      <c r="B18" s="46" t="n"/>
      <c r="C18" s="36">
        <f>C17+B18</f>
        <v/>
      </c>
      <c r="D18" s="37">
        <f>IF(A18&lt;='VALOR POR PL'!$P$5,'MODELO PARA BI'!V61,0)</f>
        <v/>
      </c>
      <c r="E18" s="37">
        <f>IF(A18&gt;'VALOR POR PL'!$P$5,'MODELO PARA BI'!V61,0)</f>
        <v/>
      </c>
      <c r="F18" s="36">
        <f>IF('MODELO PARA BI'!$E$61=0,0,(D18+E18)/'MODELO PARA BI'!$E$61)</f>
        <v/>
      </c>
      <c r="G18" s="36">
        <f>G17+F18</f>
        <v/>
      </c>
      <c r="I18" s="12">
        <f>B18*'VALOR POR PL'!$G$50</f>
        <v/>
      </c>
      <c r="J18" s="17">
        <f>I18*IF(A18&lt;='VALOR POR PL'!$P$5,IFERROR(INDEX('"INCC-FGV"'!$B$2:$B$400,MATCH(A18,'"INCC-FGV"'!$A$2:$A$400,0)),'VALOR POR PL'!$P$7),'VALOR POR PL'!$P$7)</f>
        <v/>
      </c>
      <c r="K18" s="29">
        <f>'MODELO PARA BI'!V63</f>
        <v/>
      </c>
      <c r="L18" s="29">
        <f>'MODELO PARA BI'!V64</f>
        <v/>
      </c>
      <c r="M18" s="17">
        <f>M17+J18</f>
        <v/>
      </c>
    </row>
    <row r="19">
      <c r="A19" s="45">
        <f>'MODELO PARA BI'!W1</f>
        <v/>
      </c>
      <c r="B19" s="46" t="n"/>
      <c r="C19" s="36">
        <f>C18+B19</f>
        <v/>
      </c>
      <c r="D19" s="37">
        <f>IF(A19&lt;='VALOR POR PL'!$P$5,'MODELO PARA BI'!W61,0)</f>
        <v/>
      </c>
      <c r="E19" s="37">
        <f>IF(A19&gt;'VALOR POR PL'!$P$5,'MODELO PARA BI'!W61,0)</f>
        <v/>
      </c>
      <c r="F19" s="36">
        <f>IF('MODELO PARA BI'!$E$61=0,0,(D19+E19)/'MODELO PARA BI'!$E$61)</f>
        <v/>
      </c>
      <c r="G19" s="36">
        <f>G18+F19</f>
        <v/>
      </c>
      <c r="I19" s="12">
        <f>B19*'VALOR POR PL'!$G$50</f>
        <v/>
      </c>
      <c r="J19" s="17">
        <f>I19*IF(A19&lt;='VALOR POR PL'!$P$5,IFERROR(INDEX('"INCC-FGV"'!$B$2:$B$400,MATCH(A19,'"INCC-FGV"'!$A$2:$A$400,0)),'VALOR POR PL'!$P$7),'VALOR POR PL'!$P$7)</f>
        <v/>
      </c>
      <c r="K19" s="29">
        <f>'MODELO PARA BI'!W63</f>
        <v/>
      </c>
      <c r="L19" s="29">
        <f>'MODELO PARA BI'!W64</f>
        <v/>
      </c>
      <c r="M19" s="17">
        <f>M18+J19</f>
        <v/>
      </c>
    </row>
    <row r="20">
      <c r="A20" s="45">
        <f>'MODELO PARA BI'!X1</f>
        <v/>
      </c>
      <c r="B20" s="46" t="n"/>
      <c r="C20" s="36">
        <f>C19+B20</f>
        <v/>
      </c>
      <c r="D20" s="37">
        <f>IF(A20&lt;='VALOR POR PL'!$P$5,'MODELO PARA BI'!X61,0)</f>
        <v/>
      </c>
      <c r="E20" s="37">
        <f>IF(A20&gt;'VALOR POR PL'!$P$5,'MODELO PARA BI'!X61,0)</f>
        <v/>
      </c>
      <c r="F20" s="36">
        <f>IF('MODELO PARA BI'!$E$61=0,0,(D20+E20)/'MODELO PARA BI'!$E$61)</f>
        <v/>
      </c>
      <c r="G20" s="36">
        <f>G19+F20</f>
        <v/>
      </c>
      <c r="I20" s="12">
        <f>B20*'VALOR POR PL'!$G$50</f>
        <v/>
      </c>
      <c r="J20" s="17">
        <f>I20*IF(A20&lt;='VALOR POR PL'!$P$5,IFERROR(INDEX('"INCC-FGV"'!$B$2:$B$400,MATCH(A20,'"INCC-FGV"'!$A$2:$A$400,0)),'VALOR POR PL'!$P$7),'VALOR POR PL'!$P$7)</f>
        <v/>
      </c>
      <c r="K20" s="29">
        <f>'MODELO PARA BI'!X63</f>
        <v/>
      </c>
      <c r="L20" s="29">
        <f>'MODELO PARA BI'!X64</f>
        <v/>
      </c>
      <c r="M20" s="17">
        <f>M19+J20</f>
        <v/>
      </c>
    </row>
    <row r="21">
      <c r="A21" s="45">
        <f>'MODELO PARA BI'!Y1</f>
        <v/>
      </c>
      <c r="B21" s="46" t="n"/>
      <c r="C21" s="36">
        <f>C20+B21</f>
        <v/>
      </c>
      <c r="D21" s="37">
        <f>IF(A21&lt;='VALOR POR PL'!$P$5,'MODELO PARA BI'!Y61,0)</f>
        <v/>
      </c>
      <c r="E21" s="37">
        <f>IF(A21&gt;'VALOR POR PL'!$P$5,'MODELO PARA BI'!Y61,0)</f>
        <v/>
      </c>
      <c r="F21" s="36">
        <f>IF('MODELO PARA BI'!$E$61=0,0,(D21+E21)/'MODELO PARA BI'!$E$61)</f>
        <v/>
      </c>
      <c r="G21" s="36">
        <f>G20+F21</f>
        <v/>
      </c>
      <c r="I21" s="12">
        <f>B21*'VALOR POR PL'!$G$50</f>
        <v/>
      </c>
      <c r="J21" s="17">
        <f>I21*IF(A21&lt;='VALOR POR PL'!$P$5,IFERROR(INDEX('"INCC-FGV"'!$B$2:$B$400,MATCH(A21,'"INCC-FGV"'!$A$2:$A$400,0)),'VALOR POR PL'!$P$7),'VALOR POR PL'!$P$7)</f>
        <v/>
      </c>
      <c r="K21" s="29">
        <f>'MODELO PARA BI'!Y63</f>
        <v/>
      </c>
      <c r="L21" s="29">
        <f>'MODELO PARA BI'!Y64</f>
        <v/>
      </c>
      <c r="M21" s="17">
        <f>M20+J21</f>
        <v/>
      </c>
    </row>
    <row r="22">
      <c r="A22" s="45">
        <f>'MODELO PARA BI'!Z1</f>
        <v/>
      </c>
      <c r="B22" s="46" t="n"/>
      <c r="C22" s="36">
        <f>C21+B22</f>
        <v/>
      </c>
      <c r="D22" s="37">
        <f>IF(A22&lt;='VALOR POR PL'!$P$5,'MODELO PARA BI'!Z61,0)</f>
        <v/>
      </c>
      <c r="E22" s="37">
        <f>IF(A22&gt;'VALOR POR PL'!$P$5,'MODELO PARA BI'!Z61,0)</f>
        <v/>
      </c>
      <c r="F22" s="36">
        <f>IF('MODELO PARA BI'!$E$61=0,0,(D22+E22)/'MODELO PARA BI'!$E$61)</f>
        <v/>
      </c>
      <c r="G22" s="36">
        <f>G21+F22</f>
        <v/>
      </c>
      <c r="I22" s="12">
        <f>B22*'VALOR POR PL'!$G$50</f>
        <v/>
      </c>
      <c r="J22" s="17">
        <f>I22*IF(A22&lt;='VALOR POR PL'!$P$5,IFERROR(INDEX('"INCC-FGV"'!$B$2:$B$400,MATCH(A22,'"INCC-FGV"'!$A$2:$A$400,0)),'VALOR POR PL'!$P$7),'VALOR POR PL'!$P$7)</f>
        <v/>
      </c>
      <c r="K22" s="29">
        <f>'MODELO PARA BI'!Z63</f>
        <v/>
      </c>
      <c r="L22" s="29">
        <f>'MODELO PARA BI'!Z64</f>
        <v/>
      </c>
      <c r="M22" s="17">
        <f>M21+J22</f>
        <v/>
      </c>
    </row>
    <row r="23">
      <c r="A23" s="45">
        <f>'MODELO PARA BI'!AA1</f>
        <v/>
      </c>
      <c r="B23" s="46" t="n"/>
      <c r="C23" s="36">
        <f>C22+B23</f>
        <v/>
      </c>
      <c r="D23" s="37">
        <f>IF(A23&lt;='VALOR POR PL'!$P$5,'MODELO PARA BI'!AA61,0)</f>
        <v/>
      </c>
      <c r="E23" s="37">
        <f>IF(A23&gt;'VALOR POR PL'!$P$5,'MODELO PARA BI'!AA61,0)</f>
        <v/>
      </c>
      <c r="F23" s="36">
        <f>IF('MODELO PARA BI'!$E$61=0,0,(D23+E23)/'MODELO PARA BI'!$E$61)</f>
        <v/>
      </c>
      <c r="G23" s="36">
        <f>G22+F23</f>
        <v/>
      </c>
      <c r="I23" s="12">
        <f>B23*'VALOR POR PL'!$G$50</f>
        <v/>
      </c>
      <c r="J23" s="17">
        <f>I23*IF(A23&lt;='VALOR POR PL'!$P$5,IFERROR(INDEX('"INCC-FGV"'!$B$2:$B$400,MATCH(A23,'"INCC-FGV"'!$A$2:$A$400,0)),'VALOR POR PL'!$P$7),'VALOR POR PL'!$P$7)</f>
        <v/>
      </c>
      <c r="K23" s="29">
        <f>'MODELO PARA BI'!AA63</f>
        <v/>
      </c>
      <c r="L23" s="29">
        <f>'MODELO PARA BI'!AA64</f>
        <v/>
      </c>
      <c r="M23" s="17">
        <f>M22+J23</f>
        <v/>
      </c>
    </row>
    <row r="24">
      <c r="A24" s="45">
        <f>'MODELO PARA BI'!AB1</f>
        <v/>
      </c>
      <c r="B24" s="46" t="n"/>
      <c r="C24" s="36">
        <f>C23+B24</f>
        <v/>
      </c>
      <c r="D24" s="37">
        <f>IF(A24&lt;='VALOR POR PL'!$P$5,'MODELO PARA BI'!AB61,0)</f>
        <v/>
      </c>
      <c r="E24" s="37">
        <f>IF(A24&gt;'VALOR POR PL'!$P$5,'MODELO PARA BI'!AB61,0)</f>
        <v/>
      </c>
      <c r="F24" s="36">
        <f>IF('MODELO PARA BI'!$E$61=0,0,(D24+E24)/'MODELO PARA BI'!$E$61)</f>
        <v/>
      </c>
      <c r="G24" s="36">
        <f>G23+F24</f>
        <v/>
      </c>
      <c r="I24" s="12">
        <f>B24*'VALOR POR PL'!$G$50</f>
        <v/>
      </c>
      <c r="J24" s="17">
        <f>I24*IF(A24&lt;='VALOR POR PL'!$P$5,IFERROR(INDEX('"INCC-FGV"'!$B$2:$B$400,MATCH(A24,'"INCC-FGV"'!$A$2:$A$400,0)),'VALOR POR PL'!$P$7),'VALOR POR PL'!$P$7)</f>
        <v/>
      </c>
      <c r="K24" s="29">
        <f>'MODELO PARA BI'!AB63</f>
        <v/>
      </c>
      <c r="L24" s="29">
        <f>'MODELO PARA BI'!AB64</f>
        <v/>
      </c>
      <c r="M24" s="17">
        <f>M23+J24</f>
        <v/>
      </c>
    </row>
    <row r="25">
      <c r="A25" s="45">
        <f>'MODELO PARA BI'!AC1</f>
        <v/>
      </c>
      <c r="B25" s="46" t="n"/>
      <c r="C25" s="36">
        <f>C24+B25</f>
        <v/>
      </c>
      <c r="D25" s="37">
        <f>IF(A25&lt;='VALOR POR PL'!$P$5,'MODELO PARA BI'!AC61,0)</f>
        <v/>
      </c>
      <c r="E25" s="37">
        <f>IF(A25&gt;'VALOR POR PL'!$P$5,'MODELO PARA BI'!AC61,0)</f>
        <v/>
      </c>
      <c r="F25" s="36">
        <f>IF('MODELO PARA BI'!$E$61=0,0,(D25+E25)/'MODELO PARA BI'!$E$61)</f>
        <v/>
      </c>
      <c r="G25" s="36">
        <f>G24+F25</f>
        <v/>
      </c>
      <c r="I25" s="12">
        <f>B25*'VALOR POR PL'!$G$50</f>
        <v/>
      </c>
      <c r="J25" s="17">
        <f>I25*IF(A25&lt;='VALOR POR PL'!$P$5,IFERROR(INDEX('"INCC-FGV"'!$B$2:$B$400,MATCH(A25,'"INCC-FGV"'!$A$2:$A$400,0)),'VALOR POR PL'!$P$7),'VALOR POR PL'!$P$7)</f>
        <v/>
      </c>
      <c r="K25" s="29">
        <f>'MODELO PARA BI'!AC63</f>
        <v/>
      </c>
      <c r="L25" s="29">
        <f>'MODELO PARA BI'!AC64</f>
        <v/>
      </c>
      <c r="M25" s="17">
        <f>M24+J25</f>
        <v/>
      </c>
    </row>
    <row r="26">
      <c r="A26" s="45">
        <f>'MODELO PARA BI'!AD1</f>
        <v/>
      </c>
      <c r="B26" s="46" t="n"/>
      <c r="C26" s="36">
        <f>C25+B26</f>
        <v/>
      </c>
      <c r="D26" s="37">
        <f>IF(A26&lt;='VALOR POR PL'!$P$5,'MODELO PARA BI'!AD61,0)</f>
        <v/>
      </c>
      <c r="E26" s="37">
        <f>IF(A26&gt;'VALOR POR PL'!$P$5,'MODELO PARA BI'!AD61,0)</f>
        <v/>
      </c>
      <c r="F26" s="36">
        <f>IF('MODELO PARA BI'!$E$61=0,0,(D26+E26)/'MODELO PARA BI'!$E$61)</f>
        <v/>
      </c>
      <c r="G26" s="36">
        <f>G25+F26</f>
        <v/>
      </c>
      <c r="I26" s="12">
        <f>B26*'VALOR POR PL'!$G$50</f>
        <v/>
      </c>
      <c r="J26" s="17">
        <f>I26*IF(A26&lt;='VALOR POR PL'!$P$5,IFERROR(INDEX('"INCC-FGV"'!$B$2:$B$400,MATCH(A26,'"INCC-FGV"'!$A$2:$A$400,0)),'VALOR POR PL'!$P$7),'VALOR POR PL'!$P$7)</f>
        <v/>
      </c>
      <c r="K26" s="29">
        <f>'MODELO PARA BI'!AD63</f>
        <v/>
      </c>
      <c r="L26" s="29">
        <f>'MODELO PARA BI'!AD64</f>
        <v/>
      </c>
      <c r="M26" s="17">
        <f>M25+J26</f>
        <v/>
      </c>
    </row>
    <row r="27">
      <c r="A27" s="45">
        <f>'MODELO PARA BI'!AE1</f>
        <v/>
      </c>
      <c r="B27" s="46" t="n"/>
      <c r="C27" s="36">
        <f>C26+B27</f>
        <v/>
      </c>
      <c r="D27" s="37">
        <f>IF(A27&lt;='VALOR POR PL'!$P$5,'MODELO PARA BI'!AE61,0)</f>
        <v/>
      </c>
      <c r="E27" s="37">
        <f>IF(A27&gt;'VALOR POR PL'!$P$5,'MODELO PARA BI'!AE61,0)</f>
        <v/>
      </c>
      <c r="F27" s="36">
        <f>IF('MODELO PARA BI'!$E$61=0,0,(D27+E27)/'MODELO PARA BI'!$E$61)</f>
        <v/>
      </c>
      <c r="G27" s="36">
        <f>G26+F27</f>
        <v/>
      </c>
      <c r="I27" s="12">
        <f>B27*'VALOR POR PL'!$G$50</f>
        <v/>
      </c>
      <c r="J27" s="17">
        <f>I27*IF(A27&lt;='VALOR POR PL'!$P$5,IFERROR(INDEX('"INCC-FGV"'!$B$2:$B$400,MATCH(A27,'"INCC-FGV"'!$A$2:$A$400,0)),'VALOR POR PL'!$P$7),'VALOR POR PL'!$P$7)</f>
        <v/>
      </c>
      <c r="K27" s="29">
        <f>'MODELO PARA BI'!AE63</f>
        <v/>
      </c>
      <c r="L27" s="29">
        <f>'MODELO PARA BI'!AE64</f>
        <v/>
      </c>
      <c r="M27" s="17">
        <f>M26+J27</f>
        <v/>
      </c>
    </row>
    <row r="28">
      <c r="A28" s="45">
        <f>'MODELO PARA BI'!AF1</f>
        <v/>
      </c>
      <c r="B28" s="46" t="n"/>
      <c r="C28" s="36">
        <f>C27+B28</f>
        <v/>
      </c>
      <c r="D28" s="37">
        <f>IF(A28&lt;='VALOR POR PL'!$P$5,'MODELO PARA BI'!AF61,0)</f>
        <v/>
      </c>
      <c r="E28" s="37">
        <f>IF(A28&gt;'VALOR POR PL'!$P$5,'MODELO PARA BI'!AF61,0)</f>
        <v/>
      </c>
      <c r="F28" s="36">
        <f>IF('MODELO PARA BI'!$E$61=0,0,(D28+E28)/'MODELO PARA BI'!$E$61)</f>
        <v/>
      </c>
      <c r="G28" s="36">
        <f>G27+F28</f>
        <v/>
      </c>
      <c r="I28" s="12">
        <f>B28*'VALOR POR PL'!$G$50</f>
        <v/>
      </c>
      <c r="J28" s="17">
        <f>I28*IF(A28&lt;='VALOR POR PL'!$P$5,IFERROR(INDEX('"INCC-FGV"'!$B$2:$B$400,MATCH(A28,'"INCC-FGV"'!$A$2:$A$400,0)),'VALOR POR PL'!$P$7),'VALOR POR PL'!$P$7)</f>
        <v/>
      </c>
      <c r="K28" s="29">
        <f>'MODELO PARA BI'!AF63</f>
        <v/>
      </c>
      <c r="L28" s="29">
        <f>'MODELO PARA BI'!AF64</f>
        <v/>
      </c>
      <c r="M28" s="17">
        <f>M27+J28</f>
        <v/>
      </c>
    </row>
    <row r="29">
      <c r="A29" s="45">
        <f>'MODELO PARA BI'!AG1</f>
        <v/>
      </c>
      <c r="B29" s="46" t="n"/>
      <c r="C29" s="36">
        <f>C28+B29</f>
        <v/>
      </c>
      <c r="D29" s="37">
        <f>IF(A29&lt;='VALOR POR PL'!$P$5,'MODELO PARA BI'!AG61,0)</f>
        <v/>
      </c>
      <c r="E29" s="37">
        <f>IF(A29&gt;'VALOR POR PL'!$P$5,'MODELO PARA BI'!AG61,0)</f>
        <v/>
      </c>
      <c r="F29" s="36">
        <f>IF('MODELO PARA BI'!$E$61=0,0,(D29+E29)/'MODELO PARA BI'!$E$61)</f>
        <v/>
      </c>
      <c r="G29" s="36">
        <f>G28+F29</f>
        <v/>
      </c>
      <c r="I29" s="12">
        <f>B29*'VALOR POR PL'!$G$50</f>
        <v/>
      </c>
      <c r="J29" s="17">
        <f>I29*IF(A29&lt;='VALOR POR PL'!$P$5,IFERROR(INDEX('"INCC-FGV"'!$B$2:$B$400,MATCH(A29,'"INCC-FGV"'!$A$2:$A$400,0)),'VALOR POR PL'!$P$7),'VALOR POR PL'!$P$7)</f>
        <v/>
      </c>
      <c r="K29" s="29">
        <f>'MODELO PARA BI'!AG63</f>
        <v/>
      </c>
      <c r="L29" s="29">
        <f>'MODELO PARA BI'!AG64</f>
        <v/>
      </c>
      <c r="M29" s="17">
        <f>M28+J29</f>
        <v/>
      </c>
    </row>
    <row r="30">
      <c r="A30" s="45">
        <f>'MODELO PARA BI'!AH1</f>
        <v/>
      </c>
      <c r="B30" s="46" t="n"/>
      <c r="C30" s="36">
        <f>C29+B30</f>
        <v/>
      </c>
      <c r="D30" s="37">
        <f>IF(A30&lt;='VALOR POR PL'!$P$5,'MODELO PARA BI'!AH61,0)</f>
        <v/>
      </c>
      <c r="E30" s="37">
        <f>IF(A30&gt;'VALOR POR PL'!$P$5,'MODELO PARA BI'!AH61,0)</f>
        <v/>
      </c>
      <c r="F30" s="36">
        <f>IF('MODELO PARA BI'!$E$61=0,0,(D30+E30)/'MODELO PARA BI'!$E$61)</f>
        <v/>
      </c>
      <c r="G30" s="36">
        <f>G29+F30</f>
        <v/>
      </c>
      <c r="I30" s="12">
        <f>B30*'VALOR POR PL'!$G$50</f>
        <v/>
      </c>
      <c r="J30" s="17">
        <f>I30*IF(A30&lt;='VALOR POR PL'!$P$5,IFERROR(INDEX('"INCC-FGV"'!$B$2:$B$400,MATCH(A30,'"INCC-FGV"'!$A$2:$A$400,0)),'VALOR POR PL'!$P$7),'VALOR POR PL'!$P$7)</f>
        <v/>
      </c>
      <c r="K30" s="29">
        <f>'MODELO PARA BI'!AH63</f>
        <v/>
      </c>
      <c r="L30" s="29">
        <f>'MODELO PARA BI'!AH64</f>
        <v/>
      </c>
      <c r="M30" s="17">
        <f>M29+J30</f>
        <v/>
      </c>
    </row>
    <row r="31">
      <c r="A31" s="45">
        <f>'MODELO PARA BI'!AI1</f>
        <v/>
      </c>
      <c r="B31" s="46" t="n"/>
      <c r="C31" s="36">
        <f>C30+B31</f>
        <v/>
      </c>
      <c r="D31" s="37">
        <f>IF(A31&lt;='VALOR POR PL'!$P$5,'MODELO PARA BI'!AI61,0)</f>
        <v/>
      </c>
      <c r="E31" s="37">
        <f>IF(A31&gt;'VALOR POR PL'!$P$5,'MODELO PARA BI'!AI61,0)</f>
        <v/>
      </c>
      <c r="F31" s="36">
        <f>IF('MODELO PARA BI'!$E$61=0,0,(D31+E31)/'MODELO PARA BI'!$E$61)</f>
        <v/>
      </c>
      <c r="G31" s="36">
        <f>G30+F31</f>
        <v/>
      </c>
      <c r="I31" s="12">
        <f>B31*'VALOR POR PL'!$G$50</f>
        <v/>
      </c>
      <c r="J31" s="17">
        <f>I31*IF(A31&lt;='VALOR POR PL'!$P$5,IFERROR(INDEX('"INCC-FGV"'!$B$2:$B$400,MATCH(A31,'"INCC-FGV"'!$A$2:$A$400,0)),'VALOR POR PL'!$P$7),'VALOR POR PL'!$P$7)</f>
        <v/>
      </c>
      <c r="K31" s="29">
        <f>'MODELO PARA BI'!AI63</f>
        <v/>
      </c>
      <c r="L31" s="29">
        <f>'MODELO PARA BI'!AI64</f>
        <v/>
      </c>
      <c r="M31" s="17">
        <f>M30+J31</f>
        <v/>
      </c>
    </row>
    <row r="32">
      <c r="A32" s="45">
        <f>'MODELO PARA BI'!AJ1</f>
        <v/>
      </c>
      <c r="B32" s="46" t="n"/>
      <c r="C32" s="36">
        <f>C31+B32</f>
        <v/>
      </c>
      <c r="D32" s="37">
        <f>IF(A32&lt;='VALOR POR PL'!$P$5,'MODELO PARA BI'!AJ61,0)</f>
        <v/>
      </c>
      <c r="E32" s="37">
        <f>IF(A32&gt;'VALOR POR PL'!$P$5,'MODELO PARA BI'!AJ61,0)</f>
        <v/>
      </c>
      <c r="F32" s="36">
        <f>IF('MODELO PARA BI'!$E$61=0,0,(D32+E32)/'MODELO PARA BI'!$E$61)</f>
        <v/>
      </c>
      <c r="G32" s="36">
        <f>G31+F32</f>
        <v/>
      </c>
      <c r="I32" s="12">
        <f>B32*'VALOR POR PL'!$G$50</f>
        <v/>
      </c>
      <c r="J32" s="17">
        <f>I32*IF(A32&lt;='VALOR POR PL'!$P$5,IFERROR(INDEX('"INCC-FGV"'!$B$2:$B$400,MATCH(A32,'"INCC-FGV"'!$A$2:$A$400,0)),'VALOR POR PL'!$P$7),'VALOR POR PL'!$P$7)</f>
        <v/>
      </c>
      <c r="K32" s="29">
        <f>'MODELO PARA BI'!AJ63</f>
        <v/>
      </c>
      <c r="L32" s="29">
        <f>'MODELO PARA BI'!AJ64</f>
        <v/>
      </c>
      <c r="M32" s="17">
        <f>M31+J32</f>
        <v/>
      </c>
    </row>
    <row r="33">
      <c r="A33" s="45">
        <f>'MODELO PARA BI'!AK1</f>
        <v/>
      </c>
      <c r="B33" s="46" t="n"/>
      <c r="C33" s="36">
        <f>C32+B33</f>
        <v/>
      </c>
      <c r="D33" s="37">
        <f>IF(A33&lt;='VALOR POR PL'!$P$5,'MODELO PARA BI'!AK61,0)</f>
        <v/>
      </c>
      <c r="E33" s="37">
        <f>IF(A33&gt;'VALOR POR PL'!$P$5,'MODELO PARA BI'!AK61,0)</f>
        <v/>
      </c>
      <c r="F33" s="36">
        <f>IF('MODELO PARA BI'!$E$61=0,0,(D33+E33)/'MODELO PARA BI'!$E$61)</f>
        <v/>
      </c>
      <c r="G33" s="36">
        <f>G32+F33</f>
        <v/>
      </c>
      <c r="I33" s="12">
        <f>B33*'VALOR POR PL'!$G$50</f>
        <v/>
      </c>
      <c r="J33" s="17">
        <f>I33*IF(A33&lt;='VALOR POR PL'!$P$5,IFERROR(INDEX('"INCC-FGV"'!$B$2:$B$400,MATCH(A33,'"INCC-FGV"'!$A$2:$A$400,0)),'VALOR POR PL'!$P$7),'VALOR POR PL'!$P$7)</f>
        <v/>
      </c>
      <c r="K33" s="29">
        <f>'MODELO PARA BI'!AK63</f>
        <v/>
      </c>
      <c r="L33" s="29">
        <f>'MODELO PARA BI'!AK64</f>
        <v/>
      </c>
      <c r="M33" s="17">
        <f>M32+J33</f>
        <v/>
      </c>
    </row>
    <row r="34">
      <c r="A34" s="45">
        <f>'MODELO PARA BI'!AL1</f>
        <v/>
      </c>
      <c r="B34" s="46" t="n"/>
      <c r="C34" s="36">
        <f>C33+B34</f>
        <v/>
      </c>
      <c r="D34" s="37">
        <f>IF(A34&lt;='VALOR POR PL'!$P$5,'MODELO PARA BI'!AL61,0)</f>
        <v/>
      </c>
      <c r="E34" s="37">
        <f>IF(A34&gt;'VALOR POR PL'!$P$5,'MODELO PARA BI'!AL61,0)</f>
        <v/>
      </c>
      <c r="F34" s="36">
        <f>IF('MODELO PARA BI'!$E$61=0,0,(D34+E34)/'MODELO PARA BI'!$E$61)</f>
        <v/>
      </c>
      <c r="G34" s="36">
        <f>G33+F34</f>
        <v/>
      </c>
      <c r="I34" s="12">
        <f>B34*'VALOR POR PL'!$G$50</f>
        <v/>
      </c>
      <c r="J34" s="17">
        <f>I34*IF(A34&lt;='VALOR POR PL'!$P$5,IFERROR(INDEX('"INCC-FGV"'!$B$2:$B$400,MATCH(A34,'"INCC-FGV"'!$A$2:$A$400,0)),'VALOR POR PL'!$P$7),'VALOR POR PL'!$P$7)</f>
        <v/>
      </c>
      <c r="K34" s="29">
        <f>'MODELO PARA BI'!AL63</f>
        <v/>
      </c>
      <c r="L34" s="29">
        <f>'MODELO PARA BI'!AL64</f>
        <v/>
      </c>
      <c r="M34" s="17">
        <f>M33+J34</f>
        <v/>
      </c>
    </row>
    <row r="35">
      <c r="A35" s="45">
        <f>'MODELO PARA BI'!AM1</f>
        <v/>
      </c>
      <c r="B35" s="46" t="n"/>
      <c r="C35" s="36">
        <f>C34+B35</f>
        <v/>
      </c>
      <c r="D35" s="37">
        <f>IF(A35&lt;='VALOR POR PL'!$P$5,'MODELO PARA BI'!AM61,0)</f>
        <v/>
      </c>
      <c r="E35" s="37">
        <f>IF(A35&gt;'VALOR POR PL'!$P$5,'MODELO PARA BI'!AM61,0)</f>
        <v/>
      </c>
      <c r="F35" s="36">
        <f>IF('MODELO PARA BI'!$E$61=0,0,(D35+E35)/'MODELO PARA BI'!$E$61)</f>
        <v/>
      </c>
      <c r="G35" s="36">
        <f>G34+F35</f>
        <v/>
      </c>
      <c r="I35" s="12">
        <f>B35*'VALOR POR PL'!$G$50</f>
        <v/>
      </c>
      <c r="J35" s="17">
        <f>I35*IF(A35&lt;='VALOR POR PL'!$P$5,IFERROR(INDEX('"INCC-FGV"'!$B$2:$B$400,MATCH(A35,'"INCC-FGV"'!$A$2:$A$400,0)),'VALOR POR PL'!$P$7),'VALOR POR PL'!$P$7)</f>
        <v/>
      </c>
      <c r="K35" s="29">
        <f>'MODELO PARA BI'!AM63</f>
        <v/>
      </c>
      <c r="L35" s="29">
        <f>'MODELO PARA BI'!AM64</f>
        <v/>
      </c>
      <c r="M35" s="17">
        <f>M34+J35</f>
        <v/>
      </c>
    </row>
    <row r="36">
      <c r="A36" s="45">
        <f>'MODELO PARA BI'!AN1</f>
        <v/>
      </c>
      <c r="B36" s="46" t="n"/>
      <c r="C36" s="36">
        <f>C35+B36</f>
        <v/>
      </c>
      <c r="D36" s="37">
        <f>IF(A36&lt;='VALOR POR PL'!$P$5,'MODELO PARA BI'!AN61,0)</f>
        <v/>
      </c>
      <c r="E36" s="37">
        <f>IF(A36&gt;'VALOR POR PL'!$P$5,'MODELO PARA BI'!AN61,0)</f>
        <v/>
      </c>
      <c r="F36" s="36">
        <f>IF('MODELO PARA BI'!$E$61=0,0,(D36+E36)/'MODELO PARA BI'!$E$61)</f>
        <v/>
      </c>
      <c r="G36" s="36">
        <f>G35+F36</f>
        <v/>
      </c>
      <c r="I36" s="12">
        <f>B36*'VALOR POR PL'!$G$50</f>
        <v/>
      </c>
      <c r="J36" s="17">
        <f>I36*IF(A36&lt;='VALOR POR PL'!$P$5,IFERROR(INDEX('"INCC-FGV"'!$B$2:$B$400,MATCH(A36,'"INCC-FGV"'!$A$2:$A$400,0)),'VALOR POR PL'!$P$7),'VALOR POR PL'!$P$7)</f>
        <v/>
      </c>
      <c r="K36" s="29">
        <f>'MODELO PARA BI'!AN63</f>
        <v/>
      </c>
      <c r="L36" s="29">
        <f>'MODELO PARA BI'!AN64</f>
        <v/>
      </c>
      <c r="M36" s="17">
        <f>M35+J36</f>
        <v/>
      </c>
    </row>
    <row r="37">
      <c r="A37" s="45">
        <f>'MODELO PARA BI'!AO1</f>
        <v/>
      </c>
      <c r="B37" s="46" t="n"/>
      <c r="C37" s="36">
        <f>C36+B37</f>
        <v/>
      </c>
      <c r="D37" s="37">
        <f>IF(A37&lt;='VALOR POR PL'!$P$5,'MODELO PARA BI'!AO61,0)</f>
        <v/>
      </c>
      <c r="E37" s="37">
        <f>IF(A37&gt;'VALOR POR PL'!$P$5,'MODELO PARA BI'!AO61,0)</f>
        <v/>
      </c>
      <c r="F37" s="36">
        <f>IF('MODELO PARA BI'!$E$61=0,0,(D37+E37)/'MODELO PARA BI'!$E$61)</f>
        <v/>
      </c>
      <c r="G37" s="36">
        <f>G36+F37</f>
        <v/>
      </c>
      <c r="I37" s="12">
        <f>B37*'VALOR POR PL'!$G$50</f>
        <v/>
      </c>
      <c r="J37" s="17">
        <f>I37*IF(A37&lt;='VALOR POR PL'!$P$5,IFERROR(INDEX('"INCC-FGV"'!$B$2:$B$400,MATCH(A37,'"INCC-FGV"'!$A$2:$A$400,0)),'VALOR POR PL'!$P$7),'VALOR POR PL'!$P$7)</f>
        <v/>
      </c>
      <c r="K37" s="29">
        <f>'MODELO PARA BI'!AO63</f>
        <v/>
      </c>
      <c r="L37" s="29">
        <f>'MODELO PARA BI'!AO64</f>
        <v/>
      </c>
      <c r="M37" s="17">
        <f>M36+J37</f>
        <v/>
      </c>
    </row>
    <row r="38">
      <c r="A38" s="45">
        <f>'MODELO PARA BI'!AP1</f>
        <v/>
      </c>
      <c r="B38" s="46" t="n"/>
      <c r="C38" s="36">
        <f>C37+B38</f>
        <v/>
      </c>
      <c r="D38" s="37">
        <f>IF(A38&lt;='VALOR POR PL'!$P$5,'MODELO PARA BI'!AP61,0)</f>
        <v/>
      </c>
      <c r="E38" s="37">
        <f>IF(A38&gt;'VALOR POR PL'!$P$5,'MODELO PARA BI'!AP61,0)</f>
        <v/>
      </c>
      <c r="F38" s="36">
        <f>IF('MODELO PARA BI'!$E$61=0,0,(D38+E38)/'MODELO PARA BI'!$E$61)</f>
        <v/>
      </c>
      <c r="G38" s="36">
        <f>G37+F38</f>
        <v/>
      </c>
      <c r="I38" s="12">
        <f>B38*'VALOR POR PL'!$G$50</f>
        <v/>
      </c>
      <c r="J38" s="17">
        <f>I38*IF(A38&lt;='VALOR POR PL'!$P$5,IFERROR(INDEX('"INCC-FGV"'!$B$2:$B$400,MATCH(A38,'"INCC-FGV"'!$A$2:$A$400,0)),'VALOR POR PL'!$P$7),'VALOR POR PL'!$P$7)</f>
        <v/>
      </c>
      <c r="K38" s="29">
        <f>'MODELO PARA BI'!AP63</f>
        <v/>
      </c>
      <c r="L38" s="29">
        <f>'MODELO PARA BI'!AP64</f>
        <v/>
      </c>
      <c r="M38" s="17">
        <f>M37+J38</f>
        <v/>
      </c>
    </row>
    <row r="39">
      <c r="A39" s="45">
        <f>'MODELO PARA BI'!AQ1</f>
        <v/>
      </c>
      <c r="B39" s="46" t="n"/>
      <c r="C39" s="36">
        <f>C38+B39</f>
        <v/>
      </c>
      <c r="D39" s="37">
        <f>IF(A39&lt;='VALOR POR PL'!$P$5,'MODELO PARA BI'!AQ61,0)</f>
        <v/>
      </c>
      <c r="E39" s="37">
        <f>IF(A39&gt;'VALOR POR PL'!$P$5,'MODELO PARA BI'!AQ61,0)</f>
        <v/>
      </c>
      <c r="F39" s="36">
        <f>IF('MODELO PARA BI'!$E$61=0,0,(D39+E39)/'MODELO PARA BI'!$E$61)</f>
        <v/>
      </c>
      <c r="G39" s="36">
        <f>G38+F39</f>
        <v/>
      </c>
      <c r="I39" s="12">
        <f>B39*'VALOR POR PL'!$G$50</f>
        <v/>
      </c>
      <c r="J39" s="17">
        <f>I39*IF(A39&lt;='VALOR POR PL'!$P$5,IFERROR(INDEX('"INCC-FGV"'!$B$2:$B$400,MATCH(A39,'"INCC-FGV"'!$A$2:$A$400,0)),'VALOR POR PL'!$P$7),'VALOR POR PL'!$P$7)</f>
        <v/>
      </c>
      <c r="K39" s="29">
        <f>'MODELO PARA BI'!AQ63</f>
        <v/>
      </c>
      <c r="L39" s="29">
        <f>'MODELO PARA BI'!AQ64</f>
        <v/>
      </c>
      <c r="M39" s="17">
        <f>M38+J39</f>
        <v/>
      </c>
    </row>
    <row r="40">
      <c r="A40" s="45">
        <f>'MODELO PARA BI'!AR1</f>
        <v/>
      </c>
      <c r="B40" s="46" t="n"/>
      <c r="C40" s="36">
        <f>C39+B40</f>
        <v/>
      </c>
      <c r="D40" s="37">
        <f>IF(A40&lt;='VALOR POR PL'!$P$5,'MODELO PARA BI'!AR61,0)</f>
        <v/>
      </c>
      <c r="E40" s="37">
        <f>IF(A40&gt;'VALOR POR PL'!$P$5,'MODELO PARA BI'!AR61,0)</f>
        <v/>
      </c>
      <c r="F40" s="36">
        <f>IF('MODELO PARA BI'!$E$61=0,0,(D40+E40)/'MODELO PARA BI'!$E$61)</f>
        <v/>
      </c>
      <c r="G40" s="36">
        <f>G39+F40</f>
        <v/>
      </c>
      <c r="I40" s="12">
        <f>B40*'VALOR POR PL'!$G$50</f>
        <v/>
      </c>
      <c r="J40" s="17">
        <f>I40*IF(A40&lt;='VALOR POR PL'!$P$5,IFERROR(INDEX('"INCC-FGV"'!$B$2:$B$400,MATCH(A40,'"INCC-FGV"'!$A$2:$A$400,0)),'VALOR POR PL'!$P$7),'VALOR POR PL'!$P$7)</f>
        <v/>
      </c>
      <c r="K40" s="29">
        <f>'MODELO PARA BI'!AR63</f>
        <v/>
      </c>
      <c r="L40" s="29">
        <f>'MODELO PARA BI'!AR64</f>
        <v/>
      </c>
      <c r="M40" s="17">
        <f>M39+J40</f>
        <v/>
      </c>
    </row>
    <row r="41">
      <c r="A41" s="45">
        <f>'MODELO PARA BI'!AS1</f>
        <v/>
      </c>
      <c r="B41" s="46" t="n"/>
      <c r="C41" s="36">
        <f>C40+B41</f>
        <v/>
      </c>
      <c r="D41" s="37">
        <f>IF(A41&lt;='VALOR POR PL'!$P$5,'MODELO PARA BI'!AS61,0)</f>
        <v/>
      </c>
      <c r="E41" s="37">
        <f>IF(A41&gt;'VALOR POR PL'!$P$5,'MODELO PARA BI'!AS61,0)</f>
        <v/>
      </c>
      <c r="F41" s="36">
        <f>IF('MODELO PARA BI'!$E$61=0,0,(D41+E41)/'MODELO PARA BI'!$E$61)</f>
        <v/>
      </c>
      <c r="G41" s="36">
        <f>G40+F41</f>
        <v/>
      </c>
      <c r="I41" s="12">
        <f>B41*'VALOR POR PL'!$G$50</f>
        <v/>
      </c>
      <c r="J41" s="17">
        <f>I41*IF(A41&lt;='VALOR POR PL'!$P$5,IFERROR(INDEX('"INCC-FGV"'!$B$2:$B$400,MATCH(A41,'"INCC-FGV"'!$A$2:$A$400,0)),'VALOR POR PL'!$P$7),'VALOR POR PL'!$P$7)</f>
        <v/>
      </c>
      <c r="K41" s="29">
        <f>'MODELO PARA BI'!AS63</f>
        <v/>
      </c>
      <c r="L41" s="29">
        <f>'MODELO PARA BI'!AS64</f>
        <v/>
      </c>
      <c r="M41" s="17">
        <f>M40+J41</f>
        <v/>
      </c>
    </row>
    <row r="42">
      <c r="A42" s="45">
        <f>'MODELO PARA BI'!AT1</f>
        <v/>
      </c>
      <c r="B42" s="46" t="n"/>
      <c r="C42" s="36">
        <f>C41+B42</f>
        <v/>
      </c>
      <c r="D42" s="37">
        <f>IF(A42&lt;='VALOR POR PL'!$P$5,'MODELO PARA BI'!AT61,0)</f>
        <v/>
      </c>
      <c r="E42" s="37">
        <f>IF(A42&gt;'VALOR POR PL'!$P$5,'MODELO PARA BI'!AT61,0)</f>
        <v/>
      </c>
      <c r="F42" s="36">
        <f>IF('MODELO PARA BI'!$E$61=0,0,(D42+E42)/'MODELO PARA BI'!$E$61)</f>
        <v/>
      </c>
      <c r="G42" s="36">
        <f>G41+F42</f>
        <v/>
      </c>
      <c r="I42" s="12">
        <f>B42*'VALOR POR PL'!$G$50</f>
        <v/>
      </c>
      <c r="J42" s="17">
        <f>I42*IF(A42&lt;='VALOR POR PL'!$P$5,IFERROR(INDEX('"INCC-FGV"'!$B$2:$B$400,MATCH(A42,'"INCC-FGV"'!$A$2:$A$400,0)),'VALOR POR PL'!$P$7),'VALOR POR PL'!$P$7)</f>
        <v/>
      </c>
      <c r="K42" s="29">
        <f>'MODELO PARA BI'!AT63</f>
        <v/>
      </c>
      <c r="L42" s="29">
        <f>'MODELO PARA BI'!AT64</f>
        <v/>
      </c>
      <c r="M42" s="17">
        <f>M41+J42</f>
        <v/>
      </c>
    </row>
    <row r="43">
      <c r="A43" s="45">
        <f>'MODELO PARA BI'!AU1</f>
        <v/>
      </c>
      <c r="B43" s="46" t="n"/>
      <c r="C43" s="36">
        <f>C42+B43</f>
        <v/>
      </c>
      <c r="D43" s="37">
        <f>IF(A43&lt;='VALOR POR PL'!$P$5,'MODELO PARA BI'!AU61,0)</f>
        <v/>
      </c>
      <c r="E43" s="37">
        <f>IF(A43&gt;'VALOR POR PL'!$P$5,'MODELO PARA BI'!AU61,0)</f>
        <v/>
      </c>
      <c r="F43" s="36">
        <f>IF('MODELO PARA BI'!$E$61=0,0,(D43+E43)/'MODELO PARA BI'!$E$61)</f>
        <v/>
      </c>
      <c r="G43" s="36">
        <f>G42+F43</f>
        <v/>
      </c>
      <c r="I43" s="12">
        <f>B43*'VALOR POR PL'!$G$50</f>
        <v/>
      </c>
      <c r="J43" s="17">
        <f>I43*IF(A43&lt;='VALOR POR PL'!$P$5,IFERROR(INDEX('"INCC-FGV"'!$B$2:$B$400,MATCH(A43,'"INCC-FGV"'!$A$2:$A$400,0)),'VALOR POR PL'!$P$7),'VALOR POR PL'!$P$7)</f>
        <v/>
      </c>
      <c r="K43" s="29">
        <f>'MODELO PARA BI'!AU63</f>
        <v/>
      </c>
      <c r="L43" s="29">
        <f>'MODELO PARA BI'!AU64</f>
        <v/>
      </c>
      <c r="M43" s="17">
        <f>M42+J43</f>
        <v/>
      </c>
    </row>
    <row r="44">
      <c r="A44" s="45">
        <f>'MODELO PARA BI'!AV1</f>
        <v/>
      </c>
      <c r="B44" s="46" t="n"/>
      <c r="C44" s="36">
        <f>C43+B44</f>
        <v/>
      </c>
      <c r="D44" s="37">
        <f>IF(A44&lt;='VALOR POR PL'!$P$5,'MODELO PARA BI'!AV61,0)</f>
        <v/>
      </c>
      <c r="E44" s="37">
        <f>IF(A44&gt;'VALOR POR PL'!$P$5,'MODELO PARA BI'!AV61,0)</f>
        <v/>
      </c>
      <c r="F44" s="36">
        <f>IF('MODELO PARA BI'!$E$61=0,0,(D44+E44)/'MODELO PARA BI'!$E$61)</f>
        <v/>
      </c>
      <c r="G44" s="36">
        <f>G43+F44</f>
        <v/>
      </c>
      <c r="I44" s="12">
        <f>B44*'VALOR POR PL'!$G$50</f>
        <v/>
      </c>
      <c r="J44" s="17">
        <f>I44*IF(A44&lt;='VALOR POR PL'!$P$5,IFERROR(INDEX('"INCC-FGV"'!$B$2:$B$400,MATCH(A44,'"INCC-FGV"'!$A$2:$A$400,0)),'VALOR POR PL'!$P$7),'VALOR POR PL'!$P$7)</f>
        <v/>
      </c>
      <c r="K44" s="29">
        <f>'MODELO PARA BI'!AV63</f>
        <v/>
      </c>
      <c r="L44" s="29">
        <f>'MODELO PARA BI'!AV64</f>
        <v/>
      </c>
      <c r="M44" s="17">
        <f>M43+J44</f>
        <v/>
      </c>
    </row>
    <row r="45">
      <c r="A45" s="45">
        <f>'MODELO PARA BI'!AW1</f>
        <v/>
      </c>
      <c r="B45" s="46" t="n"/>
      <c r="C45" s="36">
        <f>C44+B45</f>
        <v/>
      </c>
      <c r="D45" s="37">
        <f>IF(A45&lt;='VALOR POR PL'!$P$5,'MODELO PARA BI'!AW61,0)</f>
        <v/>
      </c>
      <c r="E45" s="37">
        <f>IF(A45&gt;'VALOR POR PL'!$P$5,'MODELO PARA BI'!AW61,0)</f>
        <v/>
      </c>
      <c r="F45" s="36">
        <f>IF('MODELO PARA BI'!$E$61=0,0,(D45+E45)/'MODELO PARA BI'!$E$61)</f>
        <v/>
      </c>
      <c r="G45" s="36">
        <f>G44+F45</f>
        <v/>
      </c>
      <c r="I45" s="12">
        <f>B45*'VALOR POR PL'!$G$50</f>
        <v/>
      </c>
      <c r="J45" s="17">
        <f>I45*IF(A45&lt;='VALOR POR PL'!$P$5,IFERROR(INDEX('"INCC-FGV"'!$B$2:$B$400,MATCH(A45,'"INCC-FGV"'!$A$2:$A$400,0)),'VALOR POR PL'!$P$7),'VALOR POR PL'!$P$7)</f>
        <v/>
      </c>
      <c r="K45" s="29">
        <f>'MODELO PARA BI'!AW63</f>
        <v/>
      </c>
      <c r="L45" s="29">
        <f>'MODELO PARA BI'!AW64</f>
        <v/>
      </c>
      <c r="M45" s="17">
        <f>M44+J45</f>
        <v/>
      </c>
    </row>
    <row r="46">
      <c r="A46" s="45">
        <f>'MODELO PARA BI'!AX1</f>
        <v/>
      </c>
      <c r="B46" s="46" t="n"/>
      <c r="C46" s="36">
        <f>C45+B46</f>
        <v/>
      </c>
      <c r="D46" s="37">
        <f>IF(A46&lt;='VALOR POR PL'!$P$5,'MODELO PARA BI'!AX61,0)</f>
        <v/>
      </c>
      <c r="E46" s="37">
        <f>IF(A46&gt;'VALOR POR PL'!$P$5,'MODELO PARA BI'!AX61,0)</f>
        <v/>
      </c>
      <c r="F46" s="36">
        <f>IF('MODELO PARA BI'!$E$61=0,0,(D46+E46)/'MODELO PARA BI'!$E$61)</f>
        <v/>
      </c>
      <c r="G46" s="36">
        <f>G45+F46</f>
        <v/>
      </c>
      <c r="I46" s="12">
        <f>B46*'VALOR POR PL'!$G$50</f>
        <v/>
      </c>
      <c r="J46" s="17">
        <f>I46*IF(A46&lt;='VALOR POR PL'!$P$5,IFERROR(INDEX('"INCC-FGV"'!$B$2:$B$400,MATCH(A46,'"INCC-FGV"'!$A$2:$A$400,0)),'VALOR POR PL'!$P$7),'VALOR POR PL'!$P$7)</f>
        <v/>
      </c>
      <c r="K46" s="29">
        <f>'MODELO PARA BI'!AX63</f>
        <v/>
      </c>
      <c r="L46" s="29">
        <f>'MODELO PARA BI'!AX64</f>
        <v/>
      </c>
      <c r="M46" s="17">
        <f>M45+J46</f>
        <v/>
      </c>
    </row>
    <row r="47">
      <c r="A47" s="45">
        <f>'MODELO PARA BI'!AY1</f>
        <v/>
      </c>
      <c r="B47" s="46" t="n"/>
      <c r="C47" s="36">
        <f>C46+B47</f>
        <v/>
      </c>
      <c r="D47" s="37">
        <f>IF(A47&lt;='VALOR POR PL'!$P$5,'MODELO PARA BI'!AY61,0)</f>
        <v/>
      </c>
      <c r="E47" s="37">
        <f>IF(A47&gt;'VALOR POR PL'!$P$5,'MODELO PARA BI'!AY61,0)</f>
        <v/>
      </c>
      <c r="F47" s="36">
        <f>IF('MODELO PARA BI'!$E$61=0,0,(D47+E47)/'MODELO PARA BI'!$E$61)</f>
        <v/>
      </c>
      <c r="G47" s="36">
        <f>G46+F47</f>
        <v/>
      </c>
      <c r="I47" s="12">
        <f>B47*'VALOR POR PL'!$G$50</f>
        <v/>
      </c>
      <c r="J47" s="17">
        <f>I47*IF(A47&lt;='VALOR POR PL'!$P$5,IFERROR(INDEX('"INCC-FGV"'!$B$2:$B$400,MATCH(A47,'"INCC-FGV"'!$A$2:$A$400,0)),'VALOR POR PL'!$P$7),'VALOR POR PL'!$P$7)</f>
        <v/>
      </c>
      <c r="K47" s="29">
        <f>'MODELO PARA BI'!AY63</f>
        <v/>
      </c>
      <c r="L47" s="29">
        <f>'MODELO PARA BI'!AY64</f>
        <v/>
      </c>
      <c r="M47" s="17">
        <f>M46+J47</f>
        <v/>
      </c>
    </row>
    <row r="48">
      <c r="A48" s="45">
        <f>'MODELO PARA BI'!AZ1</f>
        <v/>
      </c>
      <c r="B48" s="46" t="n"/>
      <c r="C48" s="36">
        <f>C47+B48</f>
        <v/>
      </c>
      <c r="D48" s="37">
        <f>IF(A48&lt;='VALOR POR PL'!$P$5,'MODELO PARA BI'!AZ61,0)</f>
        <v/>
      </c>
      <c r="E48" s="37">
        <f>IF(A48&gt;'VALOR POR PL'!$P$5,'MODELO PARA BI'!AZ61,0)</f>
        <v/>
      </c>
      <c r="F48" s="36">
        <f>IF('MODELO PARA BI'!$E$61=0,0,(D48+E48)/'MODELO PARA BI'!$E$61)</f>
        <v/>
      </c>
      <c r="G48" s="36">
        <f>G47+F48</f>
        <v/>
      </c>
      <c r="I48" s="12">
        <f>B48*'VALOR POR PL'!$G$50</f>
        <v/>
      </c>
      <c r="J48" s="17">
        <f>I48*IF(A48&lt;='VALOR POR PL'!$P$5,IFERROR(INDEX('"INCC-FGV"'!$B$2:$B$400,MATCH(A48,'"INCC-FGV"'!$A$2:$A$400,0)),'VALOR POR PL'!$P$7),'VALOR POR PL'!$P$7)</f>
        <v/>
      </c>
      <c r="K48" s="29">
        <f>'MODELO PARA BI'!AZ63</f>
        <v/>
      </c>
      <c r="L48" s="29">
        <f>'MODELO PARA BI'!AZ64</f>
        <v/>
      </c>
      <c r="M48" s="17">
        <f>M47+J48</f>
        <v/>
      </c>
    </row>
    <row r="49">
      <c r="A49" s="45">
        <f>'MODELO PARA BI'!BA1</f>
        <v/>
      </c>
      <c r="B49" s="46" t="n"/>
      <c r="C49" s="36">
        <f>C48+B49</f>
        <v/>
      </c>
      <c r="D49" s="37">
        <f>IF(A49&lt;='VALOR POR PL'!$P$5,'MODELO PARA BI'!BA61,0)</f>
        <v/>
      </c>
      <c r="E49" s="37">
        <f>IF(A49&gt;'VALOR POR PL'!$P$5,'MODELO PARA BI'!BA61,0)</f>
        <v/>
      </c>
      <c r="F49" s="36">
        <f>IF('MODELO PARA BI'!$E$61=0,0,(D49+E49)/'MODELO PARA BI'!$E$61)</f>
        <v/>
      </c>
      <c r="G49" s="36">
        <f>G48+F49</f>
        <v/>
      </c>
      <c r="I49" s="12">
        <f>B49*'VALOR POR PL'!$G$50</f>
        <v/>
      </c>
      <c r="J49" s="17">
        <f>I49*IF(A49&lt;='VALOR POR PL'!$P$5,IFERROR(INDEX('"INCC-FGV"'!$B$2:$B$400,MATCH(A49,'"INCC-FGV"'!$A$2:$A$400,0)),'VALOR POR PL'!$P$7),'VALOR POR PL'!$P$7)</f>
        <v/>
      </c>
      <c r="K49" s="29">
        <f>'MODELO PARA BI'!BA63</f>
        <v/>
      </c>
      <c r="L49" s="29">
        <f>'MODELO PARA BI'!BA64</f>
        <v/>
      </c>
      <c r="M49" s="17">
        <f>M48+J49</f>
        <v/>
      </c>
    </row>
    <row r="50">
      <c r="A50" s="45">
        <f>'MODELO PARA BI'!BB1</f>
        <v/>
      </c>
      <c r="B50" s="46" t="n"/>
      <c r="C50" s="36">
        <f>C49+B50</f>
        <v/>
      </c>
      <c r="D50" s="37">
        <f>IF(A50&lt;='VALOR POR PL'!$P$5,'MODELO PARA BI'!BB61,0)</f>
        <v/>
      </c>
      <c r="E50" s="37">
        <f>IF(A50&gt;'VALOR POR PL'!$P$5,'MODELO PARA BI'!BB61,0)</f>
        <v/>
      </c>
      <c r="F50" s="36">
        <f>IF('MODELO PARA BI'!$E$61=0,0,(D50+E50)/'MODELO PARA BI'!$E$61)</f>
        <v/>
      </c>
      <c r="G50" s="36">
        <f>G49+F50</f>
        <v/>
      </c>
      <c r="I50" s="12">
        <f>B50*'VALOR POR PL'!$G$50</f>
        <v/>
      </c>
      <c r="J50" s="17">
        <f>I50*IF(A50&lt;='VALOR POR PL'!$P$5,IFERROR(INDEX('"INCC-FGV"'!$B$2:$B$400,MATCH(A50,'"INCC-FGV"'!$A$2:$A$400,0)),'VALOR POR PL'!$P$7),'VALOR POR PL'!$P$7)</f>
        <v/>
      </c>
      <c r="K50" s="29">
        <f>'MODELO PARA BI'!BB63</f>
        <v/>
      </c>
      <c r="L50" s="29">
        <f>'MODELO PARA BI'!BB64</f>
        <v/>
      </c>
      <c r="M50" s="17">
        <f>M49+J50</f>
        <v/>
      </c>
    </row>
    <row r="51">
      <c r="A51" s="45">
        <f>'MODELO PARA BI'!BC1</f>
        <v/>
      </c>
      <c r="B51" s="46" t="n"/>
      <c r="C51" s="36">
        <f>C50+B51</f>
        <v/>
      </c>
      <c r="D51" s="37">
        <f>IF(A51&lt;='VALOR POR PL'!$P$5,'MODELO PARA BI'!BC61,0)</f>
        <v/>
      </c>
      <c r="E51" s="37">
        <f>IF(A51&gt;'VALOR POR PL'!$P$5,'MODELO PARA BI'!BC61,0)</f>
        <v/>
      </c>
      <c r="F51" s="36">
        <f>IF('MODELO PARA BI'!$E$61=0,0,(D51+E51)/'MODELO PARA BI'!$E$61)</f>
        <v/>
      </c>
      <c r="G51" s="36">
        <f>G50+F51</f>
        <v/>
      </c>
      <c r="I51" s="12">
        <f>B51*'VALOR POR PL'!$G$50</f>
        <v/>
      </c>
      <c r="J51" s="17">
        <f>I51*IF(A51&lt;='VALOR POR PL'!$P$5,IFERROR(INDEX('"INCC-FGV"'!$B$2:$B$400,MATCH(A51,'"INCC-FGV"'!$A$2:$A$400,0)),'VALOR POR PL'!$P$7),'VALOR POR PL'!$P$7)</f>
        <v/>
      </c>
      <c r="K51" s="29">
        <f>'MODELO PARA BI'!BC63</f>
        <v/>
      </c>
      <c r="L51" s="29">
        <f>'MODELO PARA BI'!BC64</f>
        <v/>
      </c>
      <c r="M51" s="17">
        <f>M50+J51</f>
        <v/>
      </c>
    </row>
    <row r="52">
      <c r="A52" s="45">
        <f>'MODELO PARA BI'!BD1</f>
        <v/>
      </c>
      <c r="B52" s="46" t="n"/>
      <c r="C52" s="36">
        <f>C51+B52</f>
        <v/>
      </c>
      <c r="D52" s="37">
        <f>IF(A52&lt;='VALOR POR PL'!$P$5,'MODELO PARA BI'!BD61,0)</f>
        <v/>
      </c>
      <c r="E52" s="37">
        <f>IF(A52&gt;'VALOR POR PL'!$P$5,'MODELO PARA BI'!BD61,0)</f>
        <v/>
      </c>
      <c r="F52" s="36">
        <f>IF('MODELO PARA BI'!$E$61=0,0,(D52+E52)/'MODELO PARA BI'!$E$61)</f>
        <v/>
      </c>
      <c r="G52" s="36">
        <f>G51+F52</f>
        <v/>
      </c>
      <c r="I52" s="12">
        <f>B52*'VALOR POR PL'!$G$50</f>
        <v/>
      </c>
      <c r="J52" s="17">
        <f>I52*IF(A52&lt;='VALOR POR PL'!$P$5,IFERROR(INDEX('"INCC-FGV"'!$B$2:$B$400,MATCH(A52,'"INCC-FGV"'!$A$2:$A$400,0)),'VALOR POR PL'!$P$7),'VALOR POR PL'!$P$7)</f>
        <v/>
      </c>
      <c r="K52" s="29">
        <f>'MODELO PARA BI'!BD63</f>
        <v/>
      </c>
      <c r="L52" s="29">
        <f>'MODELO PARA BI'!BD64</f>
        <v/>
      </c>
      <c r="M52" s="17">
        <f>M51+J52</f>
        <v/>
      </c>
    </row>
    <row r="53">
      <c r="A53" s="45">
        <f>'MODELO PARA BI'!BE1</f>
        <v/>
      </c>
      <c r="B53" s="46" t="n"/>
      <c r="C53" s="36">
        <f>C52+B53</f>
        <v/>
      </c>
      <c r="D53" s="37">
        <f>IF(A53&lt;='VALOR POR PL'!$P$5,'MODELO PARA BI'!BE61,0)</f>
        <v/>
      </c>
      <c r="E53" s="37">
        <f>IF(A53&gt;'VALOR POR PL'!$P$5,'MODELO PARA BI'!BE61,0)</f>
        <v/>
      </c>
      <c r="F53" s="36">
        <f>IF('MODELO PARA BI'!$E$61=0,0,(D53+E53)/'MODELO PARA BI'!$E$61)</f>
        <v/>
      </c>
      <c r="G53" s="36">
        <f>G52+F53</f>
        <v/>
      </c>
      <c r="I53" s="12">
        <f>B53*'VALOR POR PL'!$G$50</f>
        <v/>
      </c>
      <c r="J53" s="17">
        <f>I53*IF(A53&lt;='VALOR POR PL'!$P$5,IFERROR(INDEX('"INCC-FGV"'!$B$2:$B$400,MATCH(A53,'"INCC-FGV"'!$A$2:$A$400,0)),'VALOR POR PL'!$P$7),'VALOR POR PL'!$P$7)</f>
        <v/>
      </c>
      <c r="K53" s="29">
        <f>'MODELO PARA BI'!BE63</f>
        <v/>
      </c>
      <c r="L53" s="29">
        <f>'MODELO PARA BI'!BE64</f>
        <v/>
      </c>
      <c r="M53" s="17">
        <f>M52+J53</f>
        <v/>
      </c>
    </row>
    <row r="54">
      <c r="A54" s="45">
        <f>'MODELO PARA BI'!BF1</f>
        <v/>
      </c>
      <c r="B54" s="46" t="n"/>
      <c r="C54" s="36">
        <f>C53+B54</f>
        <v/>
      </c>
      <c r="D54" s="37">
        <f>IF(A54&lt;='VALOR POR PL'!$P$5,'MODELO PARA BI'!BF61,0)</f>
        <v/>
      </c>
      <c r="E54" s="37">
        <f>IF(A54&gt;'VALOR POR PL'!$P$5,'MODELO PARA BI'!BF61,0)</f>
        <v/>
      </c>
      <c r="F54" s="36">
        <f>IF('MODELO PARA BI'!$E$61=0,0,(D54+E54)/'MODELO PARA BI'!$E$61)</f>
        <v/>
      </c>
      <c r="G54" s="36">
        <f>G53+F54</f>
        <v/>
      </c>
      <c r="I54" s="12">
        <f>B54*'VALOR POR PL'!$G$50</f>
        <v/>
      </c>
      <c r="J54" s="17">
        <f>I54*IF(A54&lt;='VALOR POR PL'!$P$5,IFERROR(INDEX('"INCC-FGV"'!$B$2:$B$400,MATCH(A54,'"INCC-FGV"'!$A$2:$A$400,0)),'VALOR POR PL'!$P$7),'VALOR POR PL'!$P$7)</f>
        <v/>
      </c>
      <c r="K54" s="29">
        <f>'MODELO PARA BI'!BF63</f>
        <v/>
      </c>
      <c r="L54" s="29">
        <f>'MODELO PARA BI'!BF64</f>
        <v/>
      </c>
      <c r="M54" s="17">
        <f>M53+J54</f>
        <v/>
      </c>
    </row>
    <row r="55">
      <c r="A55" s="45">
        <f>'MODELO PARA BI'!BG1</f>
        <v/>
      </c>
      <c r="B55" s="46" t="n"/>
      <c r="C55" s="36">
        <f>C54+B55</f>
        <v/>
      </c>
      <c r="D55" s="37">
        <f>IF(A55&lt;='VALOR POR PL'!$P$5,'MODELO PARA BI'!BG61,0)</f>
        <v/>
      </c>
      <c r="E55" s="37">
        <f>IF(A55&gt;'VALOR POR PL'!$P$5,'MODELO PARA BI'!BG61,0)</f>
        <v/>
      </c>
      <c r="F55" s="36">
        <f>IF('MODELO PARA BI'!$E$61=0,0,(D55+E55)/'MODELO PARA BI'!$E$61)</f>
        <v/>
      </c>
      <c r="G55" s="36">
        <f>G54+F55</f>
        <v/>
      </c>
      <c r="I55" s="12">
        <f>B55*'VALOR POR PL'!$G$50</f>
        <v/>
      </c>
      <c r="J55" s="17">
        <f>I55*IF(A55&lt;='VALOR POR PL'!$P$5,IFERROR(INDEX('"INCC-FGV"'!$B$2:$B$400,MATCH(A55,'"INCC-FGV"'!$A$2:$A$400,0)),'VALOR POR PL'!$P$7),'VALOR POR PL'!$P$7)</f>
        <v/>
      </c>
      <c r="K55" s="29">
        <f>'MODELO PARA BI'!BG63</f>
        <v/>
      </c>
      <c r="L55" s="29">
        <f>'MODELO PARA BI'!BG64</f>
        <v/>
      </c>
      <c r="M55" s="17">
        <f>M54+J55</f>
        <v/>
      </c>
    </row>
    <row r="56">
      <c r="A56" s="45">
        <f>'MODELO PARA BI'!BH1</f>
        <v/>
      </c>
      <c r="B56" s="46" t="n"/>
      <c r="C56" s="36">
        <f>C55+B56</f>
        <v/>
      </c>
      <c r="D56" s="37">
        <f>IF(A56&lt;='VALOR POR PL'!$P$5,'MODELO PARA BI'!BH61,0)</f>
        <v/>
      </c>
      <c r="E56" s="37">
        <f>IF(A56&gt;'VALOR POR PL'!$P$5,'MODELO PARA BI'!BH61,0)</f>
        <v/>
      </c>
      <c r="F56" s="36">
        <f>IF('MODELO PARA BI'!$E$61=0,0,(D56+E56)/'MODELO PARA BI'!$E$61)</f>
        <v/>
      </c>
      <c r="G56" s="36">
        <f>G55+F56</f>
        <v/>
      </c>
      <c r="I56" s="12">
        <f>B56*'VALOR POR PL'!$G$50</f>
        <v/>
      </c>
      <c r="J56" s="17">
        <f>I56*IF(A56&lt;='VALOR POR PL'!$P$5,IFERROR(INDEX('"INCC-FGV"'!$B$2:$B$400,MATCH(A56,'"INCC-FGV"'!$A$2:$A$400,0)),'VALOR POR PL'!$P$7),'VALOR POR PL'!$P$7)</f>
        <v/>
      </c>
      <c r="K56" s="29">
        <f>'MODELO PARA BI'!BH63</f>
        <v/>
      </c>
      <c r="L56" s="29">
        <f>'MODELO PARA BI'!BH64</f>
        <v/>
      </c>
      <c r="M56" s="17">
        <f>M55+J56</f>
        <v/>
      </c>
    </row>
    <row r="57">
      <c r="A57" s="45">
        <f>'MODELO PARA BI'!BI1</f>
        <v/>
      </c>
      <c r="B57" s="46" t="n"/>
      <c r="C57" s="36">
        <f>C56+B57</f>
        <v/>
      </c>
      <c r="D57" s="37">
        <f>IF(A57&lt;='VALOR POR PL'!$P$5,'MODELO PARA BI'!BI61,0)</f>
        <v/>
      </c>
      <c r="E57" s="37">
        <f>IF(A57&gt;'VALOR POR PL'!$P$5,'MODELO PARA BI'!BI61,0)</f>
        <v/>
      </c>
      <c r="F57" s="36">
        <f>IF('MODELO PARA BI'!$E$61=0,0,(D57+E57)/'MODELO PARA BI'!$E$61)</f>
        <v/>
      </c>
      <c r="G57" s="36">
        <f>G56+F57</f>
        <v/>
      </c>
      <c r="I57" s="12">
        <f>B57*'VALOR POR PL'!$G$50</f>
        <v/>
      </c>
      <c r="J57" s="17">
        <f>I57*IF(A57&lt;='VALOR POR PL'!$P$5,IFERROR(INDEX('"INCC-FGV"'!$B$2:$B$400,MATCH(A57,'"INCC-FGV"'!$A$2:$A$400,0)),'VALOR POR PL'!$P$7),'VALOR POR PL'!$P$7)</f>
        <v/>
      </c>
      <c r="K57" s="29">
        <f>'MODELO PARA BI'!BI63</f>
        <v/>
      </c>
      <c r="L57" s="29">
        <f>'MODELO PARA BI'!BI64</f>
        <v/>
      </c>
      <c r="M57" s="17">
        <f>M56+J57</f>
        <v/>
      </c>
    </row>
    <row r="58">
      <c r="A58" s="45">
        <f>'MODELO PARA BI'!BJ1</f>
        <v/>
      </c>
      <c r="B58" s="46" t="n"/>
      <c r="C58" s="36">
        <f>C57+B58</f>
        <v/>
      </c>
      <c r="D58" s="37">
        <f>IF(A58&lt;='VALOR POR PL'!$P$5,'MODELO PARA BI'!BJ61,0)</f>
        <v/>
      </c>
      <c r="E58" s="37">
        <f>IF(A58&gt;'VALOR POR PL'!$P$5,'MODELO PARA BI'!BJ61,0)</f>
        <v/>
      </c>
      <c r="F58" s="36">
        <f>IF('MODELO PARA BI'!$E$61=0,0,(D58+E58)/'MODELO PARA BI'!$E$61)</f>
        <v/>
      </c>
      <c r="G58" s="36">
        <f>G57+F58</f>
        <v/>
      </c>
      <c r="I58" s="12">
        <f>B58*'VALOR POR PL'!$G$50</f>
        <v/>
      </c>
      <c r="J58" s="17">
        <f>I58*IF(A58&lt;='VALOR POR PL'!$P$5,IFERROR(INDEX('"INCC-FGV"'!$B$2:$B$400,MATCH(A58,'"INCC-FGV"'!$A$2:$A$400,0)),'VALOR POR PL'!$P$7),'VALOR POR PL'!$P$7)</f>
        <v/>
      </c>
      <c r="K58" s="29">
        <f>'MODELO PARA BI'!BJ63</f>
        <v/>
      </c>
      <c r="L58" s="29">
        <f>'MODELO PARA BI'!BJ64</f>
        <v/>
      </c>
      <c r="M58" s="17">
        <f>M57+J58</f>
        <v/>
      </c>
    </row>
    <row r="59">
      <c r="A59" s="45">
        <f>'MODELO PARA BI'!BK1</f>
        <v/>
      </c>
      <c r="B59" s="46" t="n"/>
      <c r="C59" s="36">
        <f>C58+B59</f>
        <v/>
      </c>
      <c r="D59" s="37">
        <f>IF(A59&lt;='VALOR POR PL'!$P$5,'MODELO PARA BI'!BK61,0)</f>
        <v/>
      </c>
      <c r="E59" s="37">
        <f>IF(A59&gt;'VALOR POR PL'!$P$5,'MODELO PARA BI'!BK61,0)</f>
        <v/>
      </c>
      <c r="F59" s="36">
        <f>IF('MODELO PARA BI'!$E$61=0,0,(D59+E59)/'MODELO PARA BI'!$E$61)</f>
        <v/>
      </c>
      <c r="G59" s="36">
        <f>G58+F59</f>
        <v/>
      </c>
      <c r="I59" s="12">
        <f>B59*'VALOR POR PL'!$G$50</f>
        <v/>
      </c>
      <c r="J59" s="17">
        <f>I59*IF(A59&lt;='VALOR POR PL'!$P$5,IFERROR(INDEX('"INCC-FGV"'!$B$2:$B$400,MATCH(A59,'"INCC-FGV"'!$A$2:$A$400,0)),'VALOR POR PL'!$P$7),'VALOR POR PL'!$P$7)</f>
        <v/>
      </c>
      <c r="K59" s="29">
        <f>'MODELO PARA BI'!BK63</f>
        <v/>
      </c>
      <c r="L59" s="29">
        <f>'MODELO PARA BI'!BK64</f>
        <v/>
      </c>
      <c r="M59" s="17">
        <f>M58+J59</f>
        <v/>
      </c>
    </row>
    <row r="60">
      <c r="A60" s="45">
        <f>'MODELO PARA BI'!BL1</f>
        <v/>
      </c>
      <c r="B60" s="46" t="n"/>
      <c r="C60" s="36">
        <f>C59+B60</f>
        <v/>
      </c>
      <c r="D60" s="37">
        <f>IF(A60&lt;='VALOR POR PL'!$P$5,'MODELO PARA BI'!BL61,0)</f>
        <v/>
      </c>
      <c r="E60" s="37">
        <f>IF(A60&gt;'VALOR POR PL'!$P$5,'MODELO PARA BI'!BL61,0)</f>
        <v/>
      </c>
      <c r="F60" s="36">
        <f>IF('MODELO PARA BI'!$E$61=0,0,(D60+E60)/'MODELO PARA BI'!$E$61)</f>
        <v/>
      </c>
      <c r="G60" s="36">
        <f>G59+F60</f>
        <v/>
      </c>
      <c r="I60" s="12">
        <f>B60*'VALOR POR PL'!$G$50</f>
        <v/>
      </c>
      <c r="J60" s="17">
        <f>I60*IF(A60&lt;='VALOR POR PL'!$P$5,IFERROR(INDEX('"INCC-FGV"'!$B$2:$B$400,MATCH(A60,'"INCC-FGV"'!$A$2:$A$400,0)),'VALOR POR PL'!$P$7),'VALOR POR PL'!$P$7)</f>
        <v/>
      </c>
      <c r="K60" s="29">
        <f>'MODELO PARA BI'!BL63</f>
        <v/>
      </c>
      <c r="L60" s="29">
        <f>'MODELO PARA BI'!BL64</f>
        <v/>
      </c>
      <c r="M60" s="17">
        <f>M59+J60</f>
        <v/>
      </c>
    </row>
    <row r="61">
      <c r="A61" s="45">
        <f>'MODELO PARA BI'!BM1</f>
        <v/>
      </c>
      <c r="B61" s="46" t="n"/>
      <c r="C61" s="36">
        <f>C60+B61</f>
        <v/>
      </c>
      <c r="D61" s="37">
        <f>IF(A61&lt;='VALOR POR PL'!$P$5,'MODELO PARA BI'!BM61,0)</f>
        <v/>
      </c>
      <c r="E61" s="37">
        <f>IF(A61&gt;'VALOR POR PL'!$P$5,'MODELO PARA BI'!BM61,0)</f>
        <v/>
      </c>
      <c r="F61" s="36">
        <f>IF('MODELO PARA BI'!$E$61=0,0,(D61+E61)/'MODELO PARA BI'!$E$61)</f>
        <v/>
      </c>
      <c r="G61" s="36">
        <f>G60+F61</f>
        <v/>
      </c>
      <c r="I61" s="12">
        <f>B61*'VALOR POR PL'!$G$50</f>
        <v/>
      </c>
      <c r="J61" s="17">
        <f>I61*IF(A61&lt;='VALOR POR PL'!$P$5,IFERROR(INDEX('"INCC-FGV"'!$B$2:$B$400,MATCH(A61,'"INCC-FGV"'!$A$2:$A$400,0)),'VALOR POR PL'!$P$7),'VALOR POR PL'!$P$7)</f>
        <v/>
      </c>
      <c r="K61" s="29">
        <f>'MODELO PARA BI'!BM63</f>
        <v/>
      </c>
      <c r="L61" s="29">
        <f>'MODELO PARA BI'!BM64</f>
        <v/>
      </c>
      <c r="M61" s="17">
        <f>M60+J61</f>
        <v/>
      </c>
    </row>
    <row r="62">
      <c r="A62" s="45">
        <f>'MODELO PARA BI'!BN1</f>
        <v/>
      </c>
      <c r="B62" s="46" t="n"/>
      <c r="C62" s="36">
        <f>C61+B62</f>
        <v/>
      </c>
      <c r="D62" s="37">
        <f>IF(A62&lt;='VALOR POR PL'!$P$5,'MODELO PARA BI'!BN61,0)</f>
        <v/>
      </c>
      <c r="E62" s="37">
        <f>IF(A62&gt;'VALOR POR PL'!$P$5,'MODELO PARA BI'!BN61,0)</f>
        <v/>
      </c>
      <c r="F62" s="36">
        <f>IF('MODELO PARA BI'!$E$61=0,0,(D62+E62)/'MODELO PARA BI'!$E$61)</f>
        <v/>
      </c>
      <c r="G62" s="36">
        <f>G61+F62</f>
        <v/>
      </c>
      <c r="I62" s="12">
        <f>B62*'VALOR POR PL'!$G$50</f>
        <v/>
      </c>
      <c r="J62" s="17">
        <f>I62*IF(A62&lt;='VALOR POR PL'!$P$5,IFERROR(INDEX('"INCC-FGV"'!$B$2:$B$400,MATCH(A62,'"INCC-FGV"'!$A$2:$A$400,0)),'VALOR POR PL'!$P$7),'VALOR POR PL'!$P$7)</f>
        <v/>
      </c>
      <c r="K62" s="29">
        <f>'MODELO PARA BI'!BN63</f>
        <v/>
      </c>
      <c r="L62" s="29">
        <f>'MODELO PARA BI'!BN64</f>
        <v/>
      </c>
      <c r="M62" s="17">
        <f>M61+J62</f>
        <v/>
      </c>
    </row>
    <row r="63">
      <c r="A63" s="45">
        <f>'MODELO PARA BI'!BO1</f>
        <v/>
      </c>
      <c r="B63" s="46" t="n"/>
      <c r="C63" s="36">
        <f>C62+B63</f>
        <v/>
      </c>
      <c r="D63" s="37">
        <f>IF(A63&lt;='VALOR POR PL'!$P$5,'MODELO PARA BI'!BO61,0)</f>
        <v/>
      </c>
      <c r="E63" s="37">
        <f>IF(A63&gt;'VALOR POR PL'!$P$5,'MODELO PARA BI'!BO61,0)</f>
        <v/>
      </c>
      <c r="F63" s="36">
        <f>IF('MODELO PARA BI'!$E$61=0,0,(D63+E63)/'MODELO PARA BI'!$E$61)</f>
        <v/>
      </c>
      <c r="G63" s="36">
        <f>G62+F63</f>
        <v/>
      </c>
      <c r="I63" s="12">
        <f>B63*'VALOR POR PL'!$G$50</f>
        <v/>
      </c>
      <c r="J63" s="17">
        <f>I63*IF(A63&lt;='VALOR POR PL'!$P$5,IFERROR(INDEX('"INCC-FGV"'!$B$2:$B$400,MATCH(A63,'"INCC-FGV"'!$A$2:$A$400,0)),'VALOR POR PL'!$P$7),'VALOR POR PL'!$P$7)</f>
        <v/>
      </c>
      <c r="K63" s="29">
        <f>'MODELO PARA BI'!BO63</f>
        <v/>
      </c>
      <c r="L63" s="29">
        <f>'MODELO PARA BI'!BO64</f>
        <v/>
      </c>
      <c r="M63" s="17">
        <f>M62+J63</f>
        <v/>
      </c>
    </row>
    <row r="64">
      <c r="A64" s="45">
        <f>'MODELO PARA BI'!BP1</f>
        <v/>
      </c>
      <c r="B64" s="46" t="n"/>
      <c r="C64" s="36">
        <f>C63+B64</f>
        <v/>
      </c>
      <c r="D64" s="37">
        <f>IF(A64&lt;='VALOR POR PL'!$P$5,'MODELO PARA BI'!BP61,0)</f>
        <v/>
      </c>
      <c r="E64" s="37">
        <f>IF(A64&gt;'VALOR POR PL'!$P$5,'MODELO PARA BI'!BP61,0)</f>
        <v/>
      </c>
      <c r="F64" s="36">
        <f>IF('MODELO PARA BI'!$E$61=0,0,(D64+E64)/'MODELO PARA BI'!$E$61)</f>
        <v/>
      </c>
      <c r="G64" s="36">
        <f>G63+F64</f>
        <v/>
      </c>
      <c r="I64" s="12">
        <f>B64*'VALOR POR PL'!$G$50</f>
        <v/>
      </c>
      <c r="J64" s="17">
        <f>I64*IF(A64&lt;='VALOR POR PL'!$P$5,IFERROR(INDEX('"INCC-FGV"'!$B$2:$B$400,MATCH(A64,'"INCC-FGV"'!$A$2:$A$400,0)),'VALOR POR PL'!$P$7),'VALOR POR PL'!$P$7)</f>
        <v/>
      </c>
      <c r="K64" s="29">
        <f>'MODELO PARA BI'!BP63</f>
        <v/>
      </c>
      <c r="L64" s="29">
        <f>'MODELO PARA BI'!BP64</f>
        <v/>
      </c>
      <c r="M64" s="17">
        <f>M63+J64</f>
        <v/>
      </c>
    </row>
    <row r="65">
      <c r="A65" s="45">
        <f>'MODELO PARA BI'!BQ1</f>
        <v/>
      </c>
      <c r="B65" s="46" t="n"/>
      <c r="C65" s="36">
        <f>C64+B65</f>
        <v/>
      </c>
      <c r="D65" s="37">
        <f>IF(A65&lt;='VALOR POR PL'!$P$5,'MODELO PARA BI'!BQ61,0)</f>
        <v/>
      </c>
      <c r="E65" s="37">
        <f>IF(A65&gt;'VALOR POR PL'!$P$5,'MODELO PARA BI'!BQ61,0)</f>
        <v/>
      </c>
      <c r="F65" s="36">
        <f>IF('MODELO PARA BI'!$E$61=0,0,(D65+E65)/'MODELO PARA BI'!$E$61)</f>
        <v/>
      </c>
      <c r="G65" s="36">
        <f>G64+F65</f>
        <v/>
      </c>
      <c r="I65" s="12">
        <f>B65*'VALOR POR PL'!$G$50</f>
        <v/>
      </c>
      <c r="J65" s="17">
        <f>I65*IF(A65&lt;='VALOR POR PL'!$P$5,IFERROR(INDEX('"INCC-FGV"'!$B$2:$B$400,MATCH(A65,'"INCC-FGV"'!$A$2:$A$400,0)),'VALOR POR PL'!$P$7),'VALOR POR PL'!$P$7)</f>
        <v/>
      </c>
      <c r="K65" s="29">
        <f>'MODELO PARA BI'!BQ63</f>
        <v/>
      </c>
      <c r="L65" s="29">
        <f>'MODELO PARA BI'!BQ64</f>
        <v/>
      </c>
      <c r="M65" s="17">
        <f>M64+J65</f>
        <v/>
      </c>
    </row>
    <row r="66">
      <c r="A66" s="45">
        <f>'MODELO PARA BI'!BR1</f>
        <v/>
      </c>
      <c r="B66" s="46" t="n"/>
      <c r="C66" s="36">
        <f>C65+B66</f>
        <v/>
      </c>
      <c r="D66" s="37">
        <f>IF(A66&lt;='VALOR POR PL'!$P$5,'MODELO PARA BI'!BR61,0)</f>
        <v/>
      </c>
      <c r="E66" s="37">
        <f>IF(A66&gt;'VALOR POR PL'!$P$5,'MODELO PARA BI'!BR61,0)</f>
        <v/>
      </c>
      <c r="F66" s="36">
        <f>IF('MODELO PARA BI'!$E$61=0,0,(D66+E66)/'MODELO PARA BI'!$E$61)</f>
        <v/>
      </c>
      <c r="G66" s="36">
        <f>G65+F66</f>
        <v/>
      </c>
      <c r="I66" s="12">
        <f>B66*'VALOR POR PL'!$G$50</f>
        <v/>
      </c>
      <c r="J66" s="17">
        <f>I66*IF(A66&lt;='VALOR POR PL'!$P$5,IFERROR(INDEX('"INCC-FGV"'!$B$2:$B$400,MATCH(A66,'"INCC-FGV"'!$A$2:$A$400,0)),'VALOR POR PL'!$P$7),'VALOR POR PL'!$P$7)</f>
        <v/>
      </c>
      <c r="K66" s="29">
        <f>'MODELO PARA BI'!BR63</f>
        <v/>
      </c>
      <c r="L66" s="29">
        <f>'MODELO PARA BI'!BR64</f>
        <v/>
      </c>
      <c r="M66" s="17">
        <f>M65+J66</f>
        <v/>
      </c>
    </row>
    <row r="67">
      <c r="A67" s="45">
        <f>'MODELO PARA BI'!BS1</f>
        <v/>
      </c>
      <c r="B67" s="46" t="n"/>
      <c r="C67" s="36">
        <f>C66+B67</f>
        <v/>
      </c>
      <c r="D67" s="37">
        <f>IF(A67&lt;='VALOR POR PL'!$P$5,'MODELO PARA BI'!BS61,0)</f>
        <v/>
      </c>
      <c r="E67" s="37">
        <f>IF(A67&gt;'VALOR POR PL'!$P$5,'MODELO PARA BI'!BS61,0)</f>
        <v/>
      </c>
      <c r="F67" s="36">
        <f>IF('MODELO PARA BI'!$E$61=0,0,(D67+E67)/'MODELO PARA BI'!$E$61)</f>
        <v/>
      </c>
      <c r="G67" s="36">
        <f>G66+F67</f>
        <v/>
      </c>
      <c r="I67" s="12">
        <f>B67*'VALOR POR PL'!$G$50</f>
        <v/>
      </c>
      <c r="J67" s="17">
        <f>I67*IF(A67&lt;='VALOR POR PL'!$P$5,IFERROR(INDEX('"INCC-FGV"'!$B$2:$B$400,MATCH(A67,'"INCC-FGV"'!$A$2:$A$400,0)),'VALOR POR PL'!$P$7),'VALOR POR PL'!$P$7)</f>
        <v/>
      </c>
      <c r="K67" s="29">
        <f>'MODELO PARA BI'!BS63</f>
        <v/>
      </c>
      <c r="L67" s="29">
        <f>'MODELO PARA BI'!BS64</f>
        <v/>
      </c>
      <c r="M67" s="17">
        <f>M66+J67</f>
        <v/>
      </c>
    </row>
    <row r="68">
      <c r="A68" s="45">
        <f>'MODELO PARA BI'!BT1</f>
        <v/>
      </c>
      <c r="B68" s="46" t="n"/>
      <c r="C68" s="36">
        <f>C67+B68</f>
        <v/>
      </c>
      <c r="D68" s="37">
        <f>IF(A68&lt;='VALOR POR PL'!$P$5,'MODELO PARA BI'!BT61,0)</f>
        <v/>
      </c>
      <c r="E68" s="37">
        <f>IF(A68&gt;'VALOR POR PL'!$P$5,'MODELO PARA BI'!BT61,0)</f>
        <v/>
      </c>
      <c r="F68" s="36">
        <f>IF('MODELO PARA BI'!$E$61=0,0,(D68+E68)/'MODELO PARA BI'!$E$61)</f>
        <v/>
      </c>
      <c r="G68" s="36">
        <f>G67+F68</f>
        <v/>
      </c>
      <c r="I68" s="12">
        <f>B68*'VALOR POR PL'!$G$50</f>
        <v/>
      </c>
      <c r="J68" s="17">
        <f>I68*IF(A68&lt;='VALOR POR PL'!$P$5,IFERROR(INDEX('"INCC-FGV"'!$B$2:$B$400,MATCH(A68,'"INCC-FGV"'!$A$2:$A$400,0)),'VALOR POR PL'!$P$7),'VALOR POR PL'!$P$7)</f>
        <v/>
      </c>
      <c r="K68" s="29">
        <f>'MODELO PARA BI'!BT63</f>
        <v/>
      </c>
      <c r="L68" s="29">
        <f>'MODELO PARA BI'!BT64</f>
        <v/>
      </c>
      <c r="M68" s="17">
        <f>M67+J68</f>
        <v/>
      </c>
    </row>
    <row r="69">
      <c r="A69" s="45">
        <f>'MODELO PARA BI'!BU1</f>
        <v/>
      </c>
      <c r="B69" s="46" t="n"/>
      <c r="C69" s="36">
        <f>C68+B69</f>
        <v/>
      </c>
      <c r="D69" s="37">
        <f>IF(A69&lt;='VALOR POR PL'!$P$5,'MODELO PARA BI'!BU61,0)</f>
        <v/>
      </c>
      <c r="E69" s="37">
        <f>IF(A69&gt;'VALOR POR PL'!$P$5,'MODELO PARA BI'!BU61,0)</f>
        <v/>
      </c>
      <c r="F69" s="36">
        <f>IF('MODELO PARA BI'!$E$61=0,0,(D69+E69)/'MODELO PARA BI'!$E$61)</f>
        <v/>
      </c>
      <c r="G69" s="36">
        <f>G68+F69</f>
        <v/>
      </c>
      <c r="I69" s="12">
        <f>B69*'VALOR POR PL'!$G$50</f>
        <v/>
      </c>
      <c r="J69" s="17">
        <f>I69*IF(A69&lt;='VALOR POR PL'!$P$5,IFERROR(INDEX('"INCC-FGV"'!$B$2:$B$400,MATCH(A69,'"INCC-FGV"'!$A$2:$A$400,0)),'VALOR POR PL'!$P$7),'VALOR POR PL'!$P$7)</f>
        <v/>
      </c>
      <c r="K69" s="29">
        <f>'MODELO PARA BI'!BU63</f>
        <v/>
      </c>
      <c r="L69" s="29">
        <f>'MODELO PARA BI'!BU64</f>
        <v/>
      </c>
      <c r="M69" s="17">
        <f>M68+J69</f>
        <v/>
      </c>
    </row>
    <row r="70">
      <c r="A70" s="45">
        <f>'MODELO PARA BI'!BV1</f>
        <v/>
      </c>
      <c r="B70" s="46" t="n"/>
      <c r="C70" s="36">
        <f>C69+B70</f>
        <v/>
      </c>
      <c r="D70" s="37">
        <f>IF(A70&lt;='VALOR POR PL'!$P$5,'MODELO PARA BI'!BV61,0)</f>
        <v/>
      </c>
      <c r="E70" s="37">
        <f>IF(A70&gt;'VALOR POR PL'!$P$5,'MODELO PARA BI'!BV61,0)</f>
        <v/>
      </c>
      <c r="F70" s="36">
        <f>IF('MODELO PARA BI'!$E$61=0,0,(D70+E70)/'MODELO PARA BI'!$E$61)</f>
        <v/>
      </c>
      <c r="G70" s="36">
        <f>G69+F70</f>
        <v/>
      </c>
      <c r="I70" s="12">
        <f>B70*'VALOR POR PL'!$G$50</f>
        <v/>
      </c>
      <c r="J70" s="17">
        <f>I70*IF(A70&lt;='VALOR POR PL'!$P$5,IFERROR(INDEX('"INCC-FGV"'!$B$2:$B$400,MATCH(A70,'"INCC-FGV"'!$A$2:$A$400,0)),'VALOR POR PL'!$P$7),'VALOR POR PL'!$P$7)</f>
        <v/>
      </c>
      <c r="K70" s="29">
        <f>'MODELO PARA BI'!BV63</f>
        <v/>
      </c>
      <c r="L70" s="29">
        <f>'MODELO PARA BI'!BV64</f>
        <v/>
      </c>
      <c r="M70" s="17">
        <f>M69+J70</f>
        <v/>
      </c>
    </row>
    <row r="71">
      <c r="A71" s="45">
        <f>'MODELO PARA BI'!BW1</f>
        <v/>
      </c>
      <c r="B71" s="46" t="n"/>
      <c r="C71" s="36">
        <f>C70+B71</f>
        <v/>
      </c>
      <c r="D71" s="37">
        <f>IF(A71&lt;='VALOR POR PL'!$P$5,'MODELO PARA BI'!BW61,0)</f>
        <v/>
      </c>
      <c r="E71" s="37">
        <f>IF(A71&gt;'VALOR POR PL'!$P$5,'MODELO PARA BI'!BW61,0)</f>
        <v/>
      </c>
      <c r="F71" s="36">
        <f>IF('MODELO PARA BI'!$E$61=0,0,(D71+E71)/'MODELO PARA BI'!$E$61)</f>
        <v/>
      </c>
      <c r="G71" s="36">
        <f>G70+F71</f>
        <v/>
      </c>
      <c r="I71" s="12">
        <f>B71*'VALOR POR PL'!$G$50</f>
        <v/>
      </c>
      <c r="J71" s="17">
        <f>I71*IF(A71&lt;='VALOR POR PL'!$P$5,IFERROR(INDEX('"INCC-FGV"'!$B$2:$B$400,MATCH(A71,'"INCC-FGV"'!$A$2:$A$400,0)),'VALOR POR PL'!$P$7),'VALOR POR PL'!$P$7)</f>
        <v/>
      </c>
      <c r="K71" s="29">
        <f>'MODELO PARA BI'!BW63</f>
        <v/>
      </c>
      <c r="L71" s="29">
        <f>'MODELO PARA BI'!BW64</f>
        <v/>
      </c>
      <c r="M71" s="17">
        <f>M70+J71</f>
        <v/>
      </c>
    </row>
    <row r="72">
      <c r="A72" s="45">
        <f>'MODELO PARA BI'!BX1</f>
        <v/>
      </c>
      <c r="B72" s="46" t="n"/>
      <c r="C72" s="36">
        <f>C71+B72</f>
        <v/>
      </c>
      <c r="D72" s="37">
        <f>IF(A72&lt;='VALOR POR PL'!$P$5,'MODELO PARA BI'!BX61,0)</f>
        <v/>
      </c>
      <c r="E72" s="37">
        <f>IF(A72&gt;'VALOR POR PL'!$P$5,'MODELO PARA BI'!BX61,0)</f>
        <v/>
      </c>
      <c r="F72" s="36">
        <f>IF('MODELO PARA BI'!$E$61=0,0,(D72+E72)/'MODELO PARA BI'!$E$61)</f>
        <v/>
      </c>
      <c r="G72" s="36">
        <f>G71+F72</f>
        <v/>
      </c>
      <c r="I72" s="12">
        <f>B72*'VALOR POR PL'!$G$50</f>
        <v/>
      </c>
      <c r="J72" s="17">
        <f>I72*IF(A72&lt;='VALOR POR PL'!$P$5,IFERROR(INDEX('"INCC-FGV"'!$B$2:$B$400,MATCH(A72,'"INCC-FGV"'!$A$2:$A$400,0)),'VALOR POR PL'!$P$7),'VALOR POR PL'!$P$7)</f>
        <v/>
      </c>
      <c r="K72" s="29">
        <f>'MODELO PARA BI'!BX63</f>
        <v/>
      </c>
      <c r="L72" s="29">
        <f>'MODELO PARA BI'!BX64</f>
        <v/>
      </c>
      <c r="M72" s="17">
        <f>M71+J72</f>
        <v/>
      </c>
    </row>
    <row r="73">
      <c r="A73" s="45">
        <f>'MODELO PARA BI'!BY1</f>
        <v/>
      </c>
      <c r="B73" s="46" t="n"/>
      <c r="C73" s="36">
        <f>C72+B73</f>
        <v/>
      </c>
      <c r="D73" s="37">
        <f>IF(A73&lt;='VALOR POR PL'!$P$5,'MODELO PARA BI'!BY61,0)</f>
        <v/>
      </c>
      <c r="E73" s="37">
        <f>IF(A73&gt;'VALOR POR PL'!$P$5,'MODELO PARA BI'!BY61,0)</f>
        <v/>
      </c>
      <c r="F73" s="36">
        <f>IF('MODELO PARA BI'!$E$61=0,0,(D73+E73)/'MODELO PARA BI'!$E$61)</f>
        <v/>
      </c>
      <c r="G73" s="36">
        <f>G72+F73</f>
        <v/>
      </c>
      <c r="I73" s="12">
        <f>B73*'VALOR POR PL'!$G$50</f>
        <v/>
      </c>
      <c r="J73" s="17">
        <f>I73*IF(A73&lt;='VALOR POR PL'!$P$5,IFERROR(INDEX('"INCC-FGV"'!$B$2:$B$400,MATCH(A73,'"INCC-FGV"'!$A$2:$A$400,0)),'VALOR POR PL'!$P$7),'VALOR POR PL'!$P$7)</f>
        <v/>
      </c>
      <c r="K73" s="29">
        <f>'MODELO PARA BI'!BY63</f>
        <v/>
      </c>
      <c r="L73" s="29">
        <f>'MODELO PARA BI'!BY64</f>
        <v/>
      </c>
      <c r="M73" s="17">
        <f>M72+J73</f>
        <v/>
      </c>
    </row>
    <row r="74">
      <c r="A74" s="45">
        <f>'MODELO PARA BI'!BZ1</f>
        <v/>
      </c>
      <c r="B74" s="46" t="n"/>
      <c r="C74" s="36">
        <f>C73+B74</f>
        <v/>
      </c>
      <c r="D74" s="37">
        <f>IF(A74&lt;='VALOR POR PL'!$P$5,'MODELO PARA BI'!BZ61,0)</f>
        <v/>
      </c>
      <c r="E74" s="37">
        <f>IF(A74&gt;'VALOR POR PL'!$P$5,'MODELO PARA BI'!BZ61,0)</f>
        <v/>
      </c>
      <c r="F74" s="36">
        <f>IF('MODELO PARA BI'!$E$61=0,0,(D74+E74)/'MODELO PARA BI'!$E$61)</f>
        <v/>
      </c>
      <c r="G74" s="36">
        <f>G73+F74</f>
        <v/>
      </c>
      <c r="I74" s="12">
        <f>B74*'VALOR POR PL'!$G$50</f>
        <v/>
      </c>
      <c r="J74" s="17">
        <f>I74*IF(A74&lt;='VALOR POR PL'!$P$5,IFERROR(INDEX('"INCC-FGV"'!$B$2:$B$400,MATCH(A74,'"INCC-FGV"'!$A$2:$A$400,0)),'VALOR POR PL'!$P$7),'VALOR POR PL'!$P$7)</f>
        <v/>
      </c>
      <c r="K74" s="29">
        <f>'MODELO PARA BI'!BZ63</f>
        <v/>
      </c>
      <c r="L74" s="29">
        <f>'MODELO PARA BI'!BZ64</f>
        <v/>
      </c>
      <c r="M74" s="17">
        <f>M73+J74</f>
        <v/>
      </c>
    </row>
    <row r="75">
      <c r="A75" s="45">
        <f>'MODELO PARA BI'!CA1</f>
        <v/>
      </c>
      <c r="B75" s="46" t="n"/>
      <c r="C75" s="36">
        <f>C74+B75</f>
        <v/>
      </c>
      <c r="D75" s="37">
        <f>IF(A75&lt;='VALOR POR PL'!$P$5,'MODELO PARA BI'!CA61,0)</f>
        <v/>
      </c>
      <c r="E75" s="37">
        <f>IF(A75&gt;'VALOR POR PL'!$P$5,'MODELO PARA BI'!CA61,0)</f>
        <v/>
      </c>
      <c r="F75" s="36">
        <f>IF('MODELO PARA BI'!$E$61=0,0,(D75+E75)/'MODELO PARA BI'!$E$61)</f>
        <v/>
      </c>
      <c r="G75" s="36">
        <f>G74+F75</f>
        <v/>
      </c>
      <c r="I75" s="12">
        <f>B75*'VALOR POR PL'!$G$50</f>
        <v/>
      </c>
      <c r="J75" s="17">
        <f>I75*IF(A75&lt;='VALOR POR PL'!$P$5,IFERROR(INDEX('"INCC-FGV"'!$B$2:$B$400,MATCH(A75,'"INCC-FGV"'!$A$2:$A$400,0)),'VALOR POR PL'!$P$7),'VALOR POR PL'!$P$7)</f>
        <v/>
      </c>
      <c r="K75" s="29">
        <f>'MODELO PARA BI'!CA63</f>
        <v/>
      </c>
      <c r="L75" s="29">
        <f>'MODELO PARA BI'!CA64</f>
        <v/>
      </c>
      <c r="M75" s="17">
        <f>M74+J75</f>
        <v/>
      </c>
    </row>
  </sheetData>
  <conditionalFormatting sqref="A4:M75">
    <cfRule type="expression" priority="1" dxfId="3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20" t="inlineStr">
        <is>
          <t>Mês</t>
        </is>
      </c>
      <c r="B1" s="20" t="inlineStr">
        <is>
          <t>Índice</t>
        </is>
      </c>
      <c r="C1" s="20" t="inlineStr">
        <is>
          <t>(%) mês</t>
        </is>
      </c>
      <c r="D1" s="20" t="inlineStr">
        <is>
          <t>(%) no ano</t>
        </is>
      </c>
      <c r="E1" s="20" t="inlineStr">
        <is>
          <t>(%) 12 meses</t>
        </is>
      </c>
    </row>
    <row r="2">
      <c r="A2" s="47" t="n">
        <v>45536</v>
      </c>
      <c r="B2" s="10" t="n">
        <v>1136.521</v>
      </c>
      <c r="D2" s="48">
        <f>IF(B2="","",IFERROR(B2/INDEX($B$2:$B$400,MATCH(DATE(YEAR(A2)-1,12,1),$A$2:$A$400,0))-1,""))</f>
        <v/>
      </c>
      <c r="E2" s="48">
        <f>IF(B2="","",IFERROR(B2/INDEX($B$2:$B$400,MATCH(DATE(YEAR(A2)-1,MONTH(A2),1),$A$2:$A$400,0))-1,""))</f>
        <v/>
      </c>
      <c r="G2" s="49" t="inlineStr">
        <is>
          <t>Fonte: FGV (INCC-DI). Acrescente uma linha por mês.</t>
        </is>
      </c>
    </row>
    <row r="3">
      <c r="A3" s="47" t="n">
        <v>45566</v>
      </c>
      <c r="B3" s="10" t="n">
        <v>1144.136</v>
      </c>
      <c r="C3" s="48">
        <f>IF(OR(B3="",B2=""),"",B3/B2-1)</f>
        <v/>
      </c>
      <c r="D3" s="48">
        <f>IF(B3="","",IFERROR(B3/INDEX($B$2:$B$400,MATCH(DATE(YEAR(A3)-1,12,1),$A$2:$A$400,0))-1,""))</f>
        <v/>
      </c>
      <c r="E3" s="48">
        <f>IF(B3="","",IFERROR(B3/INDEX($B$2:$B$400,MATCH(DATE(YEAR(A3)-1,MONTH(A3),1),$A$2:$A$400,0))-1,""))</f>
        <v/>
      </c>
    </row>
    <row r="4">
      <c r="A4" s="47" t="n">
        <v>45597</v>
      </c>
      <c r="B4" s="10" t="n">
        <v>1149.158</v>
      </c>
      <c r="C4" s="48">
        <f>IF(OR(B4="",B3=""),"",B4/B3-1)</f>
        <v/>
      </c>
      <c r="D4" s="48">
        <f>IF(B4="","",IFERROR(B4/INDEX($B$2:$B$400,MATCH(DATE(YEAR(A4)-1,12,1),$A$2:$A$400,0))-1,""))</f>
        <v/>
      </c>
      <c r="E4" s="48">
        <f>IF(B4="","",IFERROR(B4/INDEX($B$2:$B$400,MATCH(DATE(YEAR(A4)-1,MONTH(A4),1),$A$2:$A$400,0))-1,""))</f>
        <v/>
      </c>
    </row>
    <row r="5">
      <c r="A5" s="47" t="n">
        <v>45627</v>
      </c>
      <c r="B5" s="10" t="n">
        <v>1154.99</v>
      </c>
      <c r="C5" s="48">
        <f>IF(OR(B5="",B4=""),"",B5/B4-1)</f>
        <v/>
      </c>
      <c r="D5" s="48">
        <f>IF(B5="","",IFERROR(B5/INDEX($B$2:$B$400,MATCH(DATE(YEAR(A5)-1,12,1),$A$2:$A$400,0))-1,""))</f>
        <v/>
      </c>
      <c r="E5" s="48">
        <f>IF(B5="","",IFERROR(B5/INDEX($B$2:$B$400,MATCH(DATE(YEAR(A5)-1,MONTH(A5),1),$A$2:$A$400,0))-1,""))</f>
        <v/>
      </c>
    </row>
    <row r="6">
      <c r="A6" s="47" t="n">
        <v>45658</v>
      </c>
      <c r="B6" s="10" t="n">
        <v>1163.221</v>
      </c>
      <c r="C6" s="48">
        <f>IF(OR(B6="",B5=""),"",B6/B5-1)</f>
        <v/>
      </c>
      <c r="D6" s="48">
        <f>IF(B6="","",IFERROR(B6/INDEX($B$2:$B$400,MATCH(DATE(YEAR(A6)-1,12,1),$A$2:$A$400,0))-1,""))</f>
        <v/>
      </c>
      <c r="E6" s="48">
        <f>IF(B6="","",IFERROR(B6/INDEX($B$2:$B$400,MATCH(DATE(YEAR(A6)-1,MONTH(A6),1),$A$2:$A$400,0))-1,""))</f>
        <v/>
      </c>
    </row>
    <row r="7">
      <c r="A7" s="47" t="n">
        <v>45689</v>
      </c>
      <c r="B7" s="10" t="n">
        <v>1169.156</v>
      </c>
      <c r="C7" s="48">
        <f>IF(OR(B7="",B6=""),"",B7/B6-1)</f>
        <v/>
      </c>
      <c r="D7" s="48">
        <f>IF(B7="","",IFERROR(B7/INDEX($B$2:$B$400,MATCH(DATE(YEAR(A7)-1,12,1),$A$2:$A$400,0))-1,""))</f>
        <v/>
      </c>
      <c r="E7" s="48">
        <f>IF(B7="","",IFERROR(B7/INDEX($B$2:$B$400,MATCH(DATE(YEAR(A7)-1,MONTH(A7),1),$A$2:$A$400,0))-1,""))</f>
        <v/>
      </c>
    </row>
    <row r="8">
      <c r="A8" s="47" t="n">
        <v>45717</v>
      </c>
      <c r="B8" s="10" t="n">
        <v>1173.586</v>
      </c>
      <c r="C8" s="48">
        <f>IF(OR(B8="",B7=""),"",B8/B7-1)</f>
        <v/>
      </c>
      <c r="D8" s="48">
        <f>IF(B8="","",IFERROR(B8/INDEX($B$2:$B$400,MATCH(DATE(YEAR(A8)-1,12,1),$A$2:$A$400,0))-1,""))</f>
        <v/>
      </c>
      <c r="E8" s="48">
        <f>IF(B8="","",IFERROR(B8/INDEX($B$2:$B$400,MATCH(DATE(YEAR(A8)-1,MONTH(A8),1),$A$2:$A$400,0))-1,""))</f>
        <v/>
      </c>
    </row>
    <row r="9">
      <c r="A9" s="47" t="n">
        <v>45748</v>
      </c>
      <c r="B9" s="10" t="n">
        <v>1180.564</v>
      </c>
      <c r="C9" s="48">
        <f>IF(OR(B9="",B8=""),"",B9/B8-1)</f>
        <v/>
      </c>
      <c r="D9" s="48">
        <f>IF(B9="","",IFERROR(B9/INDEX($B$2:$B$400,MATCH(DATE(YEAR(A9)-1,12,1),$A$2:$A$400,0))-1,""))</f>
        <v/>
      </c>
      <c r="E9" s="48">
        <f>IF(B9="","",IFERROR(B9/INDEX($B$2:$B$400,MATCH(DATE(YEAR(A9)-1,MONTH(A9),1),$A$2:$A$400,0))-1,""))</f>
        <v/>
      </c>
    </row>
    <row r="10">
      <c r="A10" s="47" t="n">
        <v>45778</v>
      </c>
      <c r="B10" s="10" t="n">
        <v>1183.606</v>
      </c>
      <c r="C10" s="48">
        <f>IF(OR(B10="",B9=""),"",B10/B9-1)</f>
        <v/>
      </c>
      <c r="D10" s="48">
        <f>IF(B10="","",IFERROR(B10/INDEX($B$2:$B$400,MATCH(DATE(YEAR(A10)-1,12,1),$A$2:$A$400,0))-1,""))</f>
        <v/>
      </c>
      <c r="E10" s="48">
        <f>IF(B10="","",IFERROR(B10/INDEX($B$2:$B$400,MATCH(DATE(YEAR(A10)-1,MONTH(A10),1),$A$2:$A$400,0))-1,""))</f>
        <v/>
      </c>
    </row>
    <row r="11">
      <c r="A11" s="47" t="n">
        <v>45809</v>
      </c>
      <c r="B11" s="10" t="n">
        <v>1194.912</v>
      </c>
      <c r="C11" s="48">
        <f>IF(OR(B11="",B10=""),"",B11/B10-1)</f>
        <v/>
      </c>
      <c r="D11" s="48">
        <f>IF(B11="","",IFERROR(B11/INDEX($B$2:$B$400,MATCH(DATE(YEAR(A11)-1,12,1),$A$2:$A$400,0))-1,""))</f>
        <v/>
      </c>
      <c r="E11" s="48">
        <f>IF(B11="","",IFERROR(B11/INDEX($B$2:$B$400,MATCH(DATE(YEAR(A11)-1,MONTH(A11),1),$A$2:$A$400,0))-1,""))</f>
        <v/>
      </c>
    </row>
    <row r="12">
      <c r="A12" s="47" t="n">
        <v>45839</v>
      </c>
      <c r="B12" s="10" t="n">
        <v>1205.838</v>
      </c>
      <c r="C12" s="48">
        <f>IF(OR(B12="",B11=""),"",B12/B11-1)</f>
        <v/>
      </c>
      <c r="D12" s="48">
        <f>IF(B12="","",IFERROR(B12/INDEX($B$2:$B$400,MATCH(DATE(YEAR(A12)-1,12,1),$A$2:$A$400,0))-1,""))</f>
        <v/>
      </c>
      <c r="E12" s="48">
        <f>IF(B12="","",IFERROR(B12/INDEX($B$2:$B$400,MATCH(DATE(YEAR(A12)-1,MONTH(A12),1),$A$2:$A$400,0))-1,""))</f>
        <v/>
      </c>
    </row>
    <row r="13">
      <c r="A13" s="47" t="n">
        <v>45870</v>
      </c>
      <c r="B13" s="10" t="n">
        <v>1214.239</v>
      </c>
      <c r="C13" s="48">
        <f>IF(OR(B13="",B12=""),"",B13/B12-1)</f>
        <v/>
      </c>
      <c r="D13" s="48">
        <f>IF(B13="","",IFERROR(B13/INDEX($B$2:$B$400,MATCH(DATE(YEAR(A13)-1,12,1),$A$2:$A$400,0))-1,""))</f>
        <v/>
      </c>
      <c r="E13" s="48">
        <f>IF(B13="","",IFERROR(B13/INDEX($B$2:$B$400,MATCH(DATE(YEAR(A13)-1,MONTH(A13),1),$A$2:$A$400,0))-1,""))</f>
        <v/>
      </c>
    </row>
    <row r="14">
      <c r="A14" s="47" t="n">
        <v>45901</v>
      </c>
      <c r="B14" s="10" t="n">
        <v>1216.825</v>
      </c>
      <c r="C14" s="48">
        <f>IF(OR(B14="",B13=""),"",B14/B13-1)</f>
        <v/>
      </c>
      <c r="D14" s="48">
        <f>IF(B14="","",IFERROR(B14/INDEX($B$2:$B$400,MATCH(DATE(YEAR(A14)-1,12,1),$A$2:$A$400,0))-1,""))</f>
        <v/>
      </c>
      <c r="E14" s="48">
        <f>IF(B14="","",IFERROR(B14/INDEX($B$2:$B$400,MATCH(DATE(YEAR(A14)-1,MONTH(A14),1),$A$2:$A$400,0))-1,""))</f>
        <v/>
      </c>
    </row>
    <row r="15">
      <c r="A15" s="47" t="n">
        <v>45931</v>
      </c>
      <c r="B15" s="10" t="n">
        <v>1219.407</v>
      </c>
      <c r="C15" s="48">
        <f>IF(OR(B15="",B14=""),"",B15/B14-1)</f>
        <v/>
      </c>
      <c r="D15" s="48">
        <f>IF(B15="","",IFERROR(B15/INDEX($B$2:$B$400,MATCH(DATE(YEAR(A15)-1,12,1),$A$2:$A$400,0))-1,""))</f>
        <v/>
      </c>
      <c r="E15" s="48">
        <f>IF(B15="","",IFERROR(B15/INDEX($B$2:$B$400,MATCH(DATE(YEAR(A15)-1,MONTH(A15),1),$A$2:$A$400,0))-1,""))</f>
        <v/>
      </c>
    </row>
    <row r="16">
      <c r="A16" s="47" t="n">
        <v>45962</v>
      </c>
      <c r="B16" s="10" t="n">
        <v>1222.865</v>
      </c>
      <c r="C16" s="48">
        <f>IF(OR(B16="",B15=""),"",B16/B15-1)</f>
        <v/>
      </c>
      <c r="D16" s="48">
        <f>IF(B16="","",IFERROR(B16/INDEX($B$2:$B$400,MATCH(DATE(YEAR(A16)-1,12,1),$A$2:$A$400,0))-1,""))</f>
        <v/>
      </c>
      <c r="E16" s="48">
        <f>IF(B16="","",IFERROR(B16/INDEX($B$2:$B$400,MATCH(DATE(YEAR(A16)-1,MONTH(A16),1),$A$2:$A$400,0))-1,""))</f>
        <v/>
      </c>
    </row>
    <row r="17">
      <c r="A17" s="47" t="n">
        <v>45992</v>
      </c>
      <c r="B17" s="10" t="n">
        <v>1225.398</v>
      </c>
      <c r="C17" s="48">
        <f>IF(OR(B17="",B16=""),"",B17/B16-1)</f>
        <v/>
      </c>
      <c r="D17" s="48">
        <f>IF(B17="","",IFERROR(B17/INDEX($B$2:$B$400,MATCH(DATE(YEAR(A17)-1,12,1),$A$2:$A$400,0))-1,""))</f>
        <v/>
      </c>
      <c r="E17" s="48">
        <f>IF(B17="","",IFERROR(B17/INDEX($B$2:$B$400,MATCH(DATE(YEAR(A17)-1,MONTH(A17),1),$A$2:$A$400,0))-1,""))</f>
        <v/>
      </c>
    </row>
    <row r="18">
      <c r="A18" s="47" t="n">
        <v>46023</v>
      </c>
      <c r="B18" s="10" t="n">
        <v>1233.096</v>
      </c>
      <c r="C18" s="48">
        <f>IF(OR(B18="",B17=""),"",B18/B17-1)</f>
        <v/>
      </c>
      <c r="D18" s="48">
        <f>IF(B18="","",IFERROR(B18/INDEX($B$2:$B$400,MATCH(DATE(YEAR(A18)-1,12,1),$A$2:$A$400,0))-1,""))</f>
        <v/>
      </c>
      <c r="E18" s="48">
        <f>IF(B18="","",IFERROR(B18/INDEX($B$2:$B$400,MATCH(DATE(YEAR(A18)-1,MONTH(A18),1),$A$2:$A$400,0))-1,""))</f>
        <v/>
      </c>
    </row>
    <row r="19">
      <c r="A19" s="47" t="n">
        <v>46054</v>
      </c>
      <c r="B19" s="10" t="n">
        <v>1237.312</v>
      </c>
      <c r="C19" s="48">
        <f>IF(OR(B19="",B18=""),"",B19/B18-1)</f>
        <v/>
      </c>
      <c r="D19" s="48">
        <f>IF(B19="","",IFERROR(B19/INDEX($B$2:$B$400,MATCH(DATE(YEAR(A19)-1,12,1),$A$2:$A$400,0))-1,""))</f>
        <v/>
      </c>
      <c r="E19" s="48">
        <f>IF(B19="","",IFERROR(B19/INDEX($B$2:$B$400,MATCH(DATE(YEAR(A19)-1,MONTH(A19),1),$A$2:$A$400,0))-1,""))</f>
        <v/>
      </c>
    </row>
    <row r="20">
      <c r="A20" s="47" t="n">
        <v>46082</v>
      </c>
      <c r="B20" s="10" t="n">
        <v>1247.181</v>
      </c>
      <c r="C20" s="48">
        <f>IF(OR(B20="",B19=""),"",B20/B19-1)</f>
        <v/>
      </c>
      <c r="D20" s="48">
        <f>IF(B20="","",IFERROR(B20/INDEX($B$2:$B$400,MATCH(DATE(YEAR(A20)-1,12,1),$A$2:$A$400,0))-1,""))</f>
        <v/>
      </c>
      <c r="E20" s="48">
        <f>IF(B20="","",IFERROR(B20/INDEX($B$2:$B$400,MATCH(DATE(YEAR(A20)-1,MONTH(A20),1),$A$2:$A$400,0))-1,""))</f>
        <v/>
      </c>
    </row>
    <row r="21">
      <c r="A21" s="47" t="n">
        <v>46113</v>
      </c>
      <c r="B21" s="10" t="n">
        <v>1259.652</v>
      </c>
      <c r="C21" s="48">
        <f>IF(OR(B21="",B20=""),"",B21/B20-1)</f>
        <v/>
      </c>
      <c r="D21" s="48">
        <f>IF(B21="","",IFERROR(B21/INDEX($B$2:$B$400,MATCH(DATE(YEAR(A21)-1,12,1),$A$2:$A$400,0))-1,""))</f>
        <v/>
      </c>
      <c r="E21" s="48">
        <f>IF(B21="","",IFERROR(B21/INDEX($B$2:$B$400,MATCH(DATE(YEAR(A21)-1,MONTH(A21),1),$A$2:$A$400,0))-1,""))</f>
        <v/>
      </c>
    </row>
    <row r="22">
      <c r="A22" s="47" t="n">
        <v>46143</v>
      </c>
      <c r="B22" s="10" t="n">
        <v>1270.695</v>
      </c>
      <c r="C22" s="48">
        <f>IF(OR(B22="",B21=""),"",B22/B21-1)</f>
        <v/>
      </c>
      <c r="D22" s="48">
        <f>IF(B22="","",IFERROR(B22/INDEX($B$2:$B$400,MATCH(DATE(YEAR(A22)-1,12,1),$A$2:$A$400,0))-1,""))</f>
        <v/>
      </c>
      <c r="E22" s="48">
        <f>IF(B22="","",IFERROR(B22/INDEX($B$2:$B$400,MATCH(DATE(YEAR(A22)-1,MONTH(A22),1),$A$2:$A$400,0))-1,""))</f>
        <v/>
      </c>
    </row>
    <row r="23">
      <c r="A23" s="47" t="n">
        <v>46174</v>
      </c>
      <c r="B23" s="10" t="n">
        <v>1280.641</v>
      </c>
      <c r="C23" s="48">
        <f>IF(OR(B23="",B22=""),"",B23/B22-1)</f>
        <v/>
      </c>
      <c r="D23" s="48">
        <f>IF(B23="","",IFERROR(B23/INDEX($B$2:$B$400,MATCH(DATE(YEAR(A23)-1,12,1),$A$2:$A$400,0))-1,""))</f>
        <v/>
      </c>
      <c r="E23" s="48">
        <f>IF(B23="","",IFERROR(B23/INDEX($B$2:$B$400,MATCH(DATE(YEAR(A23)-1,MONTH(A23),1),$A$2:$A$400,0))-1,""))</f>
        <v/>
      </c>
    </row>
    <row r="24">
      <c r="A24" s="47" t="n">
        <v>46204</v>
      </c>
      <c r="B24" s="10" t="n">
        <v>1288.431</v>
      </c>
      <c r="C24" s="48">
        <f>IF(OR(B24="",B23=""),"",B24/B23-1)</f>
        <v/>
      </c>
      <c r="D24" s="48">
        <f>IF(B24="","",IFERROR(B24/INDEX($B$2:$B$400,MATCH(DATE(YEAR(A24)-1,12,1),$A$2:$A$400,0))-1,""))</f>
        <v/>
      </c>
      <c r="E24" s="48">
        <f>IF(B24="","",IFERROR(B24/INDEX($B$2:$B$400,MATCH(DATE(YEAR(A24)-1,MONTH(A24),1),$A$2:$A$400,0))-1,""))</f>
        <v/>
      </c>
    </row>
    <row r="25">
      <c r="A25" s="47" t="n">
        <v>46235</v>
      </c>
      <c r="B25" s="10" t="n">
        <v>1296.889</v>
      </c>
      <c r="C25" s="48">
        <f>IF(OR(B25="",B24=""),"",B25/B24-1)</f>
        <v/>
      </c>
      <c r="D25" s="48">
        <f>IF(B25="","",IFERROR(B25/INDEX($B$2:$B$400,MATCH(DATE(YEAR(A25)-1,12,1),$A$2:$A$400,0))-1,""))</f>
        <v/>
      </c>
      <c r="E25" s="48">
        <f>IF(B25="","",IFERROR(B25/INDEX($B$2:$B$400,MATCH(DATE(YEAR(A25)-1,MONTH(A25),1),$A$2:$A$400,0))-1,""))</f>
        <v/>
      </c>
    </row>
    <row r="26">
      <c r="A26" s="50" t="n"/>
      <c r="B26" s="51" t="n"/>
      <c r="C26" s="48">
        <f>IF(OR(B26="",B25=""),"",B26/B25-1)</f>
        <v/>
      </c>
      <c r="D26" s="48">
        <f>IF(B26="","",IFERROR(B26/INDEX($B$2:$B$400,MATCH(DATE(YEAR(A26)-1,12,1),$A$2:$A$400,0))-1,""))</f>
        <v/>
      </c>
      <c r="E26" s="48">
        <f>IF(B26="","",IFERROR(B26/INDEX($B$2:$B$400,MATCH(DATE(YEAR(A26)-1,MONTH(A26),1),$A$2:$A$400,0))-1,""))</f>
        <v/>
      </c>
    </row>
    <row r="27">
      <c r="A27" s="50" t="n"/>
      <c r="B27" s="51" t="n"/>
      <c r="C27" s="48">
        <f>IF(OR(B27="",B26=""),"",B27/B26-1)</f>
        <v/>
      </c>
      <c r="D27" s="48">
        <f>IF(B27="","",IFERROR(B27/INDEX($B$2:$B$400,MATCH(DATE(YEAR(A27)-1,12,1),$A$2:$A$400,0))-1,""))</f>
        <v/>
      </c>
      <c r="E27" s="48">
        <f>IF(B27="","",IFERROR(B27/INDEX($B$2:$B$400,MATCH(DATE(YEAR(A27)-1,MONTH(A27),1),$A$2:$A$400,0))-1,""))</f>
        <v/>
      </c>
    </row>
    <row r="28">
      <c r="A28" s="50" t="n"/>
      <c r="B28" s="51" t="n"/>
      <c r="C28" s="48">
        <f>IF(OR(B28="",B27=""),"",B28/B27-1)</f>
        <v/>
      </c>
      <c r="D28" s="48">
        <f>IF(B28="","",IFERROR(B28/INDEX($B$2:$B$400,MATCH(DATE(YEAR(A28)-1,12,1),$A$2:$A$400,0))-1,""))</f>
        <v/>
      </c>
      <c r="E28" s="48">
        <f>IF(B28="","",IFERROR(B28/INDEX($B$2:$B$400,MATCH(DATE(YEAR(A28)-1,MONTH(A28),1),$A$2:$A$400,0))-1,""))</f>
        <v/>
      </c>
    </row>
    <row r="29">
      <c r="A29" s="50" t="n"/>
      <c r="B29" s="51" t="n"/>
      <c r="C29" s="48">
        <f>IF(OR(B29="",B28=""),"",B29/B28-1)</f>
        <v/>
      </c>
      <c r="D29" s="48">
        <f>IF(B29="","",IFERROR(B29/INDEX($B$2:$B$400,MATCH(DATE(YEAR(A29)-1,12,1),$A$2:$A$400,0))-1,""))</f>
        <v/>
      </c>
      <c r="E29" s="48">
        <f>IF(B29="","",IFERROR(B29/INDEX($B$2:$B$400,MATCH(DATE(YEAR(A29)-1,MONTH(A29),1),$A$2:$A$400,0))-1,""))</f>
        <v/>
      </c>
    </row>
    <row r="30">
      <c r="A30" s="50" t="n"/>
      <c r="B30" s="51" t="n"/>
      <c r="C30" s="48">
        <f>IF(OR(B30="",B29=""),"",B30/B29-1)</f>
        <v/>
      </c>
      <c r="D30" s="48">
        <f>IF(B30="","",IFERROR(B30/INDEX($B$2:$B$400,MATCH(DATE(YEAR(A30)-1,12,1),$A$2:$A$400,0))-1,""))</f>
        <v/>
      </c>
      <c r="E30" s="48">
        <f>IF(B30="","",IFERROR(B30/INDEX($B$2:$B$400,MATCH(DATE(YEAR(A30)-1,MONTH(A30),1),$A$2:$A$400,0))-1,""))</f>
        <v/>
      </c>
    </row>
    <row r="31">
      <c r="A31" s="50" t="n"/>
      <c r="B31" s="51" t="n"/>
      <c r="C31" s="48">
        <f>IF(OR(B31="",B30=""),"",B31/B30-1)</f>
        <v/>
      </c>
      <c r="D31" s="48">
        <f>IF(B31="","",IFERROR(B31/INDEX($B$2:$B$400,MATCH(DATE(YEAR(A31)-1,12,1),$A$2:$A$400,0))-1,""))</f>
        <v/>
      </c>
      <c r="E31" s="48">
        <f>IF(B31="","",IFERROR(B31/INDEX($B$2:$B$400,MATCH(DATE(YEAR(A31)-1,MONTH(A31),1),$A$2:$A$400,0))-1,""))</f>
        <v/>
      </c>
    </row>
    <row r="32">
      <c r="A32" s="50" t="n"/>
      <c r="B32" s="51" t="n"/>
      <c r="C32" s="48">
        <f>IF(OR(B32="",B31=""),"",B32/B31-1)</f>
        <v/>
      </c>
      <c r="D32" s="48">
        <f>IF(B32="","",IFERROR(B32/INDEX($B$2:$B$400,MATCH(DATE(YEAR(A32)-1,12,1),$A$2:$A$400,0))-1,""))</f>
        <v/>
      </c>
      <c r="E32" s="48">
        <f>IF(B32="","",IFERROR(B32/INDEX($B$2:$B$400,MATCH(DATE(YEAR(A32)-1,MONTH(A32),1),$A$2:$A$400,0))-1,""))</f>
        <v/>
      </c>
    </row>
    <row r="33">
      <c r="A33" s="50" t="n"/>
      <c r="B33" s="51" t="n"/>
      <c r="C33" s="48">
        <f>IF(OR(B33="",B32=""),"",B33/B32-1)</f>
        <v/>
      </c>
      <c r="D33" s="48">
        <f>IF(B33="","",IFERROR(B33/INDEX($B$2:$B$400,MATCH(DATE(YEAR(A33)-1,12,1),$A$2:$A$400,0))-1,""))</f>
        <v/>
      </c>
      <c r="E33" s="48">
        <f>IF(B33="","",IFERROR(B33/INDEX($B$2:$B$400,MATCH(DATE(YEAR(A33)-1,MONTH(A33),1),$A$2:$A$400,0))-1,""))</f>
        <v/>
      </c>
    </row>
    <row r="34">
      <c r="A34" s="50" t="n"/>
      <c r="B34" s="51" t="n"/>
      <c r="C34" s="48">
        <f>IF(OR(B34="",B33=""),"",B34/B33-1)</f>
        <v/>
      </c>
      <c r="D34" s="48">
        <f>IF(B34="","",IFERROR(B34/INDEX($B$2:$B$400,MATCH(DATE(YEAR(A34)-1,12,1),$A$2:$A$400,0))-1,""))</f>
        <v/>
      </c>
      <c r="E34" s="48">
        <f>IF(B34="","",IFERROR(B34/INDEX($B$2:$B$400,MATCH(DATE(YEAR(A34)-1,MONTH(A34),1),$A$2:$A$400,0))-1,""))</f>
        <v/>
      </c>
    </row>
    <row r="35">
      <c r="A35" s="50" t="n"/>
      <c r="B35" s="51" t="n"/>
      <c r="C35" s="48">
        <f>IF(OR(B35="",B34=""),"",B35/B34-1)</f>
        <v/>
      </c>
      <c r="D35" s="48">
        <f>IF(B35="","",IFERROR(B35/INDEX($B$2:$B$400,MATCH(DATE(YEAR(A35)-1,12,1),$A$2:$A$400,0))-1,""))</f>
        <v/>
      </c>
      <c r="E35" s="48">
        <f>IF(B35="","",IFERROR(B35/INDEX($B$2:$B$400,MATCH(DATE(YEAR(A35)-1,MONTH(A35),1),$A$2:$A$400,0))-1,""))</f>
        <v/>
      </c>
    </row>
    <row r="36">
      <c r="A36" s="50" t="n"/>
      <c r="B36" s="51" t="n"/>
      <c r="C36" s="48">
        <f>IF(OR(B36="",B35=""),"",B36/B35-1)</f>
        <v/>
      </c>
      <c r="D36" s="48">
        <f>IF(B36="","",IFERROR(B36/INDEX($B$2:$B$400,MATCH(DATE(YEAR(A36)-1,12,1),$A$2:$A$400,0))-1,""))</f>
        <v/>
      </c>
      <c r="E36" s="48">
        <f>IF(B36="","",IFERROR(B36/INDEX($B$2:$B$400,MATCH(DATE(YEAR(A36)-1,MONTH(A36),1),$A$2:$A$400,0))-1,""))</f>
        <v/>
      </c>
    </row>
    <row r="37">
      <c r="A37" s="50" t="n"/>
      <c r="B37" s="51" t="n"/>
      <c r="C37" s="48">
        <f>IF(OR(B37="",B36=""),"",B37/B36-1)</f>
        <v/>
      </c>
      <c r="D37" s="48">
        <f>IF(B37="","",IFERROR(B37/INDEX($B$2:$B$400,MATCH(DATE(YEAR(A37)-1,12,1),$A$2:$A$400,0))-1,""))</f>
        <v/>
      </c>
      <c r="E37" s="48">
        <f>IF(B37="","",IFERROR(B37/INDEX($B$2:$B$400,MATCH(DATE(YEAR(A37)-1,MONTH(A37),1),$A$2:$A$400,0))-1,""))</f>
        <v/>
      </c>
    </row>
    <row r="38">
      <c r="A38" s="50" t="n"/>
      <c r="B38" s="51" t="n"/>
      <c r="C38" s="48">
        <f>IF(OR(B38="",B37=""),"",B38/B37-1)</f>
        <v/>
      </c>
      <c r="D38" s="48">
        <f>IF(B38="","",IFERROR(B38/INDEX($B$2:$B$400,MATCH(DATE(YEAR(A38)-1,12,1),$A$2:$A$400,0))-1,""))</f>
        <v/>
      </c>
      <c r="E38" s="48">
        <f>IF(B38="","",IFERROR(B38/INDEX($B$2:$B$400,MATCH(DATE(YEAR(A38)-1,MONTH(A38),1),$A$2:$A$400,0))-1,""))</f>
        <v/>
      </c>
    </row>
    <row r="39">
      <c r="A39" s="50" t="n"/>
      <c r="B39" s="51" t="n"/>
      <c r="C39" s="48">
        <f>IF(OR(B39="",B38=""),"",B39/B38-1)</f>
        <v/>
      </c>
      <c r="D39" s="48">
        <f>IF(B39="","",IFERROR(B39/INDEX($B$2:$B$400,MATCH(DATE(YEAR(A39)-1,12,1),$A$2:$A$400,0))-1,""))</f>
        <v/>
      </c>
      <c r="E39" s="48">
        <f>IF(B39="","",IFERROR(B39/INDEX($B$2:$B$400,MATCH(DATE(YEAR(A39)-1,MONTH(A39),1),$A$2:$A$400,0))-1,""))</f>
        <v/>
      </c>
    </row>
    <row r="40">
      <c r="A40" s="50" t="n"/>
      <c r="B40" s="51" t="n"/>
      <c r="C40" s="48">
        <f>IF(OR(B40="",B39=""),"",B40/B39-1)</f>
        <v/>
      </c>
      <c r="D40" s="48">
        <f>IF(B40="","",IFERROR(B40/INDEX($B$2:$B$400,MATCH(DATE(YEAR(A40)-1,12,1),$A$2:$A$400,0))-1,""))</f>
        <v/>
      </c>
      <c r="E40" s="48">
        <f>IF(B40="","",IFERROR(B40/INDEX($B$2:$B$400,MATCH(DATE(YEAR(A40)-1,MONTH(A40),1),$A$2:$A$400,0))-1,""))</f>
        <v/>
      </c>
    </row>
    <row r="41">
      <c r="A41" s="50" t="n"/>
      <c r="B41" s="51" t="n"/>
      <c r="C41" s="48">
        <f>IF(OR(B41="",B40=""),"",B41/B40-1)</f>
        <v/>
      </c>
      <c r="D41" s="48">
        <f>IF(B41="","",IFERROR(B41/INDEX($B$2:$B$400,MATCH(DATE(YEAR(A41)-1,12,1),$A$2:$A$400,0))-1,""))</f>
        <v/>
      </c>
      <c r="E41" s="48">
        <f>IF(B41="","",IFERROR(B41/INDEX($B$2:$B$400,MATCH(DATE(YEAR(A41)-1,MONTH(A41),1),$A$2:$A$400,0))-1,""))</f>
        <v/>
      </c>
    </row>
    <row r="42">
      <c r="A42" s="50" t="n"/>
      <c r="B42" s="51" t="n"/>
      <c r="C42" s="48">
        <f>IF(OR(B42="",B41=""),"",B42/B41-1)</f>
        <v/>
      </c>
      <c r="D42" s="48">
        <f>IF(B42="","",IFERROR(B42/INDEX($B$2:$B$400,MATCH(DATE(YEAR(A42)-1,12,1),$A$2:$A$400,0))-1,""))</f>
        <v/>
      </c>
      <c r="E42" s="48">
        <f>IF(B42="","",IFERROR(B42/INDEX($B$2:$B$400,MATCH(DATE(YEAR(A42)-1,MONTH(A42),1),$A$2:$A$400,0))-1,""))</f>
        <v/>
      </c>
    </row>
    <row r="43">
      <c r="A43" s="50" t="n"/>
      <c r="B43" s="51" t="n"/>
      <c r="C43" s="48">
        <f>IF(OR(B43="",B42=""),"",B43/B42-1)</f>
        <v/>
      </c>
      <c r="D43" s="48">
        <f>IF(B43="","",IFERROR(B43/INDEX($B$2:$B$400,MATCH(DATE(YEAR(A43)-1,12,1),$A$2:$A$400,0))-1,""))</f>
        <v/>
      </c>
      <c r="E43" s="48">
        <f>IF(B43="","",IFERROR(B43/INDEX($B$2:$B$400,MATCH(DATE(YEAR(A43)-1,MONTH(A43),1),$A$2:$A$400,0))-1,""))</f>
        <v/>
      </c>
    </row>
    <row r="44">
      <c r="A44" s="50" t="n"/>
      <c r="B44" s="51" t="n"/>
      <c r="C44" s="48">
        <f>IF(OR(B44="",B43=""),"",B44/B43-1)</f>
        <v/>
      </c>
      <c r="D44" s="48">
        <f>IF(B44="","",IFERROR(B44/INDEX($B$2:$B$400,MATCH(DATE(YEAR(A44)-1,12,1),$A$2:$A$400,0))-1,""))</f>
        <v/>
      </c>
      <c r="E44" s="48">
        <f>IF(B44="","",IFERROR(B44/INDEX($B$2:$B$400,MATCH(DATE(YEAR(A44)-1,MONTH(A44),1),$A$2:$A$400,0))-1,""))</f>
        <v/>
      </c>
    </row>
    <row r="45">
      <c r="A45" s="50" t="n"/>
      <c r="B45" s="51" t="n"/>
      <c r="C45" s="48">
        <f>IF(OR(B45="",B44=""),"",B45/B44-1)</f>
        <v/>
      </c>
      <c r="D45" s="48">
        <f>IF(B45="","",IFERROR(B45/INDEX($B$2:$B$400,MATCH(DATE(YEAR(A45)-1,12,1),$A$2:$A$400,0))-1,""))</f>
        <v/>
      </c>
      <c r="E45" s="48">
        <f>IF(B45="","",IFERROR(B45/INDEX($B$2:$B$400,MATCH(DATE(YEAR(A45)-1,MONTH(A45),1),$A$2:$A$400,0))-1,""))</f>
        <v/>
      </c>
    </row>
    <row r="46">
      <c r="A46" s="50" t="n"/>
      <c r="B46" s="51" t="n"/>
      <c r="C46" s="48">
        <f>IF(OR(B46="",B45=""),"",B46/B45-1)</f>
        <v/>
      </c>
      <c r="D46" s="48">
        <f>IF(B46="","",IFERROR(B46/INDEX($B$2:$B$400,MATCH(DATE(YEAR(A46)-1,12,1),$A$2:$A$400,0))-1,""))</f>
        <v/>
      </c>
      <c r="E46" s="48">
        <f>IF(B46="","",IFERROR(B46/INDEX($B$2:$B$400,MATCH(DATE(YEAR(A46)-1,MONTH(A46),1),$A$2:$A$400,0))-1,""))</f>
        <v/>
      </c>
    </row>
    <row r="47">
      <c r="A47" s="50" t="n"/>
      <c r="B47" s="51" t="n"/>
      <c r="C47" s="48">
        <f>IF(OR(B47="",B46=""),"",B47/B46-1)</f>
        <v/>
      </c>
      <c r="D47" s="48">
        <f>IF(B47="","",IFERROR(B47/INDEX($B$2:$B$400,MATCH(DATE(YEAR(A47)-1,12,1),$A$2:$A$400,0))-1,""))</f>
        <v/>
      </c>
      <c r="E47" s="48">
        <f>IF(B47="","",IFERROR(B47/INDEX($B$2:$B$400,MATCH(DATE(YEAR(A47)-1,MONTH(A47),1),$A$2:$A$400,0))-1,""))</f>
        <v/>
      </c>
    </row>
    <row r="48">
      <c r="A48" s="50" t="n"/>
      <c r="B48" s="51" t="n"/>
      <c r="C48" s="48">
        <f>IF(OR(B48="",B47=""),"",B48/B47-1)</f>
        <v/>
      </c>
      <c r="D48" s="48">
        <f>IF(B48="","",IFERROR(B48/INDEX($B$2:$B$400,MATCH(DATE(YEAR(A48)-1,12,1),$A$2:$A$400,0))-1,""))</f>
        <v/>
      </c>
      <c r="E48" s="48">
        <f>IF(B48="","",IFERROR(B48/INDEX($B$2:$B$400,MATCH(DATE(YEAR(A48)-1,MONTH(A48),1),$A$2:$A$400,0))-1,""))</f>
        <v/>
      </c>
    </row>
    <row r="49">
      <c r="A49" s="50" t="n"/>
      <c r="B49" s="51" t="n"/>
      <c r="C49" s="48">
        <f>IF(OR(B49="",B48=""),"",B49/B48-1)</f>
        <v/>
      </c>
      <c r="D49" s="48">
        <f>IF(B49="","",IFERROR(B49/INDEX($B$2:$B$400,MATCH(DATE(YEAR(A49)-1,12,1),$A$2:$A$400,0))-1,""))</f>
        <v/>
      </c>
      <c r="E49" s="48">
        <f>IF(B49="","",IFERROR(B49/INDEX($B$2:$B$400,MATCH(DATE(YEAR(A49)-1,MONTH(A49),1),$A$2:$A$400,0))-1,""))</f>
        <v/>
      </c>
    </row>
    <row r="50">
      <c r="A50" s="50" t="n"/>
      <c r="B50" s="51" t="n"/>
      <c r="C50" s="48">
        <f>IF(OR(B50="",B49=""),"",B50/B49-1)</f>
        <v/>
      </c>
      <c r="D50" s="48">
        <f>IF(B50="","",IFERROR(B50/INDEX($B$2:$B$400,MATCH(DATE(YEAR(A50)-1,12,1),$A$2:$A$400,0))-1,""))</f>
        <v/>
      </c>
      <c r="E50" s="48">
        <f>IF(B50="","",IFERROR(B50/INDEX($B$2:$B$400,MATCH(DATE(YEAR(A50)-1,MONTH(A50),1),$A$2:$A$400,0))-1,""))</f>
        <v/>
      </c>
    </row>
    <row r="51">
      <c r="A51" s="50" t="n"/>
      <c r="B51" s="51" t="n"/>
      <c r="C51" s="48">
        <f>IF(OR(B51="",B50=""),"",B51/B50-1)</f>
        <v/>
      </c>
      <c r="D51" s="48">
        <f>IF(B51="","",IFERROR(B51/INDEX($B$2:$B$400,MATCH(DATE(YEAR(A51)-1,12,1),$A$2:$A$400,0))-1,""))</f>
        <v/>
      </c>
      <c r="E51" s="48">
        <f>IF(B51="","",IFERROR(B51/INDEX($B$2:$B$400,MATCH(DATE(YEAR(A51)-1,MONTH(A51),1),$A$2:$A$400,0))-1,""))</f>
        <v/>
      </c>
    </row>
    <row r="52">
      <c r="A52" s="50" t="n"/>
      <c r="B52" s="51" t="n"/>
      <c r="C52" s="48">
        <f>IF(OR(B52="",B51=""),"",B52/B51-1)</f>
        <v/>
      </c>
      <c r="D52" s="48">
        <f>IF(B52="","",IFERROR(B52/INDEX($B$2:$B$400,MATCH(DATE(YEAR(A52)-1,12,1),$A$2:$A$400,0))-1,""))</f>
        <v/>
      </c>
      <c r="E52" s="48">
        <f>IF(B52="","",IFERROR(B52/INDEX($B$2:$B$400,MATCH(DATE(YEAR(A52)-1,MONTH(A52),1),$A$2:$A$400,0))-1,""))</f>
        <v/>
      </c>
    </row>
    <row r="53">
      <c r="A53" s="50" t="n"/>
      <c r="B53" s="51" t="n"/>
      <c r="C53" s="48">
        <f>IF(OR(B53="",B52=""),"",B53/B52-1)</f>
        <v/>
      </c>
      <c r="D53" s="48">
        <f>IF(B53="","",IFERROR(B53/INDEX($B$2:$B$400,MATCH(DATE(YEAR(A53)-1,12,1),$A$2:$A$400,0))-1,""))</f>
        <v/>
      </c>
      <c r="E53" s="48">
        <f>IF(B53="","",IFERROR(B53/INDEX($B$2:$B$400,MATCH(DATE(YEAR(A53)-1,MONTH(A53),1),$A$2:$A$400,0))-1,""))</f>
        <v/>
      </c>
    </row>
    <row r="54">
      <c r="A54" s="50" t="n"/>
      <c r="B54" s="51" t="n"/>
      <c r="C54" s="48">
        <f>IF(OR(B54="",B53=""),"",B54/B53-1)</f>
        <v/>
      </c>
      <c r="D54" s="48">
        <f>IF(B54="","",IFERROR(B54/INDEX($B$2:$B$400,MATCH(DATE(YEAR(A54)-1,12,1),$A$2:$A$400,0))-1,""))</f>
        <v/>
      </c>
      <c r="E54" s="48">
        <f>IF(B54="","",IFERROR(B54/INDEX($B$2:$B$400,MATCH(DATE(YEAR(A54)-1,MONTH(A54),1),$A$2:$A$400,0))-1,""))</f>
        <v/>
      </c>
    </row>
    <row r="55">
      <c r="A55" s="50" t="n"/>
      <c r="B55" s="51" t="n"/>
      <c r="C55" s="48">
        <f>IF(OR(B55="",B54=""),"",B55/B54-1)</f>
        <v/>
      </c>
      <c r="D55" s="48">
        <f>IF(B55="","",IFERROR(B55/INDEX($B$2:$B$400,MATCH(DATE(YEAR(A55)-1,12,1),$A$2:$A$400,0))-1,""))</f>
        <v/>
      </c>
      <c r="E55" s="48">
        <f>IF(B55="","",IFERROR(B55/INDEX($B$2:$B$400,MATCH(DATE(YEAR(A55)-1,MONTH(A55),1),$A$2:$A$400,0))-1,""))</f>
        <v/>
      </c>
    </row>
    <row r="56">
      <c r="A56" s="50" t="n"/>
      <c r="B56" s="51" t="n"/>
      <c r="C56" s="48">
        <f>IF(OR(B56="",B55=""),"",B56/B55-1)</f>
        <v/>
      </c>
      <c r="D56" s="48">
        <f>IF(B56="","",IFERROR(B56/INDEX($B$2:$B$400,MATCH(DATE(YEAR(A56)-1,12,1),$A$2:$A$400,0))-1,""))</f>
        <v/>
      </c>
      <c r="E56" s="48">
        <f>IF(B56="","",IFERROR(B56/INDEX($B$2:$B$400,MATCH(DATE(YEAR(A56)-1,MONTH(A56),1),$A$2:$A$400,0))-1,""))</f>
        <v/>
      </c>
    </row>
    <row r="57">
      <c r="A57" s="50" t="n"/>
      <c r="B57" s="51" t="n"/>
      <c r="C57" s="48">
        <f>IF(OR(B57="",B56=""),"",B57/B56-1)</f>
        <v/>
      </c>
      <c r="D57" s="48">
        <f>IF(B57="","",IFERROR(B57/INDEX($B$2:$B$400,MATCH(DATE(YEAR(A57)-1,12,1),$A$2:$A$400,0))-1,""))</f>
        <v/>
      </c>
      <c r="E57" s="48">
        <f>IF(B57="","",IFERROR(B57/INDEX($B$2:$B$400,MATCH(DATE(YEAR(A57)-1,MONTH(A57),1),$A$2:$A$400,0))-1,""))</f>
        <v/>
      </c>
    </row>
    <row r="58">
      <c r="A58" s="50" t="n"/>
      <c r="B58" s="51" t="n"/>
      <c r="C58" s="48">
        <f>IF(OR(B58="",B57=""),"",B58/B57-1)</f>
        <v/>
      </c>
      <c r="D58" s="48">
        <f>IF(B58="","",IFERROR(B58/INDEX($B$2:$B$400,MATCH(DATE(YEAR(A58)-1,12,1),$A$2:$A$400,0))-1,""))</f>
        <v/>
      </c>
      <c r="E58" s="48">
        <f>IF(B58="","",IFERROR(B58/INDEX($B$2:$B$400,MATCH(DATE(YEAR(A58)-1,MONTH(A58),1),$A$2:$A$400,0))-1,""))</f>
        <v/>
      </c>
    </row>
    <row r="59">
      <c r="A59" s="50" t="n"/>
      <c r="B59" s="51" t="n"/>
      <c r="C59" s="48">
        <f>IF(OR(B59="",B58=""),"",B59/B58-1)</f>
        <v/>
      </c>
      <c r="D59" s="48">
        <f>IF(B59="","",IFERROR(B59/INDEX($B$2:$B$400,MATCH(DATE(YEAR(A59)-1,12,1),$A$2:$A$400,0))-1,""))</f>
        <v/>
      </c>
      <c r="E59" s="48">
        <f>IF(B59="","",IFERROR(B59/INDEX($B$2:$B$400,MATCH(DATE(YEAR(A59)-1,MONTH(A59),1),$A$2:$A$400,0))-1,""))</f>
        <v/>
      </c>
    </row>
    <row r="60">
      <c r="A60" s="50" t="n"/>
      <c r="B60" s="51" t="n"/>
      <c r="C60" s="48">
        <f>IF(OR(B60="",B59=""),"",B60/B59-1)</f>
        <v/>
      </c>
      <c r="D60" s="48">
        <f>IF(B60="","",IFERROR(B60/INDEX($B$2:$B$400,MATCH(DATE(YEAR(A60)-1,12,1),$A$2:$A$400,0))-1,""))</f>
        <v/>
      </c>
      <c r="E60" s="48">
        <f>IF(B60="","",IFERROR(B60/INDEX($B$2:$B$400,MATCH(DATE(YEAR(A60)-1,MONTH(A60),1),$A$2:$A$400,0))-1,""))</f>
        <v/>
      </c>
    </row>
    <row r="61">
      <c r="A61" s="50" t="n"/>
      <c r="B61" s="51" t="n"/>
      <c r="C61" s="48">
        <f>IF(OR(B61="",B60=""),"",B61/B60-1)</f>
        <v/>
      </c>
      <c r="D61" s="48">
        <f>IF(B61="","",IFERROR(B61/INDEX($B$2:$B$400,MATCH(DATE(YEAR(A61)-1,12,1),$A$2:$A$400,0))-1,""))</f>
        <v/>
      </c>
      <c r="E61" s="48">
        <f>IF(B61="","",IFERROR(B61/INDEX($B$2:$B$400,MATCH(DATE(YEAR(A61)-1,MONTH(A61),1),$A$2:$A$400,0))-1,""))</f>
        <v/>
      </c>
    </row>
    <row r="62">
      <c r="A62" s="50" t="n"/>
      <c r="B62" s="51" t="n"/>
      <c r="C62" s="48">
        <f>IF(OR(B62="",B61=""),"",B62/B61-1)</f>
        <v/>
      </c>
      <c r="D62" s="48">
        <f>IF(B62="","",IFERROR(B62/INDEX($B$2:$B$400,MATCH(DATE(YEAR(A62)-1,12,1),$A$2:$A$400,0))-1,""))</f>
        <v/>
      </c>
      <c r="E62" s="48">
        <f>IF(B62="","",IFERROR(B62/INDEX($B$2:$B$400,MATCH(DATE(YEAR(A62)-1,MONTH(A62),1),$A$2:$A$400,0))-1,""))</f>
        <v/>
      </c>
    </row>
    <row r="63">
      <c r="A63" s="50" t="n"/>
      <c r="B63" s="51" t="n"/>
      <c r="C63" s="48">
        <f>IF(OR(B63="",B62=""),"",B63/B62-1)</f>
        <v/>
      </c>
      <c r="D63" s="48">
        <f>IF(B63="","",IFERROR(B63/INDEX($B$2:$B$400,MATCH(DATE(YEAR(A63)-1,12,1),$A$2:$A$400,0))-1,""))</f>
        <v/>
      </c>
      <c r="E63" s="48">
        <f>IF(B63="","",IFERROR(B63/INDEX($B$2:$B$400,MATCH(DATE(YEAR(A63)-1,MONTH(A63),1),$A$2:$A$400,0))-1,""))</f>
        <v/>
      </c>
    </row>
    <row r="64">
      <c r="A64" s="50" t="n"/>
      <c r="B64" s="51" t="n"/>
      <c r="C64" s="48">
        <f>IF(OR(B64="",B63=""),"",B64/B63-1)</f>
        <v/>
      </c>
      <c r="D64" s="48">
        <f>IF(B64="","",IFERROR(B64/INDEX($B$2:$B$400,MATCH(DATE(YEAR(A64)-1,12,1),$A$2:$A$400,0))-1,""))</f>
        <v/>
      </c>
      <c r="E64" s="48">
        <f>IF(B64="","",IFERROR(B64/INDEX($B$2:$B$400,MATCH(DATE(YEAR(A64)-1,MONTH(A64),1),$A$2:$A$400,0))-1,""))</f>
        <v/>
      </c>
    </row>
    <row r="65">
      <c r="A65" s="50" t="n"/>
      <c r="B65" s="51" t="n"/>
      <c r="C65" s="48">
        <f>IF(OR(B65="",B64=""),"",B65/B64-1)</f>
        <v/>
      </c>
      <c r="D65" s="48">
        <f>IF(B65="","",IFERROR(B65/INDEX($B$2:$B$400,MATCH(DATE(YEAR(A65)-1,12,1),$A$2:$A$400,0))-1,""))</f>
        <v/>
      </c>
      <c r="E65" s="48">
        <f>IF(B65="","",IFERROR(B65/INDEX($B$2:$B$400,MATCH(DATE(YEAR(A65)-1,MONTH(A65),1),$A$2:$A$400,0))-1,""))</f>
        <v/>
      </c>
    </row>
    <row r="66">
      <c r="A66" s="50" t="n"/>
      <c r="B66" s="51" t="n"/>
      <c r="C66" s="48">
        <f>IF(OR(B66="",B65=""),"",B66/B65-1)</f>
        <v/>
      </c>
      <c r="D66" s="48">
        <f>IF(B66="","",IFERROR(B66/INDEX($B$2:$B$400,MATCH(DATE(YEAR(A66)-1,12,1),$A$2:$A$400,0))-1,""))</f>
        <v/>
      </c>
      <c r="E66" s="48">
        <f>IF(B66="","",IFERROR(B66/INDEX($B$2:$B$400,MATCH(DATE(YEAR(A66)-1,MONTH(A66),1),$A$2:$A$400,0))-1,""))</f>
        <v/>
      </c>
    </row>
    <row r="67">
      <c r="A67" s="50" t="n"/>
      <c r="B67" s="51" t="n"/>
      <c r="C67" s="48">
        <f>IF(OR(B67="",B66=""),"",B67/B66-1)</f>
        <v/>
      </c>
      <c r="D67" s="48">
        <f>IF(B67="","",IFERROR(B67/INDEX($B$2:$B$400,MATCH(DATE(YEAR(A67)-1,12,1),$A$2:$A$400,0))-1,""))</f>
        <v/>
      </c>
      <c r="E67" s="48">
        <f>IF(B67="","",IFERROR(B67/INDEX($B$2:$B$400,MATCH(DATE(YEAR(A67)-1,MONTH(A67),1),$A$2:$A$400,0))-1,""))</f>
        <v/>
      </c>
    </row>
    <row r="68">
      <c r="A68" s="50" t="n"/>
      <c r="B68" s="51" t="n"/>
      <c r="C68" s="48">
        <f>IF(OR(B68="",B67=""),"",B68/B67-1)</f>
        <v/>
      </c>
      <c r="D68" s="48">
        <f>IF(B68="","",IFERROR(B68/INDEX($B$2:$B$400,MATCH(DATE(YEAR(A68)-1,12,1),$A$2:$A$400,0))-1,""))</f>
        <v/>
      </c>
      <c r="E68" s="48">
        <f>IF(B68="","",IFERROR(B68/INDEX($B$2:$B$400,MATCH(DATE(YEAR(A68)-1,MONTH(A68),1),$A$2:$A$400,0))-1,""))</f>
        <v/>
      </c>
    </row>
    <row r="69">
      <c r="A69" s="50" t="n"/>
      <c r="B69" s="51" t="n"/>
      <c r="C69" s="48">
        <f>IF(OR(B69="",B68=""),"",B69/B68-1)</f>
        <v/>
      </c>
      <c r="D69" s="48">
        <f>IF(B69="","",IFERROR(B69/INDEX($B$2:$B$400,MATCH(DATE(YEAR(A69)-1,12,1),$A$2:$A$400,0))-1,""))</f>
        <v/>
      </c>
      <c r="E69" s="48">
        <f>IF(B69="","",IFERROR(B69/INDEX($B$2:$B$400,MATCH(DATE(YEAR(A69)-1,MONTH(A69),1),$A$2:$A$400,0))-1,""))</f>
        <v/>
      </c>
    </row>
    <row r="70">
      <c r="A70" s="50" t="n"/>
      <c r="B70" s="51" t="n"/>
      <c r="C70" s="48">
        <f>IF(OR(B70="",B69=""),"",B70/B69-1)</f>
        <v/>
      </c>
      <c r="D70" s="48">
        <f>IF(B70="","",IFERROR(B70/INDEX($B$2:$B$400,MATCH(DATE(YEAR(A70)-1,12,1),$A$2:$A$400,0))-1,""))</f>
        <v/>
      </c>
      <c r="E70" s="48">
        <f>IF(B70="","",IFERROR(B70/INDEX($B$2:$B$400,MATCH(DATE(YEAR(A70)-1,MONTH(A70),1),$A$2:$A$400,0))-1,""))</f>
        <v/>
      </c>
    </row>
    <row r="71">
      <c r="A71" s="50" t="n"/>
      <c r="B71" s="51" t="n"/>
      <c r="C71" s="48">
        <f>IF(OR(B71="",B70=""),"",B71/B70-1)</f>
        <v/>
      </c>
      <c r="D71" s="48">
        <f>IF(B71="","",IFERROR(B71/INDEX($B$2:$B$400,MATCH(DATE(YEAR(A71)-1,12,1),$A$2:$A$400,0))-1,""))</f>
        <v/>
      </c>
      <c r="E71" s="48">
        <f>IF(B71="","",IFERROR(B71/INDEX($B$2:$B$400,MATCH(DATE(YEAR(A71)-1,MONTH(A71),1),$A$2:$A$400,0))-1,""))</f>
        <v/>
      </c>
    </row>
    <row r="72">
      <c r="A72" s="50" t="n"/>
      <c r="B72" s="51" t="n"/>
      <c r="C72" s="48">
        <f>IF(OR(B72="",B71=""),"",B72/B71-1)</f>
        <v/>
      </c>
      <c r="D72" s="48">
        <f>IF(B72="","",IFERROR(B72/INDEX($B$2:$B$400,MATCH(DATE(YEAR(A72)-1,12,1),$A$2:$A$400,0))-1,""))</f>
        <v/>
      </c>
      <c r="E72" s="48">
        <f>IF(B72="","",IFERROR(B72/INDEX($B$2:$B$400,MATCH(DATE(YEAR(A72)-1,MONTH(A72),1),$A$2:$A$400,0))-1,""))</f>
        <v/>
      </c>
    </row>
    <row r="73">
      <c r="A73" s="50" t="n"/>
      <c r="B73" s="51" t="n"/>
      <c r="C73" s="48">
        <f>IF(OR(B73="",B72=""),"",B73/B72-1)</f>
        <v/>
      </c>
      <c r="D73" s="48">
        <f>IF(B73="","",IFERROR(B73/INDEX($B$2:$B$400,MATCH(DATE(YEAR(A73)-1,12,1),$A$2:$A$400,0))-1,""))</f>
        <v/>
      </c>
      <c r="E73" s="48">
        <f>IF(B73="","",IFERROR(B73/INDEX($B$2:$B$400,MATCH(DATE(YEAR(A73)-1,MONTH(A73),1),$A$2:$A$400,0))-1,""))</f>
        <v/>
      </c>
    </row>
    <row r="74">
      <c r="A74" s="50" t="n"/>
      <c r="B74" s="51" t="n"/>
      <c r="C74" s="48">
        <f>IF(OR(B74="",B73=""),"",B74/B73-1)</f>
        <v/>
      </c>
      <c r="D74" s="48">
        <f>IF(B74="","",IFERROR(B74/INDEX($B$2:$B$400,MATCH(DATE(YEAR(A74)-1,12,1),$A$2:$A$400,0))-1,""))</f>
        <v/>
      </c>
      <c r="E74" s="48">
        <f>IF(B74="","",IFERROR(B74/INDEX($B$2:$B$400,MATCH(DATE(YEAR(A74)-1,MONTH(A74),1),$A$2:$A$400,0))-1,""))</f>
        <v/>
      </c>
    </row>
    <row r="75">
      <c r="A75" s="50" t="n"/>
      <c r="B75" s="51" t="n"/>
      <c r="C75" s="48">
        <f>IF(OR(B75="",B74=""),"",B75/B74-1)</f>
        <v/>
      </c>
      <c r="D75" s="48">
        <f>IF(B75="","",IFERROR(B75/INDEX($B$2:$B$400,MATCH(DATE(YEAR(A75)-1,12,1),$A$2:$A$400,0))-1,""))</f>
        <v/>
      </c>
      <c r="E75" s="48">
        <f>IF(B75="","",IFERROR(B75/INDEX($B$2:$B$400,MATCH(DATE(YEAR(A75)-1,MONTH(A75),1),$A$2:$A$400,0))-1,""))</f>
        <v/>
      </c>
    </row>
    <row r="76">
      <c r="A76" s="50" t="n"/>
      <c r="B76" s="51" t="n"/>
      <c r="C76" s="48">
        <f>IF(OR(B76="",B75=""),"",B76/B75-1)</f>
        <v/>
      </c>
      <c r="D76" s="48">
        <f>IF(B76="","",IFERROR(B76/INDEX($B$2:$B$400,MATCH(DATE(YEAR(A76)-1,12,1),$A$2:$A$400,0))-1,""))</f>
        <v/>
      </c>
      <c r="E76" s="48">
        <f>IF(B76="","",IFERROR(B76/INDEX($B$2:$B$400,MATCH(DATE(YEAR(A76)-1,MONTH(A76),1),$A$2:$A$400,0))-1,""))</f>
        <v/>
      </c>
    </row>
    <row r="77">
      <c r="A77" s="50" t="n"/>
      <c r="B77" s="51" t="n"/>
      <c r="C77" s="48">
        <f>IF(OR(B77="",B76=""),"",B77/B76-1)</f>
        <v/>
      </c>
      <c r="D77" s="48">
        <f>IF(B77="","",IFERROR(B77/INDEX($B$2:$B$400,MATCH(DATE(YEAR(A77)-1,12,1),$A$2:$A$400,0))-1,""))</f>
        <v/>
      </c>
      <c r="E77" s="48">
        <f>IF(B77="","",IFERROR(B77/INDEX($B$2:$B$400,MATCH(DATE(YEAR(A77)-1,MONTH(A77),1),$A$2:$A$400,0))-1,""))</f>
        <v/>
      </c>
    </row>
    <row r="78">
      <c r="A78" s="50" t="n"/>
      <c r="B78" s="51" t="n"/>
      <c r="C78" s="48">
        <f>IF(OR(B78="",B77=""),"",B78/B77-1)</f>
        <v/>
      </c>
      <c r="D78" s="48">
        <f>IF(B78="","",IFERROR(B78/INDEX($B$2:$B$400,MATCH(DATE(YEAR(A78)-1,12,1),$A$2:$A$400,0))-1,""))</f>
        <v/>
      </c>
      <c r="E78" s="48">
        <f>IF(B78="","",IFERROR(B78/INDEX($B$2:$B$400,MATCH(DATE(YEAR(A78)-1,MONTH(A78),1),$A$2:$A$400,0))-1,""))</f>
        <v/>
      </c>
    </row>
    <row r="79">
      <c r="A79" s="50" t="n"/>
      <c r="B79" s="51" t="n"/>
      <c r="C79" s="48">
        <f>IF(OR(B79="",B78=""),"",B79/B78-1)</f>
        <v/>
      </c>
      <c r="D79" s="48">
        <f>IF(B79="","",IFERROR(B79/INDEX($B$2:$B$400,MATCH(DATE(YEAR(A79)-1,12,1),$A$2:$A$400,0))-1,""))</f>
        <v/>
      </c>
      <c r="E79" s="48">
        <f>IF(B79="","",IFERROR(B79/INDEX($B$2:$B$400,MATCH(DATE(YEAR(A79)-1,MONTH(A79),1),$A$2:$A$400,0))-1,""))</f>
        <v/>
      </c>
    </row>
    <row r="80">
      <c r="A80" s="50" t="n"/>
      <c r="B80" s="51" t="n"/>
      <c r="C80" s="48">
        <f>IF(OR(B80="",B79=""),"",B80/B79-1)</f>
        <v/>
      </c>
      <c r="D80" s="48">
        <f>IF(B80="","",IFERROR(B80/INDEX($B$2:$B$400,MATCH(DATE(YEAR(A80)-1,12,1),$A$2:$A$400,0))-1,""))</f>
        <v/>
      </c>
      <c r="E80" s="48">
        <f>IF(B80="","",IFERROR(B80/INDEX($B$2:$B$400,MATCH(DATE(YEAR(A80)-1,MONTH(A80),1),$A$2:$A$400,0))-1,""))</f>
        <v/>
      </c>
    </row>
    <row r="81">
      <c r="A81" s="50" t="n"/>
      <c r="B81" s="51" t="n"/>
      <c r="C81" s="48">
        <f>IF(OR(B81="",B80=""),"",B81/B80-1)</f>
        <v/>
      </c>
      <c r="D81" s="48">
        <f>IF(B81="","",IFERROR(B81/INDEX($B$2:$B$400,MATCH(DATE(YEAR(A81)-1,12,1),$A$2:$A$400,0))-1,""))</f>
        <v/>
      </c>
      <c r="E81" s="48">
        <f>IF(B81="","",IFERROR(B81/INDEX($B$2:$B$400,MATCH(DATE(YEAR(A81)-1,MONTH(A81),1),$A$2:$A$400,0))-1,""))</f>
        <v/>
      </c>
    </row>
    <row r="82">
      <c r="A82" s="50" t="n"/>
      <c r="B82" s="51" t="n"/>
      <c r="C82" s="48">
        <f>IF(OR(B82="",B81=""),"",B82/B81-1)</f>
        <v/>
      </c>
      <c r="D82" s="48">
        <f>IF(B82="","",IFERROR(B82/INDEX($B$2:$B$400,MATCH(DATE(YEAR(A82)-1,12,1),$A$2:$A$400,0))-1,""))</f>
        <v/>
      </c>
      <c r="E82" s="48">
        <f>IF(B82="","",IFERROR(B82/INDEX($B$2:$B$400,MATCH(DATE(YEAR(A82)-1,MONTH(A82),1),$A$2:$A$400,0))-1,""))</f>
        <v/>
      </c>
    </row>
    <row r="83">
      <c r="A83" s="50" t="n"/>
      <c r="B83" s="51" t="n"/>
      <c r="C83" s="48">
        <f>IF(OR(B83="",B82=""),"",B83/B82-1)</f>
        <v/>
      </c>
      <c r="D83" s="48">
        <f>IF(B83="","",IFERROR(B83/INDEX($B$2:$B$400,MATCH(DATE(YEAR(A83)-1,12,1),$A$2:$A$400,0))-1,""))</f>
        <v/>
      </c>
      <c r="E83" s="48">
        <f>IF(B83="","",IFERROR(B83/INDEX($B$2:$B$400,MATCH(DATE(YEAR(A83)-1,MONTH(A83),1),$A$2:$A$400,0))-1,""))</f>
        <v/>
      </c>
    </row>
    <row r="84">
      <c r="A84" s="50" t="n"/>
      <c r="B84" s="51" t="n"/>
      <c r="C84" s="48">
        <f>IF(OR(B84="",B83=""),"",B84/B83-1)</f>
        <v/>
      </c>
      <c r="D84" s="48">
        <f>IF(B84="","",IFERROR(B84/INDEX($B$2:$B$400,MATCH(DATE(YEAR(A84)-1,12,1),$A$2:$A$400,0))-1,""))</f>
        <v/>
      </c>
      <c r="E84" s="48">
        <f>IF(B84="","",IFERROR(B84/INDEX($B$2:$B$400,MATCH(DATE(YEAR(A84)-1,MONTH(A84),1),$A$2:$A$400,0))-1,""))</f>
        <v/>
      </c>
    </row>
    <row r="85">
      <c r="A85" s="50" t="n"/>
      <c r="B85" s="51" t="n"/>
      <c r="C85" s="48">
        <f>IF(OR(B85="",B84=""),"",B85/B84-1)</f>
        <v/>
      </c>
      <c r="D85" s="48">
        <f>IF(B85="","",IFERROR(B85/INDEX($B$2:$B$400,MATCH(DATE(YEAR(A85)-1,12,1),$A$2:$A$400,0))-1,""))</f>
        <v/>
      </c>
      <c r="E85" s="48">
        <f>IF(B85="","",IFERROR(B85/INDEX($B$2:$B$400,MATCH(DATE(YEAR(A85)-1,MONTH(A85),1),$A$2:$A$400,0))-1,""))</f>
        <v/>
      </c>
    </row>
    <row r="86">
      <c r="A86" s="50" t="n"/>
      <c r="B86" s="51" t="n"/>
      <c r="C86" s="48">
        <f>IF(OR(B86="",B85=""),"",B86/B85-1)</f>
        <v/>
      </c>
      <c r="D86" s="48">
        <f>IF(B86="","",IFERROR(B86/INDEX($B$2:$B$400,MATCH(DATE(YEAR(A86)-1,12,1),$A$2:$A$400,0))-1,""))</f>
        <v/>
      </c>
      <c r="E86" s="48">
        <f>IF(B86="","",IFERROR(B86/INDEX($B$2:$B$400,MATCH(DATE(YEAR(A86)-1,MONTH(A86),1),$A$2:$A$400,0))-1,""))</f>
        <v/>
      </c>
    </row>
    <row r="87">
      <c r="A87" s="50" t="n"/>
      <c r="B87" s="51" t="n"/>
      <c r="C87" s="48">
        <f>IF(OR(B87="",B86=""),"",B87/B86-1)</f>
        <v/>
      </c>
      <c r="D87" s="48">
        <f>IF(B87="","",IFERROR(B87/INDEX($B$2:$B$400,MATCH(DATE(YEAR(A87)-1,12,1),$A$2:$A$400,0))-1,""))</f>
        <v/>
      </c>
      <c r="E87" s="48">
        <f>IF(B87="","",IFERROR(B87/INDEX($B$2:$B$400,MATCH(DATE(YEAR(A87)-1,MONTH(A87),1),$A$2:$A$400,0))-1,""))</f>
        <v/>
      </c>
    </row>
    <row r="88">
      <c r="A88" s="50" t="n"/>
      <c r="B88" s="51" t="n"/>
      <c r="C88" s="48">
        <f>IF(OR(B88="",B87=""),"",B88/B87-1)</f>
        <v/>
      </c>
      <c r="D88" s="48">
        <f>IF(B88="","",IFERROR(B88/INDEX($B$2:$B$400,MATCH(DATE(YEAR(A88)-1,12,1),$A$2:$A$400,0))-1,""))</f>
        <v/>
      </c>
      <c r="E88" s="48">
        <f>IF(B88="","",IFERROR(B88/INDEX($B$2:$B$400,MATCH(DATE(YEAR(A88)-1,MONTH(A88),1),$A$2:$A$400,0))-1,""))</f>
        <v/>
      </c>
    </row>
    <row r="89">
      <c r="A89" s="50" t="n"/>
      <c r="B89" s="51" t="n"/>
      <c r="C89" s="48">
        <f>IF(OR(B89="",B88=""),"",B89/B88-1)</f>
        <v/>
      </c>
      <c r="D89" s="48">
        <f>IF(B89="","",IFERROR(B89/INDEX($B$2:$B$400,MATCH(DATE(YEAR(A89)-1,12,1),$A$2:$A$400,0))-1,""))</f>
        <v/>
      </c>
      <c r="E89" s="48">
        <f>IF(B89="","",IFERROR(B89/INDEX($B$2:$B$400,MATCH(DATE(YEAR(A89)-1,MONTH(A89),1),$A$2:$A$400,0))-1,""))</f>
        <v/>
      </c>
    </row>
    <row r="90">
      <c r="A90" s="50" t="n"/>
      <c r="B90" s="51" t="n"/>
      <c r="C90" s="48">
        <f>IF(OR(B90="",B89=""),"",B90/B89-1)</f>
        <v/>
      </c>
      <c r="D90" s="48">
        <f>IF(B90="","",IFERROR(B90/INDEX($B$2:$B$400,MATCH(DATE(YEAR(A90)-1,12,1),$A$2:$A$400,0))-1,""))</f>
        <v/>
      </c>
      <c r="E90" s="48">
        <f>IF(B90="","",IFERROR(B90/INDEX($B$2:$B$400,MATCH(DATE(YEAR(A90)-1,MONTH(A90),1),$A$2:$A$400,0))-1,""))</f>
        <v/>
      </c>
    </row>
    <row r="91">
      <c r="A91" s="50" t="n"/>
      <c r="B91" s="51" t="n"/>
      <c r="C91" s="48">
        <f>IF(OR(B91="",B90=""),"",B91/B90-1)</f>
        <v/>
      </c>
      <c r="D91" s="48">
        <f>IF(B91="","",IFERROR(B91/INDEX($B$2:$B$400,MATCH(DATE(YEAR(A91)-1,12,1),$A$2:$A$400,0))-1,""))</f>
        <v/>
      </c>
      <c r="E91" s="48">
        <f>IF(B91="","",IFERROR(B91/INDEX($B$2:$B$400,MATCH(DATE(YEAR(A91)-1,MONTH(A91),1),$A$2:$A$400,0))-1,""))</f>
        <v/>
      </c>
    </row>
    <row r="92">
      <c r="A92" s="50" t="n"/>
      <c r="B92" s="51" t="n"/>
      <c r="C92" s="48">
        <f>IF(OR(B92="",B91=""),"",B92/B91-1)</f>
        <v/>
      </c>
      <c r="D92" s="48">
        <f>IF(B92="","",IFERROR(B92/INDEX($B$2:$B$400,MATCH(DATE(YEAR(A92)-1,12,1),$A$2:$A$400,0))-1,""))</f>
        <v/>
      </c>
      <c r="E92" s="48">
        <f>IF(B92="","",IFERROR(B92/INDEX($B$2:$B$400,MATCH(DATE(YEAR(A92)-1,MONTH(A92),1),$A$2:$A$400,0))-1,""))</f>
        <v/>
      </c>
    </row>
    <row r="93">
      <c r="A93" s="50" t="n"/>
      <c r="B93" s="51" t="n"/>
      <c r="C93" s="48">
        <f>IF(OR(B93="",B92=""),"",B93/B92-1)</f>
        <v/>
      </c>
      <c r="D93" s="48">
        <f>IF(B93="","",IFERROR(B93/INDEX($B$2:$B$400,MATCH(DATE(YEAR(A93)-1,12,1),$A$2:$A$400,0))-1,""))</f>
        <v/>
      </c>
      <c r="E93" s="48">
        <f>IF(B93="","",IFERROR(B93/INDEX($B$2:$B$400,MATCH(DATE(YEAR(A93)-1,MONTH(A93),1),$A$2:$A$400,0))-1,""))</f>
        <v/>
      </c>
    </row>
    <row r="94">
      <c r="A94" s="50" t="n"/>
      <c r="B94" s="51" t="n"/>
      <c r="C94" s="48">
        <f>IF(OR(B94="",B93=""),"",B94/B93-1)</f>
        <v/>
      </c>
      <c r="D94" s="48">
        <f>IF(B94="","",IFERROR(B94/INDEX($B$2:$B$400,MATCH(DATE(YEAR(A94)-1,12,1),$A$2:$A$400,0))-1,""))</f>
        <v/>
      </c>
      <c r="E94" s="48">
        <f>IF(B94="","",IFERROR(B94/INDEX($B$2:$B$400,MATCH(DATE(YEAR(A94)-1,MONTH(A94),1),$A$2:$A$400,0))-1,""))</f>
        <v/>
      </c>
    </row>
    <row r="95">
      <c r="A95" s="50" t="n"/>
      <c r="B95" s="51" t="n"/>
      <c r="C95" s="48">
        <f>IF(OR(B95="",B94=""),"",B95/B94-1)</f>
        <v/>
      </c>
      <c r="D95" s="48">
        <f>IF(B95="","",IFERROR(B95/INDEX($B$2:$B$400,MATCH(DATE(YEAR(A95)-1,12,1),$A$2:$A$400,0))-1,""))</f>
        <v/>
      </c>
      <c r="E95" s="48">
        <f>IF(B95="","",IFERROR(B95/INDEX($B$2:$B$400,MATCH(DATE(YEAR(A95)-1,MONTH(A95),1),$A$2:$A$400,0))-1,""))</f>
        <v/>
      </c>
    </row>
    <row r="96">
      <c r="A96" s="50" t="n"/>
      <c r="B96" s="51" t="n"/>
      <c r="C96" s="48">
        <f>IF(OR(B96="",B95=""),"",B96/B95-1)</f>
        <v/>
      </c>
      <c r="D96" s="48">
        <f>IF(B96="","",IFERROR(B96/INDEX($B$2:$B$400,MATCH(DATE(YEAR(A96)-1,12,1),$A$2:$A$400,0))-1,""))</f>
        <v/>
      </c>
      <c r="E96" s="48">
        <f>IF(B96="","",IFERROR(B96/INDEX($B$2:$B$400,MATCH(DATE(YEAR(A96)-1,MONTH(A96),1),$A$2:$A$400,0))-1,""))</f>
        <v/>
      </c>
    </row>
    <row r="97">
      <c r="A97" s="50" t="n"/>
      <c r="B97" s="51" t="n"/>
      <c r="C97" s="48">
        <f>IF(OR(B97="",B96=""),"",B97/B96-1)</f>
        <v/>
      </c>
      <c r="D97" s="48">
        <f>IF(B97="","",IFERROR(B97/INDEX($B$2:$B$400,MATCH(DATE(YEAR(A97)-1,12,1),$A$2:$A$400,0))-1,""))</f>
        <v/>
      </c>
      <c r="E97" s="48">
        <f>IF(B97="","",IFERROR(B97/INDEX($B$2:$B$400,MATCH(DATE(YEAR(A97)-1,MONTH(A97),1),$A$2:$A$400,0))-1,""))</f>
        <v/>
      </c>
    </row>
    <row r="98">
      <c r="A98" s="50" t="n"/>
      <c r="B98" s="51" t="n"/>
      <c r="C98" s="48">
        <f>IF(OR(B98="",B97=""),"",B98/B97-1)</f>
        <v/>
      </c>
      <c r="D98" s="48">
        <f>IF(B98="","",IFERROR(B98/INDEX($B$2:$B$400,MATCH(DATE(YEAR(A98)-1,12,1),$A$2:$A$400,0))-1,""))</f>
        <v/>
      </c>
      <c r="E98" s="48">
        <f>IF(B98="","",IFERROR(B98/INDEX($B$2:$B$400,MATCH(DATE(YEAR(A98)-1,MONTH(A98),1),$A$2:$A$400,0))-1,""))</f>
        <v/>
      </c>
    </row>
    <row r="99">
      <c r="A99" s="50" t="n"/>
      <c r="B99" s="51" t="n"/>
      <c r="C99" s="48">
        <f>IF(OR(B99="",B98=""),"",B99/B98-1)</f>
        <v/>
      </c>
      <c r="D99" s="48">
        <f>IF(B99="","",IFERROR(B99/INDEX($B$2:$B$400,MATCH(DATE(YEAR(A99)-1,12,1),$A$2:$A$400,0))-1,""))</f>
        <v/>
      </c>
      <c r="E99" s="48">
        <f>IF(B99="","",IFERROR(B99/INDEX($B$2:$B$400,MATCH(DATE(YEAR(A99)-1,MONTH(A99),1),$A$2:$A$400,0))-1,""))</f>
        <v/>
      </c>
    </row>
    <row r="100">
      <c r="A100" s="50" t="n"/>
      <c r="B100" s="51" t="n"/>
      <c r="C100" s="48">
        <f>IF(OR(B100="",B99=""),"",B100/B99-1)</f>
        <v/>
      </c>
      <c r="D100" s="48">
        <f>IF(B100="","",IFERROR(B100/INDEX($B$2:$B$400,MATCH(DATE(YEAR(A100)-1,12,1),$A$2:$A$400,0))-1,""))</f>
        <v/>
      </c>
      <c r="E100" s="48">
        <f>IF(B100="","",IFERROR(B100/INDEX($B$2:$B$400,MATCH(DATE(YEAR(A100)-1,MONTH(A100),1),$A$2:$A$400,0))-1,""))</f>
        <v/>
      </c>
    </row>
    <row r="101">
      <c r="A101" s="50" t="n"/>
      <c r="B101" s="51" t="n"/>
      <c r="C101" s="48">
        <f>IF(OR(B101="",B100=""),"",B101/B100-1)</f>
        <v/>
      </c>
      <c r="D101" s="48">
        <f>IF(B101="","",IFERROR(B101/INDEX($B$2:$B$400,MATCH(DATE(YEAR(A101)-1,12,1),$A$2:$A$400,0))-1,""))</f>
        <v/>
      </c>
      <c r="E101" s="48">
        <f>IF(B101="","",IFERROR(B101/INDEX($B$2:$B$400,MATCH(DATE(YEAR(A101)-1,MONTH(A101),1),$A$2:$A$400,0))-1,""))</f>
        <v/>
      </c>
    </row>
    <row r="102">
      <c r="A102" s="50" t="n"/>
      <c r="B102" s="51" t="n"/>
      <c r="C102" s="48">
        <f>IF(OR(B102="",B101=""),"",B102/B101-1)</f>
        <v/>
      </c>
      <c r="D102" s="48">
        <f>IF(B102="","",IFERROR(B102/INDEX($B$2:$B$400,MATCH(DATE(YEAR(A102)-1,12,1),$A$2:$A$400,0))-1,""))</f>
        <v/>
      </c>
      <c r="E102" s="48">
        <f>IF(B102="","",IFERROR(B102/INDEX($B$2:$B$400,MATCH(DATE(YEAR(A102)-1,MONTH(A102),1),$A$2:$A$400,0))-1,""))</f>
        <v/>
      </c>
    </row>
    <row r="103">
      <c r="A103" s="50" t="n"/>
      <c r="B103" s="51" t="n"/>
      <c r="C103" s="48">
        <f>IF(OR(B103="",B102=""),"",B103/B102-1)</f>
        <v/>
      </c>
      <c r="D103" s="48">
        <f>IF(B103="","",IFERROR(B103/INDEX($B$2:$B$400,MATCH(DATE(YEAR(A103)-1,12,1),$A$2:$A$400,0))-1,""))</f>
        <v/>
      </c>
      <c r="E103" s="48">
        <f>IF(B103="","",IFERROR(B103/INDEX($B$2:$B$400,MATCH(DATE(YEAR(A103)-1,MONTH(A103),1),$A$2:$A$400,0))-1,""))</f>
        <v/>
      </c>
    </row>
    <row r="104">
      <c r="A104" s="50" t="n"/>
      <c r="B104" s="51" t="n"/>
      <c r="C104" s="48">
        <f>IF(OR(B104="",B103=""),"",B104/B103-1)</f>
        <v/>
      </c>
      <c r="D104" s="48">
        <f>IF(B104="","",IFERROR(B104/INDEX($B$2:$B$400,MATCH(DATE(YEAR(A104)-1,12,1),$A$2:$A$400,0))-1,""))</f>
        <v/>
      </c>
      <c r="E104" s="48">
        <f>IF(B104="","",IFERROR(B104/INDEX($B$2:$B$400,MATCH(DATE(YEAR(A104)-1,MONTH(A104),1),$A$2:$A$400,0))-1,""))</f>
        <v/>
      </c>
    </row>
    <row r="105">
      <c r="A105" s="50" t="n"/>
      <c r="B105" s="51" t="n"/>
      <c r="C105" s="48">
        <f>IF(OR(B105="",B104=""),"",B105/B104-1)</f>
        <v/>
      </c>
      <c r="D105" s="48">
        <f>IF(B105="","",IFERROR(B105/INDEX($B$2:$B$400,MATCH(DATE(YEAR(A105)-1,12,1),$A$2:$A$400,0))-1,""))</f>
        <v/>
      </c>
      <c r="E105" s="48">
        <f>IF(B105="","",IFERROR(B105/INDEX($B$2:$B$400,MATCH(DATE(YEAR(A105)-1,MONTH(A105),1),$A$2:$A$400,0))-1,""))</f>
        <v/>
      </c>
    </row>
    <row r="106">
      <c r="A106" s="50" t="n"/>
      <c r="B106" s="51" t="n"/>
      <c r="C106" s="48">
        <f>IF(OR(B106="",B105=""),"",B106/B105-1)</f>
        <v/>
      </c>
      <c r="D106" s="48">
        <f>IF(B106="","",IFERROR(B106/INDEX($B$2:$B$400,MATCH(DATE(YEAR(A106)-1,12,1),$A$2:$A$400,0))-1,""))</f>
        <v/>
      </c>
      <c r="E106" s="48">
        <f>IF(B106="","",IFERROR(B106/INDEX($B$2:$B$400,MATCH(DATE(YEAR(A106)-1,MONTH(A106),1),$A$2:$A$400,0))-1,""))</f>
        <v/>
      </c>
    </row>
    <row r="107">
      <c r="A107" s="50" t="n"/>
      <c r="B107" s="51" t="n"/>
      <c r="C107" s="48">
        <f>IF(OR(B107="",B106=""),"",B107/B106-1)</f>
        <v/>
      </c>
      <c r="D107" s="48">
        <f>IF(B107="","",IFERROR(B107/INDEX($B$2:$B$400,MATCH(DATE(YEAR(A107)-1,12,1),$A$2:$A$400,0))-1,""))</f>
        <v/>
      </c>
      <c r="E107" s="48">
        <f>IF(B107="","",IFERROR(B107/INDEX($B$2:$B$400,MATCH(DATE(YEAR(A107)-1,MONTH(A107),1),$A$2:$A$400,0))-1,""))</f>
        <v/>
      </c>
    </row>
    <row r="108">
      <c r="A108" s="50" t="n"/>
      <c r="B108" s="51" t="n"/>
      <c r="C108" s="48">
        <f>IF(OR(B108="",B107=""),"",B108/B107-1)</f>
        <v/>
      </c>
      <c r="D108" s="48">
        <f>IF(B108="","",IFERROR(B108/INDEX($B$2:$B$400,MATCH(DATE(YEAR(A108)-1,12,1),$A$2:$A$400,0))-1,""))</f>
        <v/>
      </c>
      <c r="E108" s="48">
        <f>IF(B108="","",IFERROR(B108/INDEX($B$2:$B$400,MATCH(DATE(YEAR(A108)-1,MONTH(A108),1),$A$2:$A$400,0))-1,""))</f>
        <v/>
      </c>
    </row>
    <row r="109">
      <c r="A109" s="50" t="n"/>
      <c r="B109" s="51" t="n"/>
      <c r="C109" s="48">
        <f>IF(OR(B109="",B108=""),"",B109/B108-1)</f>
        <v/>
      </c>
      <c r="D109" s="48">
        <f>IF(B109="","",IFERROR(B109/INDEX($B$2:$B$400,MATCH(DATE(YEAR(A109)-1,12,1),$A$2:$A$400,0))-1,""))</f>
        <v/>
      </c>
      <c r="E109" s="48">
        <f>IF(B109="","",IFERROR(B109/INDEX($B$2:$B$400,MATCH(DATE(YEAR(A109)-1,MONTH(A109),1),$A$2:$A$400,0))-1,""))</f>
        <v/>
      </c>
    </row>
    <row r="110">
      <c r="A110" s="50" t="n"/>
      <c r="B110" s="51" t="n"/>
      <c r="C110" s="48">
        <f>IF(OR(B110="",B109=""),"",B110/B109-1)</f>
        <v/>
      </c>
      <c r="D110" s="48">
        <f>IF(B110="","",IFERROR(B110/INDEX($B$2:$B$400,MATCH(DATE(YEAR(A110)-1,12,1),$A$2:$A$400,0))-1,""))</f>
        <v/>
      </c>
      <c r="E110" s="48">
        <f>IF(B110="","",IFERROR(B110/INDEX($B$2:$B$400,MATCH(DATE(YEAR(A110)-1,MONTH(A110),1),$A$2:$A$400,0))-1,""))</f>
        <v/>
      </c>
    </row>
    <row r="111">
      <c r="A111" s="50" t="n"/>
      <c r="B111" s="51" t="n"/>
      <c r="C111" s="48">
        <f>IF(OR(B111="",B110=""),"",B111/B110-1)</f>
        <v/>
      </c>
      <c r="D111" s="48">
        <f>IF(B111="","",IFERROR(B111/INDEX($B$2:$B$400,MATCH(DATE(YEAR(A111)-1,12,1),$A$2:$A$400,0))-1,""))</f>
        <v/>
      </c>
      <c r="E111" s="48">
        <f>IF(B111="","",IFERROR(B111/INDEX($B$2:$B$400,MATCH(DATE(YEAR(A111)-1,MONTH(A111),1),$A$2:$A$400,0))-1,""))</f>
        <v/>
      </c>
    </row>
    <row r="112">
      <c r="A112" s="50" t="n"/>
      <c r="B112" s="51" t="n"/>
      <c r="C112" s="48">
        <f>IF(OR(B112="",B111=""),"",B112/B111-1)</f>
        <v/>
      </c>
      <c r="D112" s="48">
        <f>IF(B112="","",IFERROR(B112/INDEX($B$2:$B$400,MATCH(DATE(YEAR(A112)-1,12,1),$A$2:$A$400,0))-1,""))</f>
        <v/>
      </c>
      <c r="E112" s="48">
        <f>IF(B112="","",IFERROR(B112/INDEX($B$2:$B$400,MATCH(DATE(YEAR(A112)-1,MONTH(A112),1),$A$2:$A$400,0))-1,""))</f>
        <v/>
      </c>
    </row>
    <row r="113">
      <c r="A113" s="50" t="n"/>
      <c r="B113" s="51" t="n"/>
      <c r="C113" s="48">
        <f>IF(OR(B113="",B112=""),"",B113/B112-1)</f>
        <v/>
      </c>
      <c r="D113" s="48">
        <f>IF(B113="","",IFERROR(B113/INDEX($B$2:$B$400,MATCH(DATE(YEAR(A113)-1,12,1),$A$2:$A$400,0))-1,""))</f>
        <v/>
      </c>
      <c r="E113" s="48">
        <f>IF(B113="","",IFERROR(B113/INDEX($B$2:$B$400,MATCH(DATE(YEAR(A113)-1,MONTH(A113),1),$A$2:$A$400,0))-1,""))</f>
        <v/>
      </c>
    </row>
    <row r="114">
      <c r="A114" s="50" t="n"/>
      <c r="B114" s="51" t="n"/>
      <c r="C114" s="48">
        <f>IF(OR(B114="",B113=""),"",B114/B113-1)</f>
        <v/>
      </c>
      <c r="D114" s="48">
        <f>IF(B114="","",IFERROR(B114/INDEX($B$2:$B$400,MATCH(DATE(YEAR(A114)-1,12,1),$A$2:$A$400,0))-1,""))</f>
        <v/>
      </c>
      <c r="E114" s="48">
        <f>IF(B114="","",IFERROR(B114/INDEX($B$2:$B$400,MATCH(DATE(YEAR(A114)-1,MONTH(A114),1),$A$2:$A$400,0))-1,""))</f>
        <v/>
      </c>
    </row>
    <row r="115">
      <c r="A115" s="50" t="n"/>
      <c r="B115" s="51" t="n"/>
      <c r="C115" s="48">
        <f>IF(OR(B115="",B114=""),"",B115/B114-1)</f>
        <v/>
      </c>
      <c r="D115" s="48">
        <f>IF(B115="","",IFERROR(B115/INDEX($B$2:$B$400,MATCH(DATE(YEAR(A115)-1,12,1),$A$2:$A$400,0))-1,""))</f>
        <v/>
      </c>
      <c r="E115" s="48">
        <f>IF(B115="","",IFERROR(B115/INDEX($B$2:$B$400,MATCH(DATE(YEAR(A115)-1,MONTH(A115),1),$A$2:$A$400,0))-1,""))</f>
        <v/>
      </c>
    </row>
    <row r="116">
      <c r="A116" s="50" t="n"/>
      <c r="B116" s="51" t="n"/>
      <c r="C116" s="48">
        <f>IF(OR(B116="",B115=""),"",B116/B115-1)</f>
        <v/>
      </c>
      <c r="D116" s="48">
        <f>IF(B116="","",IFERROR(B116/INDEX($B$2:$B$400,MATCH(DATE(YEAR(A116)-1,12,1),$A$2:$A$400,0))-1,""))</f>
        <v/>
      </c>
      <c r="E116" s="48">
        <f>IF(B116="","",IFERROR(B116/INDEX($B$2:$B$400,MATCH(DATE(YEAR(A116)-1,MONTH(A116),1),$A$2:$A$400,0))-1,""))</f>
        <v/>
      </c>
    </row>
    <row r="117">
      <c r="A117" s="50" t="n"/>
      <c r="B117" s="51" t="n"/>
      <c r="C117" s="48">
        <f>IF(OR(B117="",B116=""),"",B117/B116-1)</f>
        <v/>
      </c>
      <c r="D117" s="48">
        <f>IF(B117="","",IFERROR(B117/INDEX($B$2:$B$400,MATCH(DATE(YEAR(A117)-1,12,1),$A$2:$A$400,0))-1,""))</f>
        <v/>
      </c>
      <c r="E117" s="48">
        <f>IF(B117="","",IFERROR(B117/INDEX($B$2:$B$400,MATCH(DATE(YEAR(A117)-1,MONTH(A117),1),$A$2:$A$400,0))-1,""))</f>
        <v/>
      </c>
    </row>
    <row r="118">
      <c r="A118" s="50" t="n"/>
      <c r="B118" s="51" t="n"/>
      <c r="C118" s="48">
        <f>IF(OR(B118="",B117=""),"",B118/B117-1)</f>
        <v/>
      </c>
      <c r="D118" s="48">
        <f>IF(B118="","",IFERROR(B118/INDEX($B$2:$B$400,MATCH(DATE(YEAR(A118)-1,12,1),$A$2:$A$400,0))-1,""))</f>
        <v/>
      </c>
      <c r="E118" s="48">
        <f>IF(B118="","",IFERROR(B118/INDEX($B$2:$B$400,MATCH(DATE(YEAR(A118)-1,MONTH(A118),1),$A$2:$A$400,0))-1,""))</f>
        <v/>
      </c>
    </row>
    <row r="119">
      <c r="A119" s="50" t="n"/>
      <c r="B119" s="51" t="n"/>
      <c r="C119" s="48">
        <f>IF(OR(B119="",B118=""),"",B119/B118-1)</f>
        <v/>
      </c>
      <c r="D119" s="48">
        <f>IF(B119="","",IFERROR(B119/INDEX($B$2:$B$400,MATCH(DATE(YEAR(A119)-1,12,1),$A$2:$A$400,0))-1,""))</f>
        <v/>
      </c>
      <c r="E119" s="48">
        <f>IF(B119="","",IFERROR(B119/INDEX($B$2:$B$400,MATCH(DATE(YEAR(A119)-1,MONTH(A119),1),$A$2:$A$400,0))-1,""))</f>
        <v/>
      </c>
    </row>
    <row r="120">
      <c r="A120" s="50" t="n"/>
      <c r="B120" s="51" t="n"/>
      <c r="C120" s="48">
        <f>IF(OR(B120="",B119=""),"",B120/B119-1)</f>
        <v/>
      </c>
      <c r="D120" s="48">
        <f>IF(B120="","",IFERROR(B120/INDEX($B$2:$B$400,MATCH(DATE(YEAR(A120)-1,12,1),$A$2:$A$400,0))-1,""))</f>
        <v/>
      </c>
      <c r="E120" s="48">
        <f>IF(B120="","",IFERROR(B120/INDEX($B$2:$B$400,MATCH(DATE(YEAR(A120)-1,MONTH(A120),1),$A$2:$A$400,0))-1,""))</f>
        <v/>
      </c>
    </row>
    <row r="121">
      <c r="A121" s="50" t="n"/>
      <c r="B121" s="51" t="n"/>
      <c r="C121" s="48">
        <f>IF(OR(B121="",B120=""),"",B121/B120-1)</f>
        <v/>
      </c>
      <c r="D121" s="48">
        <f>IF(B121="","",IFERROR(B121/INDEX($B$2:$B$400,MATCH(DATE(YEAR(A121)-1,12,1),$A$2:$A$400,0))-1,""))</f>
        <v/>
      </c>
      <c r="E121" s="48">
        <f>IF(B121="","",IFERROR(B121/INDEX($B$2:$B$400,MATCH(DATE(YEAR(A121)-1,MONTH(A121),1),$A$2:$A$400,0))-1,""))</f>
        <v/>
      </c>
    </row>
    <row r="122">
      <c r="A122" s="50" t="n"/>
      <c r="B122" s="51" t="n"/>
      <c r="C122" s="48">
        <f>IF(OR(B122="",B121=""),"",B122/B121-1)</f>
        <v/>
      </c>
      <c r="D122" s="48">
        <f>IF(B122="","",IFERROR(B122/INDEX($B$2:$B$400,MATCH(DATE(YEAR(A122)-1,12,1),$A$2:$A$400,0))-1,""))</f>
        <v/>
      </c>
      <c r="E122" s="48">
        <f>IF(B122="","",IFERROR(B122/INDEX($B$2:$B$400,MATCH(DATE(YEAR(A122)-1,MONTH(A122),1),$A$2:$A$400,0))-1,""))</f>
        <v/>
      </c>
    </row>
    <row r="123">
      <c r="A123" s="50" t="n"/>
      <c r="B123" s="51" t="n"/>
      <c r="C123" s="48">
        <f>IF(OR(B123="",B122=""),"",B123/B122-1)</f>
        <v/>
      </c>
      <c r="D123" s="48">
        <f>IF(B123="","",IFERROR(B123/INDEX($B$2:$B$400,MATCH(DATE(YEAR(A123)-1,12,1),$A$2:$A$400,0))-1,""))</f>
        <v/>
      </c>
      <c r="E123" s="48">
        <f>IF(B123="","",IFERROR(B123/INDEX($B$2:$B$400,MATCH(DATE(YEAR(A123)-1,MONTH(A123),1),$A$2:$A$400,0))-1,""))</f>
        <v/>
      </c>
    </row>
    <row r="124">
      <c r="A124" s="50" t="n"/>
      <c r="B124" s="51" t="n"/>
      <c r="C124" s="48">
        <f>IF(OR(B124="",B123=""),"",B124/B123-1)</f>
        <v/>
      </c>
      <c r="D124" s="48">
        <f>IF(B124="","",IFERROR(B124/INDEX($B$2:$B$400,MATCH(DATE(YEAR(A124)-1,12,1),$A$2:$A$400,0))-1,""))</f>
        <v/>
      </c>
      <c r="E124" s="48">
        <f>IF(B124="","",IFERROR(B124/INDEX($B$2:$B$400,MATCH(DATE(YEAR(A124)-1,MONTH(A124),1),$A$2:$A$400,0))-1,""))</f>
        <v/>
      </c>
    </row>
    <row r="125">
      <c r="A125" s="50" t="n"/>
      <c r="B125" s="51" t="n"/>
      <c r="C125" s="48">
        <f>IF(OR(B125="",B124=""),"",B125/B124-1)</f>
        <v/>
      </c>
      <c r="D125" s="48">
        <f>IF(B125="","",IFERROR(B125/INDEX($B$2:$B$400,MATCH(DATE(YEAR(A125)-1,12,1),$A$2:$A$400,0))-1,""))</f>
        <v/>
      </c>
      <c r="E125" s="48">
        <f>IF(B125="","",IFERROR(B125/INDEX($B$2:$B$400,MATCH(DATE(YEAR(A125)-1,MONTH(A125),1),$A$2:$A$400,0))-1,""))</f>
        <v/>
      </c>
    </row>
    <row r="126">
      <c r="A126" s="50" t="n"/>
      <c r="B126" s="51" t="n"/>
      <c r="C126" s="48">
        <f>IF(OR(B126="",B125=""),"",B126/B125-1)</f>
        <v/>
      </c>
      <c r="D126" s="48">
        <f>IF(B126="","",IFERROR(B126/INDEX($B$2:$B$400,MATCH(DATE(YEAR(A126)-1,12,1),$A$2:$A$400,0))-1,""))</f>
        <v/>
      </c>
      <c r="E126" s="48">
        <f>IF(B126="","",IFERROR(B126/INDEX($B$2:$B$400,MATCH(DATE(YEAR(A126)-1,MONTH(A126),1),$A$2:$A$400,0))-1,""))</f>
        <v/>
      </c>
    </row>
    <row r="127">
      <c r="A127" s="50" t="n"/>
      <c r="B127" s="51" t="n"/>
      <c r="C127" s="48">
        <f>IF(OR(B127="",B126=""),"",B127/B126-1)</f>
        <v/>
      </c>
      <c r="D127" s="48">
        <f>IF(B127="","",IFERROR(B127/INDEX($B$2:$B$400,MATCH(DATE(YEAR(A127)-1,12,1),$A$2:$A$400,0))-1,""))</f>
        <v/>
      </c>
      <c r="E127" s="48">
        <f>IF(B127="","",IFERROR(B127/INDEX($B$2:$B$400,MATCH(DATE(YEAR(A127)-1,MONTH(A127),1),$A$2:$A$400,0))-1,""))</f>
        <v/>
      </c>
    </row>
    <row r="128">
      <c r="A128" s="50" t="n"/>
      <c r="B128" s="51" t="n"/>
      <c r="C128" s="48">
        <f>IF(OR(B128="",B127=""),"",B128/B127-1)</f>
        <v/>
      </c>
      <c r="D128" s="48">
        <f>IF(B128="","",IFERROR(B128/INDEX($B$2:$B$400,MATCH(DATE(YEAR(A128)-1,12,1),$A$2:$A$400,0))-1,""))</f>
        <v/>
      </c>
      <c r="E128" s="48">
        <f>IF(B128="","",IFERROR(B128/INDEX($B$2:$B$400,MATCH(DATE(YEAR(A128)-1,MONTH(A128),1),$A$2:$A$400,0))-1,""))</f>
        <v/>
      </c>
    </row>
    <row r="129">
      <c r="A129" s="50" t="n"/>
      <c r="B129" s="51" t="n"/>
      <c r="C129" s="48">
        <f>IF(OR(B129="",B128=""),"",B129/B128-1)</f>
        <v/>
      </c>
      <c r="D129" s="48">
        <f>IF(B129="","",IFERROR(B129/INDEX($B$2:$B$400,MATCH(DATE(YEAR(A129)-1,12,1),$A$2:$A$400,0))-1,""))</f>
        <v/>
      </c>
      <c r="E129" s="48">
        <f>IF(B129="","",IFERROR(B129/INDEX($B$2:$B$400,MATCH(DATE(YEAR(A129)-1,MONTH(A129),1),$A$2:$A$400,0))-1,""))</f>
        <v/>
      </c>
    </row>
    <row r="130">
      <c r="A130" s="50" t="n"/>
      <c r="B130" s="51" t="n"/>
      <c r="C130" s="48">
        <f>IF(OR(B130="",B129=""),"",B130/B129-1)</f>
        <v/>
      </c>
      <c r="D130" s="48">
        <f>IF(B130="","",IFERROR(B130/INDEX($B$2:$B$400,MATCH(DATE(YEAR(A130)-1,12,1),$A$2:$A$400,0))-1,""))</f>
        <v/>
      </c>
      <c r="E130" s="48">
        <f>IF(B130="","",IFERROR(B130/INDEX($B$2:$B$400,MATCH(DATE(YEAR(A130)-1,MONTH(A130),1),$A$2:$A$400,0))-1,""))</f>
        <v/>
      </c>
    </row>
    <row r="131">
      <c r="A131" s="50" t="n"/>
      <c r="B131" s="51" t="n"/>
      <c r="C131" s="48">
        <f>IF(OR(B131="",B130=""),"",B131/B130-1)</f>
        <v/>
      </c>
      <c r="D131" s="48">
        <f>IF(B131="","",IFERROR(B131/INDEX($B$2:$B$400,MATCH(DATE(YEAR(A131)-1,12,1),$A$2:$A$400,0))-1,""))</f>
        <v/>
      </c>
      <c r="E131" s="48">
        <f>IF(B131="","",IFERROR(B131/INDEX($B$2:$B$400,MATCH(DATE(YEAR(A131)-1,MONTH(A131),1),$A$2:$A$400,0))-1,""))</f>
        <v/>
      </c>
    </row>
    <row r="132">
      <c r="A132" s="50" t="n"/>
      <c r="B132" s="51" t="n"/>
      <c r="C132" s="48">
        <f>IF(OR(B132="",B131=""),"",B132/B131-1)</f>
        <v/>
      </c>
      <c r="D132" s="48">
        <f>IF(B132="","",IFERROR(B132/INDEX($B$2:$B$400,MATCH(DATE(YEAR(A132)-1,12,1),$A$2:$A$400,0))-1,""))</f>
        <v/>
      </c>
      <c r="E132" s="48">
        <f>IF(B132="","",IFERROR(B132/INDEX($B$2:$B$400,MATCH(DATE(YEAR(A132)-1,MONTH(A132),1),$A$2:$A$400,0))-1,""))</f>
        <v/>
      </c>
    </row>
    <row r="133">
      <c r="A133" s="50" t="n"/>
      <c r="B133" s="51" t="n"/>
      <c r="C133" s="48">
        <f>IF(OR(B133="",B132=""),"",B133/B132-1)</f>
        <v/>
      </c>
      <c r="D133" s="48">
        <f>IF(B133="","",IFERROR(B133/INDEX($B$2:$B$400,MATCH(DATE(YEAR(A133)-1,12,1),$A$2:$A$400,0))-1,""))</f>
        <v/>
      </c>
      <c r="E133" s="48">
        <f>IF(B133="","",IFERROR(B133/INDEX($B$2:$B$400,MATCH(DATE(YEAR(A133)-1,MONTH(A133),1),$A$2:$A$400,0))-1,""))</f>
        <v/>
      </c>
    </row>
    <row r="134">
      <c r="A134" s="50" t="n"/>
      <c r="B134" s="51" t="n"/>
      <c r="C134" s="48">
        <f>IF(OR(B134="",B133=""),"",B134/B133-1)</f>
        <v/>
      </c>
      <c r="D134" s="48">
        <f>IF(B134="","",IFERROR(B134/INDEX($B$2:$B$400,MATCH(DATE(YEAR(A134)-1,12,1),$A$2:$A$400,0))-1,""))</f>
        <v/>
      </c>
      <c r="E134" s="48">
        <f>IF(B134="","",IFERROR(B134/INDEX($B$2:$B$400,MATCH(DATE(YEAR(A134)-1,MONTH(A134),1),$A$2:$A$400,0))-1,""))</f>
        <v/>
      </c>
    </row>
    <row r="135">
      <c r="A135" s="50" t="n"/>
      <c r="B135" s="51" t="n"/>
      <c r="C135" s="48">
        <f>IF(OR(B135="",B134=""),"",B135/B134-1)</f>
        <v/>
      </c>
      <c r="D135" s="48">
        <f>IF(B135="","",IFERROR(B135/INDEX($B$2:$B$400,MATCH(DATE(YEAR(A135)-1,12,1),$A$2:$A$400,0))-1,""))</f>
        <v/>
      </c>
      <c r="E135" s="48">
        <f>IF(B135="","",IFERROR(B135/INDEX($B$2:$B$400,MATCH(DATE(YEAR(A135)-1,MONTH(A135),1),$A$2:$A$400,0))-1,""))</f>
        <v/>
      </c>
    </row>
    <row r="136">
      <c r="A136" s="50" t="n"/>
      <c r="B136" s="51" t="n"/>
      <c r="C136" s="48">
        <f>IF(OR(B136="",B135=""),"",B136/B135-1)</f>
        <v/>
      </c>
      <c r="D136" s="48">
        <f>IF(B136="","",IFERROR(B136/INDEX($B$2:$B$400,MATCH(DATE(YEAR(A136)-1,12,1),$A$2:$A$400,0))-1,""))</f>
        <v/>
      </c>
      <c r="E136" s="48">
        <f>IF(B136="","",IFERROR(B136/INDEX($B$2:$B$400,MATCH(DATE(YEAR(A136)-1,MONTH(A136),1),$A$2:$A$400,0))-1,""))</f>
        <v/>
      </c>
    </row>
    <row r="137">
      <c r="A137" s="50" t="n"/>
      <c r="B137" s="51" t="n"/>
      <c r="C137" s="48">
        <f>IF(OR(B137="",B136=""),"",B137/B136-1)</f>
        <v/>
      </c>
      <c r="D137" s="48">
        <f>IF(B137="","",IFERROR(B137/INDEX($B$2:$B$400,MATCH(DATE(YEAR(A137)-1,12,1),$A$2:$A$400,0))-1,""))</f>
        <v/>
      </c>
      <c r="E137" s="48">
        <f>IF(B137="","",IFERROR(B137/INDEX($B$2:$B$400,MATCH(DATE(YEAR(A137)-1,MONTH(A137),1),$A$2:$A$400,0))-1,""))</f>
        <v/>
      </c>
    </row>
    <row r="138">
      <c r="A138" s="50" t="n"/>
      <c r="B138" s="51" t="n"/>
      <c r="C138" s="48">
        <f>IF(OR(B138="",B137=""),"",B138/B137-1)</f>
        <v/>
      </c>
      <c r="D138" s="48">
        <f>IF(B138="","",IFERROR(B138/INDEX($B$2:$B$400,MATCH(DATE(YEAR(A138)-1,12,1),$A$2:$A$400,0))-1,""))</f>
        <v/>
      </c>
      <c r="E138" s="48">
        <f>IF(B138="","",IFERROR(B138/INDEX($B$2:$B$400,MATCH(DATE(YEAR(A138)-1,MONTH(A138),1),$A$2:$A$400,0))-1,""))</f>
        <v/>
      </c>
    </row>
    <row r="139">
      <c r="A139" s="50" t="n"/>
      <c r="B139" s="51" t="n"/>
      <c r="C139" s="48">
        <f>IF(OR(B139="",B138=""),"",B139/B138-1)</f>
        <v/>
      </c>
      <c r="D139" s="48">
        <f>IF(B139="","",IFERROR(B139/INDEX($B$2:$B$400,MATCH(DATE(YEAR(A139)-1,12,1),$A$2:$A$400,0))-1,""))</f>
        <v/>
      </c>
      <c r="E139" s="48">
        <f>IF(B139="","",IFERROR(B139/INDEX($B$2:$B$400,MATCH(DATE(YEAR(A139)-1,MONTH(A139),1),$A$2:$A$400,0))-1,""))</f>
        <v/>
      </c>
    </row>
    <row r="140">
      <c r="A140" s="50" t="n"/>
      <c r="B140" s="51" t="n"/>
      <c r="C140" s="48">
        <f>IF(OR(B140="",B139=""),"",B140/B139-1)</f>
        <v/>
      </c>
      <c r="D140" s="48">
        <f>IF(B140="","",IFERROR(B140/INDEX($B$2:$B$400,MATCH(DATE(YEAR(A140)-1,12,1),$A$2:$A$400,0))-1,""))</f>
        <v/>
      </c>
      <c r="E140" s="48">
        <f>IF(B140="","",IFERROR(B140/INDEX($B$2:$B$400,MATCH(DATE(YEAR(A140)-1,MONTH(A140),1),$A$2:$A$400,0))-1,""))</f>
        <v/>
      </c>
    </row>
    <row r="141">
      <c r="A141" s="50" t="n"/>
      <c r="B141" s="51" t="n"/>
      <c r="C141" s="48">
        <f>IF(OR(B141="",B140=""),"",B141/B140-1)</f>
        <v/>
      </c>
      <c r="D141" s="48">
        <f>IF(B141="","",IFERROR(B141/INDEX($B$2:$B$400,MATCH(DATE(YEAR(A141)-1,12,1),$A$2:$A$400,0))-1,""))</f>
        <v/>
      </c>
      <c r="E141" s="48">
        <f>IF(B141="","",IFERROR(B141/INDEX($B$2:$B$400,MATCH(DATE(YEAR(A141)-1,MONTH(A141),1),$A$2:$A$400,0))-1,""))</f>
        <v/>
      </c>
    </row>
    <row r="142">
      <c r="A142" s="50" t="n"/>
      <c r="B142" s="51" t="n"/>
      <c r="C142" s="48">
        <f>IF(OR(B142="",B141=""),"",B142/B141-1)</f>
        <v/>
      </c>
      <c r="D142" s="48">
        <f>IF(B142="","",IFERROR(B142/INDEX($B$2:$B$400,MATCH(DATE(YEAR(A142)-1,12,1),$A$2:$A$400,0))-1,""))</f>
        <v/>
      </c>
      <c r="E142" s="48">
        <f>IF(B142="","",IFERROR(B142/INDEX($B$2:$B$400,MATCH(DATE(YEAR(A142)-1,MONTH(A142),1),$A$2:$A$400,0))-1,""))</f>
        <v/>
      </c>
    </row>
    <row r="143">
      <c r="A143" s="50" t="n"/>
      <c r="B143" s="51" t="n"/>
      <c r="C143" s="48">
        <f>IF(OR(B143="",B142=""),"",B143/B142-1)</f>
        <v/>
      </c>
      <c r="D143" s="48">
        <f>IF(B143="","",IFERROR(B143/INDEX($B$2:$B$400,MATCH(DATE(YEAR(A143)-1,12,1),$A$2:$A$400,0))-1,""))</f>
        <v/>
      </c>
      <c r="E143" s="48">
        <f>IF(B143="","",IFERROR(B143/INDEX($B$2:$B$400,MATCH(DATE(YEAR(A143)-1,MONTH(A143),1),$A$2:$A$400,0))-1,""))</f>
        <v/>
      </c>
    </row>
    <row r="144">
      <c r="A144" s="50" t="n"/>
      <c r="B144" s="51" t="n"/>
      <c r="C144" s="48">
        <f>IF(OR(B144="",B143=""),"",B144/B143-1)</f>
        <v/>
      </c>
      <c r="D144" s="48">
        <f>IF(B144="","",IFERROR(B144/INDEX($B$2:$B$400,MATCH(DATE(YEAR(A144)-1,12,1),$A$2:$A$400,0))-1,""))</f>
        <v/>
      </c>
      <c r="E144" s="48">
        <f>IF(B144="","",IFERROR(B144/INDEX($B$2:$B$400,MATCH(DATE(YEAR(A144)-1,MONTH(A144),1),$A$2:$A$400,0))-1,""))</f>
        <v/>
      </c>
    </row>
    <row r="145">
      <c r="A145" s="50" t="n"/>
      <c r="B145" s="51" t="n"/>
      <c r="C145" s="48">
        <f>IF(OR(B145="",B144=""),"",B145/B144-1)</f>
        <v/>
      </c>
      <c r="D145" s="48">
        <f>IF(B145="","",IFERROR(B145/INDEX($B$2:$B$400,MATCH(DATE(YEAR(A145)-1,12,1),$A$2:$A$400,0))-1,""))</f>
        <v/>
      </c>
      <c r="E145" s="48">
        <f>IF(B145="","",IFERROR(B145/INDEX($B$2:$B$400,MATCH(DATE(YEAR(A145)-1,MONTH(A145),1),$A$2:$A$400,0))-1,""))</f>
        <v/>
      </c>
    </row>
    <row r="146">
      <c r="A146" s="50" t="n"/>
      <c r="B146" s="51" t="n"/>
      <c r="C146" s="48">
        <f>IF(OR(B146="",B145=""),"",B146/B145-1)</f>
        <v/>
      </c>
      <c r="D146" s="48">
        <f>IF(B146="","",IFERROR(B146/INDEX($B$2:$B$400,MATCH(DATE(YEAR(A146)-1,12,1),$A$2:$A$400,0))-1,""))</f>
        <v/>
      </c>
      <c r="E146" s="48">
        <f>IF(B146="","",IFERROR(B146/INDEX($B$2:$B$400,MATCH(DATE(YEAR(A146)-1,MONTH(A146),1),$A$2:$A$400,0))-1,""))</f>
        <v/>
      </c>
    </row>
    <row r="147">
      <c r="A147" s="50" t="n"/>
      <c r="B147" s="51" t="n"/>
      <c r="C147" s="48">
        <f>IF(OR(B147="",B146=""),"",B147/B146-1)</f>
        <v/>
      </c>
      <c r="D147" s="48">
        <f>IF(B147="","",IFERROR(B147/INDEX($B$2:$B$400,MATCH(DATE(YEAR(A147)-1,12,1),$A$2:$A$400,0))-1,""))</f>
        <v/>
      </c>
      <c r="E147" s="48">
        <f>IF(B147="","",IFERROR(B147/INDEX($B$2:$B$400,MATCH(DATE(YEAR(A147)-1,MONTH(A147),1),$A$2:$A$400,0))-1,""))</f>
        <v/>
      </c>
    </row>
    <row r="148">
      <c r="A148" s="50" t="n"/>
      <c r="B148" s="51" t="n"/>
      <c r="C148" s="48">
        <f>IF(OR(B148="",B147=""),"",B148/B147-1)</f>
        <v/>
      </c>
      <c r="D148" s="48">
        <f>IF(B148="","",IFERROR(B148/INDEX($B$2:$B$400,MATCH(DATE(YEAR(A148)-1,12,1),$A$2:$A$400,0))-1,""))</f>
        <v/>
      </c>
      <c r="E148" s="48">
        <f>IF(B148="","",IFERROR(B148/INDEX($B$2:$B$400,MATCH(DATE(YEAR(A148)-1,MONTH(A148),1),$A$2:$A$400,0))-1,""))</f>
        <v/>
      </c>
    </row>
    <row r="149">
      <c r="A149" s="50" t="n"/>
      <c r="B149" s="51" t="n"/>
      <c r="C149" s="48">
        <f>IF(OR(B149="",B148=""),"",B149/B148-1)</f>
        <v/>
      </c>
      <c r="D149" s="48">
        <f>IF(B149="","",IFERROR(B149/INDEX($B$2:$B$400,MATCH(DATE(YEAR(A149)-1,12,1),$A$2:$A$400,0))-1,""))</f>
        <v/>
      </c>
      <c r="E149" s="48">
        <f>IF(B149="","",IFERROR(B149/INDEX($B$2:$B$400,MATCH(DATE(YEAR(A149)-1,MONTH(A149),1),$A$2:$A$400,0))-1,""))</f>
        <v/>
      </c>
    </row>
    <row r="150">
      <c r="A150" s="50" t="n"/>
      <c r="B150" s="51" t="n"/>
      <c r="C150" s="48">
        <f>IF(OR(B150="",B149=""),"",B150/B149-1)</f>
        <v/>
      </c>
      <c r="D150" s="48">
        <f>IF(B150="","",IFERROR(B150/INDEX($B$2:$B$400,MATCH(DATE(YEAR(A150)-1,12,1),$A$2:$A$400,0))-1,""))</f>
        <v/>
      </c>
      <c r="E150" s="48">
        <f>IF(B150="","",IFERROR(B150/INDEX($B$2:$B$400,MATCH(DATE(YEAR(A150)-1,MONTH(A150),1),$A$2:$A$400,0))-1,""))</f>
        <v/>
      </c>
    </row>
    <row r="151">
      <c r="A151" s="50" t="n"/>
      <c r="B151" s="51" t="n"/>
      <c r="C151" s="48">
        <f>IF(OR(B151="",B150=""),"",B151/B150-1)</f>
        <v/>
      </c>
      <c r="D151" s="48">
        <f>IF(B151="","",IFERROR(B151/INDEX($B$2:$B$400,MATCH(DATE(YEAR(A151)-1,12,1),$A$2:$A$400,0))-1,""))</f>
        <v/>
      </c>
      <c r="E151" s="48">
        <f>IF(B151="","",IFERROR(B151/INDEX($B$2:$B$400,MATCH(DATE(YEAR(A151)-1,MONTH(A151),1),$A$2:$A$400,0))-1,""))</f>
        <v/>
      </c>
    </row>
    <row r="152">
      <c r="A152" s="50" t="n"/>
      <c r="B152" s="51" t="n"/>
      <c r="C152" s="48">
        <f>IF(OR(B152="",B151=""),"",B152/B151-1)</f>
        <v/>
      </c>
      <c r="D152" s="48">
        <f>IF(B152="","",IFERROR(B152/INDEX($B$2:$B$400,MATCH(DATE(YEAR(A152)-1,12,1),$A$2:$A$400,0))-1,""))</f>
        <v/>
      </c>
      <c r="E152" s="48">
        <f>IF(B152="","",IFERROR(B152/INDEX($B$2:$B$400,MATCH(DATE(YEAR(A152)-1,MONTH(A152),1),$A$2:$A$400,0))-1,""))</f>
        <v/>
      </c>
    </row>
    <row r="153">
      <c r="A153" s="50" t="n"/>
      <c r="B153" s="51" t="n"/>
      <c r="C153" s="48">
        <f>IF(OR(B153="",B152=""),"",B153/B152-1)</f>
        <v/>
      </c>
      <c r="D153" s="48">
        <f>IF(B153="","",IFERROR(B153/INDEX($B$2:$B$400,MATCH(DATE(YEAR(A153)-1,12,1),$A$2:$A$400,0))-1,""))</f>
        <v/>
      </c>
      <c r="E153" s="48">
        <f>IF(B153="","",IFERROR(B153/INDEX($B$2:$B$400,MATCH(DATE(YEAR(A153)-1,MONTH(A153),1),$A$2:$A$400,0))-1,""))</f>
        <v/>
      </c>
    </row>
    <row r="154">
      <c r="A154" s="50" t="n"/>
      <c r="B154" s="51" t="n"/>
      <c r="C154" s="48">
        <f>IF(OR(B154="",B153=""),"",B154/B153-1)</f>
        <v/>
      </c>
      <c r="D154" s="48">
        <f>IF(B154="","",IFERROR(B154/INDEX($B$2:$B$400,MATCH(DATE(YEAR(A154)-1,12,1),$A$2:$A$400,0))-1,""))</f>
        <v/>
      </c>
      <c r="E154" s="48">
        <f>IF(B154="","",IFERROR(B154/INDEX($B$2:$B$400,MATCH(DATE(YEAR(A154)-1,MONTH(A154),1),$A$2:$A$400,0))-1,""))</f>
        <v/>
      </c>
    </row>
    <row r="155">
      <c r="A155" s="50" t="n"/>
      <c r="B155" s="51" t="n"/>
      <c r="C155" s="48">
        <f>IF(OR(B155="",B154=""),"",B155/B154-1)</f>
        <v/>
      </c>
      <c r="D155" s="48">
        <f>IF(B155="","",IFERROR(B155/INDEX($B$2:$B$400,MATCH(DATE(YEAR(A155)-1,12,1),$A$2:$A$400,0))-1,""))</f>
        <v/>
      </c>
      <c r="E155" s="48">
        <f>IF(B155="","",IFERROR(B155/INDEX($B$2:$B$400,MATCH(DATE(YEAR(A155)-1,MONTH(A155),1),$A$2:$A$400,0))-1,""))</f>
        <v/>
      </c>
    </row>
    <row r="156">
      <c r="A156" s="50" t="n"/>
      <c r="B156" s="51" t="n"/>
      <c r="C156" s="48">
        <f>IF(OR(B156="",B155=""),"",B156/B155-1)</f>
        <v/>
      </c>
      <c r="D156" s="48">
        <f>IF(B156="","",IFERROR(B156/INDEX($B$2:$B$400,MATCH(DATE(YEAR(A156)-1,12,1),$A$2:$A$400,0))-1,""))</f>
        <v/>
      </c>
      <c r="E156" s="48">
        <f>IF(B156="","",IFERROR(B156/INDEX($B$2:$B$400,MATCH(DATE(YEAR(A156)-1,MONTH(A156),1),$A$2:$A$400,0))-1,""))</f>
        <v/>
      </c>
    </row>
    <row r="157">
      <c r="A157" s="50" t="n"/>
      <c r="B157" s="51" t="n"/>
      <c r="C157" s="48">
        <f>IF(OR(B157="",B156=""),"",B157/B156-1)</f>
        <v/>
      </c>
      <c r="D157" s="48">
        <f>IF(B157="","",IFERROR(B157/INDEX($B$2:$B$400,MATCH(DATE(YEAR(A157)-1,12,1),$A$2:$A$400,0))-1,""))</f>
        <v/>
      </c>
      <c r="E157" s="48">
        <f>IF(B157="","",IFERROR(B157/INDEX($B$2:$B$400,MATCH(DATE(YEAR(A157)-1,MONTH(A157),1),$A$2:$A$400,0))-1,""))</f>
        <v/>
      </c>
    </row>
    <row r="158">
      <c r="A158" s="50" t="n"/>
      <c r="B158" s="51" t="n"/>
      <c r="C158" s="48">
        <f>IF(OR(B158="",B157=""),"",B158/B157-1)</f>
        <v/>
      </c>
      <c r="D158" s="48">
        <f>IF(B158="","",IFERROR(B158/INDEX($B$2:$B$400,MATCH(DATE(YEAR(A158)-1,12,1),$A$2:$A$400,0))-1,""))</f>
        <v/>
      </c>
      <c r="E158" s="48">
        <f>IF(B158="","",IFERROR(B158/INDEX($B$2:$B$400,MATCH(DATE(YEAR(A158)-1,MONTH(A158),1),$A$2:$A$400,0))-1,""))</f>
        <v/>
      </c>
    </row>
    <row r="159">
      <c r="A159" s="50" t="n"/>
      <c r="B159" s="51" t="n"/>
      <c r="C159" s="48">
        <f>IF(OR(B159="",B158=""),"",B159/B158-1)</f>
        <v/>
      </c>
      <c r="D159" s="48">
        <f>IF(B159="","",IFERROR(B159/INDEX($B$2:$B$400,MATCH(DATE(YEAR(A159)-1,12,1),$A$2:$A$400,0))-1,""))</f>
        <v/>
      </c>
      <c r="E159" s="48">
        <f>IF(B159="","",IFERROR(B159/INDEX($B$2:$B$400,MATCH(DATE(YEAR(A159)-1,MONTH(A159),1),$A$2:$A$400,0))-1,""))</f>
        <v/>
      </c>
    </row>
    <row r="160">
      <c r="A160" s="50" t="n"/>
      <c r="B160" s="51" t="n"/>
      <c r="C160" s="48">
        <f>IF(OR(B160="",B159=""),"",B160/B159-1)</f>
        <v/>
      </c>
      <c r="D160" s="48">
        <f>IF(B160="","",IFERROR(B160/INDEX($B$2:$B$400,MATCH(DATE(YEAR(A160)-1,12,1),$A$2:$A$400,0))-1,""))</f>
        <v/>
      </c>
      <c r="E160" s="48">
        <f>IF(B160="","",IFERROR(B160/INDEX($B$2:$B$400,MATCH(DATE(YEAR(A160)-1,MONTH(A160),1),$A$2:$A$400,0))-1,""))</f>
        <v/>
      </c>
    </row>
    <row r="161">
      <c r="A161" s="50" t="n"/>
      <c r="B161" s="51" t="n"/>
      <c r="C161" s="48">
        <f>IF(OR(B161="",B160=""),"",B161/B160-1)</f>
        <v/>
      </c>
      <c r="D161" s="48">
        <f>IF(B161="","",IFERROR(B161/INDEX($B$2:$B$400,MATCH(DATE(YEAR(A161)-1,12,1),$A$2:$A$400,0))-1,""))</f>
        <v/>
      </c>
      <c r="E161" s="48">
        <f>IF(B161="","",IFERROR(B161/INDEX($B$2:$B$400,MATCH(DATE(YEAR(A161)-1,MONTH(A161),1),$A$2:$A$400,0))-1,""))</f>
        <v/>
      </c>
    </row>
    <row r="162">
      <c r="A162" s="50" t="n"/>
      <c r="B162" s="51" t="n"/>
      <c r="C162" s="48">
        <f>IF(OR(B162="",B161=""),"",B162/B161-1)</f>
        <v/>
      </c>
      <c r="D162" s="48">
        <f>IF(B162="","",IFERROR(B162/INDEX($B$2:$B$400,MATCH(DATE(YEAR(A162)-1,12,1),$A$2:$A$400,0))-1,""))</f>
        <v/>
      </c>
      <c r="E162" s="48">
        <f>IF(B162="","",IFERROR(B162/INDEX($B$2:$B$400,MATCH(DATE(YEAR(A162)-1,MONTH(A162),1),$A$2:$A$400,0))-1,""))</f>
        <v/>
      </c>
    </row>
    <row r="163">
      <c r="A163" s="50" t="n"/>
      <c r="B163" s="51" t="n"/>
      <c r="C163" s="48">
        <f>IF(OR(B163="",B162=""),"",B163/B162-1)</f>
        <v/>
      </c>
      <c r="D163" s="48">
        <f>IF(B163="","",IFERROR(B163/INDEX($B$2:$B$400,MATCH(DATE(YEAR(A163)-1,12,1),$A$2:$A$400,0))-1,""))</f>
        <v/>
      </c>
      <c r="E163" s="48">
        <f>IF(B163="","",IFERROR(B163/INDEX($B$2:$B$400,MATCH(DATE(YEAR(A163)-1,MONTH(A163),1),$A$2:$A$400,0))-1,""))</f>
        <v/>
      </c>
    </row>
    <row r="164">
      <c r="A164" s="50" t="n"/>
      <c r="B164" s="51" t="n"/>
      <c r="C164" s="48">
        <f>IF(OR(B164="",B163=""),"",B164/B163-1)</f>
        <v/>
      </c>
      <c r="D164" s="48">
        <f>IF(B164="","",IFERROR(B164/INDEX($B$2:$B$400,MATCH(DATE(YEAR(A164)-1,12,1),$A$2:$A$400,0))-1,""))</f>
        <v/>
      </c>
      <c r="E164" s="48">
        <f>IF(B164="","",IFERROR(B164/INDEX($B$2:$B$400,MATCH(DATE(YEAR(A164)-1,MONTH(A164),1),$A$2:$A$400,0))-1,""))</f>
        <v/>
      </c>
    </row>
    <row r="165">
      <c r="A165" s="50" t="n"/>
      <c r="B165" s="51" t="n"/>
      <c r="C165" s="48">
        <f>IF(OR(B165="",B164=""),"",B165/B164-1)</f>
        <v/>
      </c>
      <c r="D165" s="48">
        <f>IF(B165="","",IFERROR(B165/INDEX($B$2:$B$400,MATCH(DATE(YEAR(A165)-1,12,1),$A$2:$A$400,0))-1,""))</f>
        <v/>
      </c>
      <c r="E165" s="48">
        <f>IF(B165="","",IFERROR(B165/INDEX($B$2:$B$400,MATCH(DATE(YEAR(A165)-1,MONTH(A165),1),$A$2:$A$400,0))-1,""))</f>
        <v/>
      </c>
    </row>
    <row r="166">
      <c r="A166" s="50" t="n"/>
      <c r="B166" s="51" t="n"/>
      <c r="C166" s="48">
        <f>IF(OR(B166="",B165=""),"",B166/B165-1)</f>
        <v/>
      </c>
      <c r="D166" s="48">
        <f>IF(B166="","",IFERROR(B166/INDEX($B$2:$B$400,MATCH(DATE(YEAR(A166)-1,12,1),$A$2:$A$400,0))-1,""))</f>
        <v/>
      </c>
      <c r="E166" s="48">
        <f>IF(B166="","",IFERROR(B166/INDEX($B$2:$B$400,MATCH(DATE(YEAR(A166)-1,MONTH(A166),1),$A$2:$A$400,0))-1,""))</f>
        <v/>
      </c>
    </row>
    <row r="167">
      <c r="A167" s="50" t="n"/>
      <c r="B167" s="51" t="n"/>
      <c r="C167" s="48">
        <f>IF(OR(B167="",B166=""),"",B167/B166-1)</f>
        <v/>
      </c>
      <c r="D167" s="48">
        <f>IF(B167="","",IFERROR(B167/INDEX($B$2:$B$400,MATCH(DATE(YEAR(A167)-1,12,1),$A$2:$A$400,0))-1,""))</f>
        <v/>
      </c>
      <c r="E167" s="48">
        <f>IF(B167="","",IFERROR(B167/INDEX($B$2:$B$400,MATCH(DATE(YEAR(A167)-1,MONTH(A167),1),$A$2:$A$400,0))-1,""))</f>
        <v/>
      </c>
    </row>
    <row r="168">
      <c r="A168" s="50" t="n"/>
      <c r="B168" s="51" t="n"/>
      <c r="C168" s="48">
        <f>IF(OR(B168="",B167=""),"",B168/B167-1)</f>
        <v/>
      </c>
      <c r="D168" s="48">
        <f>IF(B168="","",IFERROR(B168/INDEX($B$2:$B$400,MATCH(DATE(YEAR(A168)-1,12,1),$A$2:$A$400,0))-1,""))</f>
        <v/>
      </c>
      <c r="E168" s="48">
        <f>IF(B168="","",IFERROR(B168/INDEX($B$2:$B$400,MATCH(DATE(YEAR(A168)-1,MONTH(A168),1),$A$2:$A$400,0))-1,""))</f>
        <v/>
      </c>
    </row>
    <row r="169">
      <c r="A169" s="50" t="n"/>
      <c r="B169" s="51" t="n"/>
      <c r="C169" s="48">
        <f>IF(OR(B169="",B168=""),"",B169/B168-1)</f>
        <v/>
      </c>
      <c r="D169" s="48">
        <f>IF(B169="","",IFERROR(B169/INDEX($B$2:$B$400,MATCH(DATE(YEAR(A169)-1,12,1),$A$2:$A$400,0))-1,""))</f>
        <v/>
      </c>
      <c r="E169" s="48">
        <f>IF(B169="","",IFERROR(B169/INDEX($B$2:$B$400,MATCH(DATE(YEAR(A169)-1,MONTH(A169),1),$A$2:$A$400,0))-1,""))</f>
        <v/>
      </c>
    </row>
    <row r="170">
      <c r="A170" s="50" t="n"/>
      <c r="B170" s="51" t="n"/>
      <c r="C170" s="48">
        <f>IF(OR(B170="",B169=""),"",B170/B169-1)</f>
        <v/>
      </c>
      <c r="D170" s="48">
        <f>IF(B170="","",IFERROR(B170/INDEX($B$2:$B$400,MATCH(DATE(YEAR(A170)-1,12,1),$A$2:$A$400,0))-1,""))</f>
        <v/>
      </c>
      <c r="E170" s="48">
        <f>IF(B170="","",IFERROR(B170/INDEX($B$2:$B$400,MATCH(DATE(YEAR(A170)-1,MONTH(A170),1),$A$2:$A$400,0))-1,""))</f>
        <v/>
      </c>
    </row>
    <row r="171">
      <c r="A171" s="50" t="n"/>
      <c r="B171" s="51" t="n"/>
      <c r="C171" s="48">
        <f>IF(OR(B171="",B170=""),"",B171/B170-1)</f>
        <v/>
      </c>
      <c r="D171" s="48">
        <f>IF(B171="","",IFERROR(B171/INDEX($B$2:$B$400,MATCH(DATE(YEAR(A171)-1,12,1),$A$2:$A$400,0))-1,""))</f>
        <v/>
      </c>
      <c r="E171" s="48">
        <f>IF(B171="","",IFERROR(B171/INDEX($B$2:$B$400,MATCH(DATE(YEAR(A171)-1,MONTH(A171),1),$A$2:$A$400,0))-1,""))</f>
        <v/>
      </c>
    </row>
    <row r="172">
      <c r="A172" s="50" t="n"/>
      <c r="B172" s="51" t="n"/>
      <c r="C172" s="48">
        <f>IF(OR(B172="",B171=""),"",B172/B171-1)</f>
        <v/>
      </c>
      <c r="D172" s="48">
        <f>IF(B172="","",IFERROR(B172/INDEX($B$2:$B$400,MATCH(DATE(YEAR(A172)-1,12,1),$A$2:$A$400,0))-1,""))</f>
        <v/>
      </c>
      <c r="E172" s="48">
        <f>IF(B172="","",IFERROR(B172/INDEX($B$2:$B$400,MATCH(DATE(YEAR(A172)-1,MONTH(A172),1),$A$2:$A$400,0))-1,""))</f>
        <v/>
      </c>
    </row>
    <row r="173">
      <c r="A173" s="50" t="n"/>
      <c r="B173" s="51" t="n"/>
      <c r="C173" s="48">
        <f>IF(OR(B173="",B172=""),"",B173/B172-1)</f>
        <v/>
      </c>
      <c r="D173" s="48">
        <f>IF(B173="","",IFERROR(B173/INDEX($B$2:$B$400,MATCH(DATE(YEAR(A173)-1,12,1),$A$2:$A$400,0))-1,""))</f>
        <v/>
      </c>
      <c r="E173" s="48">
        <f>IF(B173="","",IFERROR(B173/INDEX($B$2:$B$400,MATCH(DATE(YEAR(A173)-1,MONTH(A173),1),$A$2:$A$400,0))-1,""))</f>
        <v/>
      </c>
    </row>
    <row r="174">
      <c r="A174" s="50" t="n"/>
      <c r="B174" s="51" t="n"/>
      <c r="C174" s="48">
        <f>IF(OR(B174="",B173=""),"",B174/B173-1)</f>
        <v/>
      </c>
      <c r="D174" s="48">
        <f>IF(B174="","",IFERROR(B174/INDEX($B$2:$B$400,MATCH(DATE(YEAR(A174)-1,12,1),$A$2:$A$400,0))-1,""))</f>
        <v/>
      </c>
      <c r="E174" s="48">
        <f>IF(B174="","",IFERROR(B174/INDEX($B$2:$B$400,MATCH(DATE(YEAR(A174)-1,MONTH(A174),1),$A$2:$A$400,0))-1,""))</f>
        <v/>
      </c>
    </row>
    <row r="175">
      <c r="A175" s="50" t="n"/>
      <c r="B175" s="51" t="n"/>
      <c r="C175" s="48">
        <f>IF(OR(B175="",B174=""),"",B175/B174-1)</f>
        <v/>
      </c>
      <c r="D175" s="48">
        <f>IF(B175="","",IFERROR(B175/INDEX($B$2:$B$400,MATCH(DATE(YEAR(A175)-1,12,1),$A$2:$A$400,0))-1,""))</f>
        <v/>
      </c>
      <c r="E175" s="48">
        <f>IF(B175="","",IFERROR(B175/INDEX($B$2:$B$400,MATCH(DATE(YEAR(A175)-1,MONTH(A175),1),$A$2:$A$400,0))-1,""))</f>
        <v/>
      </c>
    </row>
    <row r="176">
      <c r="A176" s="50" t="n"/>
      <c r="B176" s="51" t="n"/>
      <c r="C176" s="48">
        <f>IF(OR(B176="",B175=""),"",B176/B175-1)</f>
        <v/>
      </c>
      <c r="D176" s="48">
        <f>IF(B176="","",IFERROR(B176/INDEX($B$2:$B$400,MATCH(DATE(YEAR(A176)-1,12,1),$A$2:$A$400,0))-1,""))</f>
        <v/>
      </c>
      <c r="E176" s="48">
        <f>IF(B176="","",IFERROR(B176/INDEX($B$2:$B$400,MATCH(DATE(YEAR(A176)-1,MONTH(A176),1),$A$2:$A$400,0))-1,""))</f>
        <v/>
      </c>
    </row>
    <row r="177">
      <c r="A177" s="50" t="n"/>
      <c r="B177" s="51" t="n"/>
      <c r="C177" s="48">
        <f>IF(OR(B177="",B176=""),"",B177/B176-1)</f>
        <v/>
      </c>
      <c r="D177" s="48">
        <f>IF(B177="","",IFERROR(B177/INDEX($B$2:$B$400,MATCH(DATE(YEAR(A177)-1,12,1),$A$2:$A$400,0))-1,""))</f>
        <v/>
      </c>
      <c r="E177" s="48">
        <f>IF(B177="","",IFERROR(B177/INDEX($B$2:$B$400,MATCH(DATE(YEAR(A177)-1,MONTH(A177),1),$A$2:$A$400,0))-1,""))</f>
        <v/>
      </c>
    </row>
    <row r="178">
      <c r="A178" s="50" t="n"/>
      <c r="B178" s="51" t="n"/>
      <c r="C178" s="48">
        <f>IF(OR(B178="",B177=""),"",B178/B177-1)</f>
        <v/>
      </c>
      <c r="D178" s="48">
        <f>IF(B178="","",IFERROR(B178/INDEX($B$2:$B$400,MATCH(DATE(YEAR(A178)-1,12,1),$A$2:$A$400,0))-1,""))</f>
        <v/>
      </c>
      <c r="E178" s="48">
        <f>IF(B178="","",IFERROR(B178/INDEX($B$2:$B$400,MATCH(DATE(YEAR(A178)-1,MONTH(A178),1),$A$2:$A$400,0))-1,""))</f>
        <v/>
      </c>
    </row>
    <row r="179">
      <c r="A179" s="50" t="n"/>
      <c r="B179" s="51" t="n"/>
      <c r="C179" s="48">
        <f>IF(OR(B179="",B178=""),"",B179/B178-1)</f>
        <v/>
      </c>
      <c r="D179" s="48">
        <f>IF(B179="","",IFERROR(B179/INDEX($B$2:$B$400,MATCH(DATE(YEAR(A179)-1,12,1),$A$2:$A$400,0))-1,""))</f>
        <v/>
      </c>
      <c r="E179" s="48">
        <f>IF(B179="","",IFERROR(B179/INDEX($B$2:$B$400,MATCH(DATE(YEAR(A179)-1,MONTH(A179),1),$A$2:$A$400,0))-1,""))</f>
        <v/>
      </c>
    </row>
    <row r="180">
      <c r="A180" s="50" t="n"/>
      <c r="B180" s="51" t="n"/>
      <c r="C180" s="48">
        <f>IF(OR(B180="",B179=""),"",B180/B179-1)</f>
        <v/>
      </c>
      <c r="D180" s="48">
        <f>IF(B180="","",IFERROR(B180/INDEX($B$2:$B$400,MATCH(DATE(YEAR(A180)-1,12,1),$A$2:$A$400,0))-1,""))</f>
        <v/>
      </c>
      <c r="E180" s="48">
        <f>IF(B180="","",IFERROR(B180/INDEX($B$2:$B$400,MATCH(DATE(YEAR(A180)-1,MONTH(A180),1),$A$2:$A$400,0))-1,""))</f>
        <v/>
      </c>
    </row>
    <row r="181">
      <c r="A181" s="50" t="n"/>
      <c r="B181" s="51" t="n"/>
      <c r="C181" s="48">
        <f>IF(OR(B181="",B180=""),"",B181/B180-1)</f>
        <v/>
      </c>
      <c r="D181" s="48">
        <f>IF(B181="","",IFERROR(B181/INDEX($B$2:$B$400,MATCH(DATE(YEAR(A181)-1,12,1),$A$2:$A$400,0))-1,""))</f>
        <v/>
      </c>
      <c r="E181" s="48">
        <f>IF(B181="","",IFERROR(B181/INDEX($B$2:$B$400,MATCH(DATE(YEAR(A181)-1,MONTH(A181),1),$A$2:$A$400,0))-1,""))</f>
        <v/>
      </c>
    </row>
    <row r="182">
      <c r="A182" s="50" t="n"/>
      <c r="B182" s="51" t="n"/>
      <c r="C182" s="48">
        <f>IF(OR(B182="",B181=""),"",B182/B181-1)</f>
        <v/>
      </c>
      <c r="D182" s="48">
        <f>IF(B182="","",IFERROR(B182/INDEX($B$2:$B$400,MATCH(DATE(YEAR(A182)-1,12,1),$A$2:$A$400,0))-1,""))</f>
        <v/>
      </c>
      <c r="E182" s="48">
        <f>IF(B182="","",IFERROR(B182/INDEX($B$2:$B$400,MATCH(DATE(YEAR(A182)-1,MONTH(A182),1),$A$2:$A$400,0))-1,""))</f>
        <v/>
      </c>
    </row>
    <row r="183">
      <c r="A183" s="50" t="n"/>
      <c r="B183" s="51" t="n"/>
      <c r="C183" s="48">
        <f>IF(OR(B183="",B182=""),"",B183/B182-1)</f>
        <v/>
      </c>
      <c r="D183" s="48">
        <f>IF(B183="","",IFERROR(B183/INDEX($B$2:$B$400,MATCH(DATE(YEAR(A183)-1,12,1),$A$2:$A$400,0))-1,""))</f>
        <v/>
      </c>
      <c r="E183" s="48">
        <f>IF(B183="","",IFERROR(B183/INDEX($B$2:$B$400,MATCH(DATE(YEAR(A183)-1,MONTH(A183),1),$A$2:$A$400,0))-1,""))</f>
        <v/>
      </c>
    </row>
    <row r="184">
      <c r="A184" s="50" t="n"/>
      <c r="B184" s="51" t="n"/>
      <c r="C184" s="48">
        <f>IF(OR(B184="",B183=""),"",B184/B183-1)</f>
        <v/>
      </c>
      <c r="D184" s="48">
        <f>IF(B184="","",IFERROR(B184/INDEX($B$2:$B$400,MATCH(DATE(YEAR(A184)-1,12,1),$A$2:$A$400,0))-1,""))</f>
        <v/>
      </c>
      <c r="E184" s="48">
        <f>IF(B184="","",IFERROR(B184/INDEX($B$2:$B$400,MATCH(DATE(YEAR(A184)-1,MONTH(A184),1),$A$2:$A$400,0))-1,""))</f>
        <v/>
      </c>
    </row>
    <row r="185">
      <c r="A185" s="50" t="n"/>
      <c r="B185" s="51" t="n"/>
      <c r="C185" s="48">
        <f>IF(OR(B185="",B184=""),"",B185/B184-1)</f>
        <v/>
      </c>
      <c r="D185" s="48">
        <f>IF(B185="","",IFERROR(B185/INDEX($B$2:$B$400,MATCH(DATE(YEAR(A185)-1,12,1),$A$2:$A$400,0))-1,""))</f>
        <v/>
      </c>
      <c r="E185" s="48">
        <f>IF(B185="","",IFERROR(B185/INDEX($B$2:$B$400,MATCH(DATE(YEAR(A185)-1,MONTH(A185),1),$A$2:$A$400,0))-1,""))</f>
        <v/>
      </c>
    </row>
    <row r="186">
      <c r="A186" s="50" t="n"/>
      <c r="B186" s="51" t="n"/>
      <c r="C186" s="48">
        <f>IF(OR(B186="",B185=""),"",B186/B185-1)</f>
        <v/>
      </c>
      <c r="D186" s="48">
        <f>IF(B186="","",IFERROR(B186/INDEX($B$2:$B$400,MATCH(DATE(YEAR(A186)-1,12,1),$A$2:$A$400,0))-1,""))</f>
        <v/>
      </c>
      <c r="E186" s="48">
        <f>IF(B186="","",IFERROR(B186/INDEX($B$2:$B$400,MATCH(DATE(YEAR(A186)-1,MONTH(A186),1),$A$2:$A$400,0))-1,""))</f>
        <v/>
      </c>
    </row>
    <row r="187">
      <c r="A187" s="50" t="n"/>
      <c r="B187" s="51" t="n"/>
      <c r="C187" s="48">
        <f>IF(OR(B187="",B186=""),"",B187/B186-1)</f>
        <v/>
      </c>
      <c r="D187" s="48">
        <f>IF(B187="","",IFERROR(B187/INDEX($B$2:$B$400,MATCH(DATE(YEAR(A187)-1,12,1),$A$2:$A$400,0))-1,""))</f>
        <v/>
      </c>
      <c r="E187" s="48">
        <f>IF(B187="","",IFERROR(B187/INDEX($B$2:$B$400,MATCH(DATE(YEAR(A187)-1,MONTH(A187),1),$A$2:$A$400,0))-1,""))</f>
        <v/>
      </c>
    </row>
    <row r="188">
      <c r="A188" s="50" t="n"/>
      <c r="B188" s="51" t="n"/>
      <c r="C188" s="48">
        <f>IF(OR(B188="",B187=""),"",B188/B187-1)</f>
        <v/>
      </c>
      <c r="D188" s="48">
        <f>IF(B188="","",IFERROR(B188/INDEX($B$2:$B$400,MATCH(DATE(YEAR(A188)-1,12,1),$A$2:$A$400,0))-1,""))</f>
        <v/>
      </c>
      <c r="E188" s="48">
        <f>IF(B188="","",IFERROR(B188/INDEX($B$2:$B$400,MATCH(DATE(YEAR(A188)-1,MONTH(A188),1),$A$2:$A$400,0))-1,""))</f>
        <v/>
      </c>
    </row>
    <row r="189">
      <c r="A189" s="50" t="n"/>
      <c r="B189" s="51" t="n"/>
      <c r="C189" s="48">
        <f>IF(OR(B189="",B188=""),"",B189/B188-1)</f>
        <v/>
      </c>
      <c r="D189" s="48">
        <f>IF(B189="","",IFERROR(B189/INDEX($B$2:$B$400,MATCH(DATE(YEAR(A189)-1,12,1),$A$2:$A$400,0))-1,""))</f>
        <v/>
      </c>
      <c r="E189" s="48">
        <f>IF(B189="","",IFERROR(B189/INDEX($B$2:$B$400,MATCH(DATE(YEAR(A189)-1,MONTH(A189),1),$A$2:$A$400,0))-1,""))</f>
        <v/>
      </c>
    </row>
    <row r="190">
      <c r="A190" s="50" t="n"/>
      <c r="B190" s="51" t="n"/>
      <c r="C190" s="48">
        <f>IF(OR(B190="",B189=""),"",B190/B189-1)</f>
        <v/>
      </c>
      <c r="D190" s="48">
        <f>IF(B190="","",IFERROR(B190/INDEX($B$2:$B$400,MATCH(DATE(YEAR(A190)-1,12,1),$A$2:$A$400,0))-1,""))</f>
        <v/>
      </c>
      <c r="E190" s="48">
        <f>IF(B190="","",IFERROR(B190/INDEX($B$2:$B$400,MATCH(DATE(YEAR(A190)-1,MONTH(A190),1),$A$2:$A$400,0))-1,""))</f>
        <v/>
      </c>
    </row>
    <row r="191">
      <c r="A191" s="50" t="n"/>
      <c r="B191" s="51" t="n"/>
      <c r="C191" s="48">
        <f>IF(OR(B191="",B190=""),"",B191/B190-1)</f>
        <v/>
      </c>
      <c r="D191" s="48">
        <f>IF(B191="","",IFERROR(B191/INDEX($B$2:$B$400,MATCH(DATE(YEAR(A191)-1,12,1),$A$2:$A$400,0))-1,""))</f>
        <v/>
      </c>
      <c r="E191" s="48">
        <f>IF(B191="","",IFERROR(B191/INDEX($B$2:$B$400,MATCH(DATE(YEAR(A191)-1,MONTH(A191),1),$A$2:$A$400,0))-1,""))</f>
        <v/>
      </c>
    </row>
    <row r="192">
      <c r="A192" s="50" t="n"/>
      <c r="B192" s="51" t="n"/>
      <c r="C192" s="48">
        <f>IF(OR(B192="",B191=""),"",B192/B191-1)</f>
        <v/>
      </c>
      <c r="D192" s="48">
        <f>IF(B192="","",IFERROR(B192/INDEX($B$2:$B$400,MATCH(DATE(YEAR(A192)-1,12,1),$A$2:$A$400,0))-1,""))</f>
        <v/>
      </c>
      <c r="E192" s="48">
        <f>IF(B192="","",IFERROR(B192/INDEX($B$2:$B$400,MATCH(DATE(YEAR(A192)-1,MONTH(A192),1),$A$2:$A$400,0))-1,""))</f>
        <v/>
      </c>
    </row>
    <row r="193">
      <c r="A193" s="50" t="n"/>
      <c r="B193" s="51" t="n"/>
      <c r="C193" s="48">
        <f>IF(OR(B193="",B192=""),"",B193/B192-1)</f>
        <v/>
      </c>
      <c r="D193" s="48">
        <f>IF(B193="","",IFERROR(B193/INDEX($B$2:$B$400,MATCH(DATE(YEAR(A193)-1,12,1),$A$2:$A$400,0))-1,""))</f>
        <v/>
      </c>
      <c r="E193" s="48">
        <f>IF(B193="","",IFERROR(B193/INDEX($B$2:$B$400,MATCH(DATE(YEAR(A193)-1,MONTH(A193),1),$A$2:$A$400,0))-1,""))</f>
        <v/>
      </c>
    </row>
    <row r="194">
      <c r="A194" s="50" t="n"/>
      <c r="B194" s="51" t="n"/>
      <c r="C194" s="48">
        <f>IF(OR(B194="",B193=""),"",B194/B193-1)</f>
        <v/>
      </c>
      <c r="D194" s="48">
        <f>IF(B194="","",IFERROR(B194/INDEX($B$2:$B$400,MATCH(DATE(YEAR(A194)-1,12,1),$A$2:$A$400,0))-1,""))</f>
        <v/>
      </c>
      <c r="E194" s="48">
        <f>IF(B194="","",IFERROR(B194/INDEX($B$2:$B$400,MATCH(DATE(YEAR(A194)-1,MONTH(A194),1),$A$2:$A$400,0))-1,""))</f>
        <v/>
      </c>
    </row>
    <row r="195">
      <c r="A195" s="50" t="n"/>
      <c r="B195" s="51" t="n"/>
      <c r="C195" s="48">
        <f>IF(OR(B195="",B194=""),"",B195/B194-1)</f>
        <v/>
      </c>
      <c r="D195" s="48">
        <f>IF(B195="","",IFERROR(B195/INDEX($B$2:$B$400,MATCH(DATE(YEAR(A195)-1,12,1),$A$2:$A$400,0))-1,""))</f>
        <v/>
      </c>
      <c r="E195" s="48">
        <f>IF(B195="","",IFERROR(B195/INDEX($B$2:$B$400,MATCH(DATE(YEAR(A195)-1,MONTH(A195),1),$A$2:$A$400,0))-1,""))</f>
        <v/>
      </c>
    </row>
    <row r="196">
      <c r="A196" s="50" t="n"/>
      <c r="B196" s="51" t="n"/>
      <c r="C196" s="48">
        <f>IF(OR(B196="",B195=""),"",B196/B195-1)</f>
        <v/>
      </c>
      <c r="D196" s="48">
        <f>IF(B196="","",IFERROR(B196/INDEX($B$2:$B$400,MATCH(DATE(YEAR(A196)-1,12,1),$A$2:$A$400,0))-1,""))</f>
        <v/>
      </c>
      <c r="E196" s="48">
        <f>IF(B196="","",IFERROR(B196/INDEX($B$2:$B$400,MATCH(DATE(YEAR(A196)-1,MONTH(A196),1),$A$2:$A$400,0))-1,""))</f>
        <v/>
      </c>
    </row>
    <row r="197">
      <c r="A197" s="50" t="n"/>
      <c r="B197" s="51" t="n"/>
      <c r="C197" s="48">
        <f>IF(OR(B197="",B196=""),"",B197/B196-1)</f>
        <v/>
      </c>
      <c r="D197" s="48">
        <f>IF(B197="","",IFERROR(B197/INDEX($B$2:$B$400,MATCH(DATE(YEAR(A197)-1,12,1),$A$2:$A$400,0))-1,""))</f>
        <v/>
      </c>
      <c r="E197" s="48">
        <f>IF(B197="","",IFERROR(B197/INDEX($B$2:$B$400,MATCH(DATE(YEAR(A197)-1,MONTH(A197),1),$A$2:$A$400,0))-1,""))</f>
        <v/>
      </c>
    </row>
    <row r="198">
      <c r="A198" s="50" t="n"/>
      <c r="B198" s="51" t="n"/>
      <c r="C198" s="48">
        <f>IF(OR(B198="",B197=""),"",B198/B197-1)</f>
        <v/>
      </c>
      <c r="D198" s="48">
        <f>IF(B198="","",IFERROR(B198/INDEX($B$2:$B$400,MATCH(DATE(YEAR(A198)-1,12,1),$A$2:$A$400,0))-1,""))</f>
        <v/>
      </c>
      <c r="E198" s="48">
        <f>IF(B198="","",IFERROR(B198/INDEX($B$2:$B$400,MATCH(DATE(YEAR(A198)-1,MONTH(A198),1),$A$2:$A$400,0))-1,""))</f>
        <v/>
      </c>
    </row>
    <row r="199">
      <c r="A199" s="50" t="n"/>
      <c r="B199" s="51" t="n"/>
      <c r="C199" s="48">
        <f>IF(OR(B199="",B198=""),"",B199/B198-1)</f>
        <v/>
      </c>
      <c r="D199" s="48">
        <f>IF(B199="","",IFERROR(B199/INDEX($B$2:$B$400,MATCH(DATE(YEAR(A199)-1,12,1),$A$2:$A$400,0))-1,""))</f>
        <v/>
      </c>
      <c r="E199" s="48">
        <f>IF(B199="","",IFERROR(B199/INDEX($B$2:$B$400,MATCH(DATE(YEAR(A199)-1,MONTH(A199),1),$A$2:$A$400,0))-1,""))</f>
        <v/>
      </c>
    </row>
    <row r="200">
      <c r="A200" s="50" t="n"/>
      <c r="B200" s="51" t="n"/>
      <c r="C200" s="48">
        <f>IF(OR(B200="",B199=""),"",B200/B199-1)</f>
        <v/>
      </c>
      <c r="D200" s="48">
        <f>IF(B200="","",IFERROR(B200/INDEX($B$2:$B$400,MATCH(DATE(YEAR(A200)-1,12,1),$A$2:$A$400,0))-1,""))</f>
        <v/>
      </c>
      <c r="E200" s="48">
        <f>IF(B200="","",IFERROR(B200/INDEX($B$2:$B$400,MATCH(DATE(YEAR(A200)-1,MONTH(A200),1),$A$2:$A$400,0))-1,""))</f>
        <v/>
      </c>
    </row>
    <row r="201">
      <c r="A201" s="50" t="n"/>
      <c r="B201" s="51" t="n"/>
      <c r="C201" s="48">
        <f>IF(OR(B201="",B200=""),"",B201/B200-1)</f>
        <v/>
      </c>
      <c r="D201" s="48">
        <f>IF(B201="","",IFERROR(B201/INDEX($B$2:$B$400,MATCH(DATE(YEAR(A201)-1,12,1),$A$2:$A$400,0))-1,""))</f>
        <v/>
      </c>
      <c r="E201" s="48">
        <f>IF(B201="","",IFERROR(B201/INDEX($B$2:$B$400,MATCH(DATE(YEAR(A201)-1,MONTH(A201),1),$A$2:$A$400,0))-1,""))</f>
        <v/>
      </c>
    </row>
    <row r="202">
      <c r="A202" s="50" t="n"/>
      <c r="B202" s="51" t="n"/>
      <c r="C202" s="48">
        <f>IF(OR(B202="",B201=""),"",B202/B201-1)</f>
        <v/>
      </c>
      <c r="D202" s="48">
        <f>IF(B202="","",IFERROR(B202/INDEX($B$2:$B$400,MATCH(DATE(YEAR(A202)-1,12,1),$A$2:$A$400,0))-1,""))</f>
        <v/>
      </c>
      <c r="E202" s="48">
        <f>IF(B202="","",IFERROR(B202/INDEX($B$2:$B$400,MATCH(DATE(YEAR(A202)-1,MONTH(A202),1),$A$2:$A$400,0))-1,""))</f>
        <v/>
      </c>
    </row>
    <row r="203">
      <c r="A203" s="50" t="n"/>
      <c r="B203" s="51" t="n"/>
      <c r="C203" s="48">
        <f>IF(OR(B203="",B202=""),"",B203/B202-1)</f>
        <v/>
      </c>
      <c r="D203" s="48">
        <f>IF(B203="","",IFERROR(B203/INDEX($B$2:$B$400,MATCH(DATE(YEAR(A203)-1,12,1),$A$2:$A$400,0))-1,""))</f>
        <v/>
      </c>
      <c r="E203" s="48">
        <f>IF(B203="","",IFERROR(B203/INDEX($B$2:$B$400,MATCH(DATE(YEAR(A203)-1,MONTH(A203),1),$A$2:$A$400,0))-1,""))</f>
        <v/>
      </c>
    </row>
    <row r="204">
      <c r="A204" s="50" t="n"/>
      <c r="B204" s="51" t="n"/>
      <c r="C204" s="48">
        <f>IF(OR(B204="",B203=""),"",B204/B203-1)</f>
        <v/>
      </c>
      <c r="D204" s="48">
        <f>IF(B204="","",IFERROR(B204/INDEX($B$2:$B$400,MATCH(DATE(YEAR(A204)-1,12,1),$A$2:$A$400,0))-1,""))</f>
        <v/>
      </c>
      <c r="E204" s="48">
        <f>IF(B204="","",IFERROR(B204/INDEX($B$2:$B$400,MATCH(DATE(YEAR(A204)-1,MONTH(A204),1),$A$2:$A$400,0))-1,""))</f>
        <v/>
      </c>
    </row>
    <row r="205">
      <c r="A205" s="50" t="n"/>
      <c r="B205" s="51" t="n"/>
      <c r="C205" s="48">
        <f>IF(OR(B205="",B204=""),"",B205/B204-1)</f>
        <v/>
      </c>
      <c r="D205" s="48">
        <f>IF(B205="","",IFERROR(B205/INDEX($B$2:$B$400,MATCH(DATE(YEAR(A205)-1,12,1),$A$2:$A$400,0))-1,""))</f>
        <v/>
      </c>
      <c r="E205" s="48">
        <f>IF(B205="","",IFERROR(B205/INDEX($B$2:$B$400,MATCH(DATE(YEAR(A205)-1,MONTH(A205),1),$A$2:$A$400,0))-1,""))</f>
        <v/>
      </c>
    </row>
    <row r="206">
      <c r="A206" s="50" t="n"/>
      <c r="B206" s="51" t="n"/>
      <c r="C206" s="48">
        <f>IF(OR(B206="",B205=""),"",B206/B205-1)</f>
        <v/>
      </c>
      <c r="D206" s="48">
        <f>IF(B206="","",IFERROR(B206/INDEX($B$2:$B$400,MATCH(DATE(YEAR(A206)-1,12,1),$A$2:$A$400,0))-1,""))</f>
        <v/>
      </c>
      <c r="E206" s="48">
        <f>IF(B206="","",IFERROR(B206/INDEX($B$2:$B$400,MATCH(DATE(YEAR(A206)-1,MONTH(A206),1),$A$2:$A$400,0))-1,""))</f>
        <v/>
      </c>
    </row>
    <row r="207">
      <c r="A207" s="50" t="n"/>
      <c r="B207" s="51" t="n"/>
      <c r="C207" s="48">
        <f>IF(OR(B207="",B206=""),"",B207/B206-1)</f>
        <v/>
      </c>
      <c r="D207" s="48">
        <f>IF(B207="","",IFERROR(B207/INDEX($B$2:$B$400,MATCH(DATE(YEAR(A207)-1,12,1),$A$2:$A$400,0))-1,""))</f>
        <v/>
      </c>
      <c r="E207" s="48">
        <f>IF(B207="","",IFERROR(B207/INDEX($B$2:$B$400,MATCH(DATE(YEAR(A207)-1,MONTH(A207),1),$A$2:$A$400,0))-1,""))</f>
        <v/>
      </c>
    </row>
    <row r="208">
      <c r="A208" s="50" t="n"/>
      <c r="B208" s="51" t="n"/>
      <c r="C208" s="48">
        <f>IF(OR(B208="",B207=""),"",B208/B207-1)</f>
        <v/>
      </c>
      <c r="D208" s="48">
        <f>IF(B208="","",IFERROR(B208/INDEX($B$2:$B$400,MATCH(DATE(YEAR(A208)-1,12,1),$A$2:$A$400,0))-1,""))</f>
        <v/>
      </c>
      <c r="E208" s="48">
        <f>IF(B208="","",IFERROR(B208/INDEX($B$2:$B$400,MATCH(DATE(YEAR(A208)-1,MONTH(A208),1),$A$2:$A$400,0))-1,""))</f>
        <v/>
      </c>
    </row>
    <row r="209">
      <c r="A209" s="50" t="n"/>
      <c r="B209" s="51" t="n"/>
      <c r="C209" s="48">
        <f>IF(OR(B209="",B208=""),"",B209/B208-1)</f>
        <v/>
      </c>
      <c r="D209" s="48">
        <f>IF(B209="","",IFERROR(B209/INDEX($B$2:$B$400,MATCH(DATE(YEAR(A209)-1,12,1),$A$2:$A$400,0))-1,""))</f>
        <v/>
      </c>
      <c r="E209" s="48">
        <f>IF(B209="","",IFERROR(B209/INDEX($B$2:$B$400,MATCH(DATE(YEAR(A209)-1,MONTH(A209),1),$A$2:$A$400,0))-1,""))</f>
        <v/>
      </c>
    </row>
    <row r="210">
      <c r="A210" s="50" t="n"/>
      <c r="B210" s="51" t="n"/>
      <c r="C210" s="48">
        <f>IF(OR(B210="",B209=""),"",B210/B209-1)</f>
        <v/>
      </c>
      <c r="D210" s="48">
        <f>IF(B210="","",IFERROR(B210/INDEX($B$2:$B$400,MATCH(DATE(YEAR(A210)-1,12,1),$A$2:$A$400,0))-1,""))</f>
        <v/>
      </c>
      <c r="E210" s="48">
        <f>IF(B210="","",IFERROR(B210/INDEX($B$2:$B$400,MATCH(DATE(YEAR(A210)-1,MONTH(A210),1),$A$2:$A$400,0))-1,""))</f>
        <v/>
      </c>
    </row>
    <row r="211">
      <c r="A211" s="50" t="n"/>
      <c r="B211" s="51" t="n"/>
      <c r="C211" s="48">
        <f>IF(OR(B211="",B210=""),"",B211/B210-1)</f>
        <v/>
      </c>
      <c r="D211" s="48">
        <f>IF(B211="","",IFERROR(B211/INDEX($B$2:$B$400,MATCH(DATE(YEAR(A211)-1,12,1),$A$2:$A$400,0))-1,""))</f>
        <v/>
      </c>
      <c r="E211" s="48">
        <f>IF(B211="","",IFERROR(B211/INDEX($B$2:$B$400,MATCH(DATE(YEAR(A211)-1,MONTH(A211),1),$A$2:$A$400,0))-1,""))</f>
        <v/>
      </c>
    </row>
    <row r="212">
      <c r="A212" s="50" t="n"/>
      <c r="B212" s="51" t="n"/>
      <c r="C212" s="48">
        <f>IF(OR(B212="",B211=""),"",B212/B211-1)</f>
        <v/>
      </c>
      <c r="D212" s="48">
        <f>IF(B212="","",IFERROR(B212/INDEX($B$2:$B$400,MATCH(DATE(YEAR(A212)-1,12,1),$A$2:$A$400,0))-1,""))</f>
        <v/>
      </c>
      <c r="E212" s="48">
        <f>IF(B212="","",IFERROR(B212/INDEX($B$2:$B$400,MATCH(DATE(YEAR(A212)-1,MONTH(A212),1),$A$2:$A$400,0))-1,""))</f>
        <v/>
      </c>
    </row>
    <row r="213">
      <c r="A213" s="50" t="n"/>
      <c r="B213" s="51" t="n"/>
      <c r="C213" s="48">
        <f>IF(OR(B213="",B212=""),"",B213/B212-1)</f>
        <v/>
      </c>
      <c r="D213" s="48">
        <f>IF(B213="","",IFERROR(B213/INDEX($B$2:$B$400,MATCH(DATE(YEAR(A213)-1,12,1),$A$2:$A$400,0))-1,""))</f>
        <v/>
      </c>
      <c r="E213" s="48">
        <f>IF(B213="","",IFERROR(B213/INDEX($B$2:$B$400,MATCH(DATE(YEAR(A213)-1,MONTH(A213),1),$A$2:$A$400,0))-1,""))</f>
        <v/>
      </c>
    </row>
    <row r="214">
      <c r="A214" s="50" t="n"/>
      <c r="B214" s="51" t="n"/>
      <c r="C214" s="48">
        <f>IF(OR(B214="",B213=""),"",B214/B213-1)</f>
        <v/>
      </c>
      <c r="D214" s="48">
        <f>IF(B214="","",IFERROR(B214/INDEX($B$2:$B$400,MATCH(DATE(YEAR(A214)-1,12,1),$A$2:$A$400,0))-1,""))</f>
        <v/>
      </c>
      <c r="E214" s="48">
        <f>IF(B214="","",IFERROR(B214/INDEX($B$2:$B$400,MATCH(DATE(YEAR(A214)-1,MONTH(A214),1),$A$2:$A$400,0))-1,""))</f>
        <v/>
      </c>
    </row>
    <row r="215">
      <c r="A215" s="50" t="n"/>
      <c r="B215" s="51" t="n"/>
      <c r="C215" s="48">
        <f>IF(OR(B215="",B214=""),"",B215/B214-1)</f>
        <v/>
      </c>
      <c r="D215" s="48">
        <f>IF(B215="","",IFERROR(B215/INDEX($B$2:$B$400,MATCH(DATE(YEAR(A215)-1,12,1),$A$2:$A$400,0))-1,""))</f>
        <v/>
      </c>
      <c r="E215" s="48">
        <f>IF(B215="","",IFERROR(B215/INDEX($B$2:$B$400,MATCH(DATE(YEAR(A215)-1,MONTH(A215),1),$A$2:$A$400,0))-1,""))</f>
        <v/>
      </c>
    </row>
    <row r="216">
      <c r="A216" s="50" t="n"/>
      <c r="B216" s="51" t="n"/>
      <c r="C216" s="48">
        <f>IF(OR(B216="",B215=""),"",B216/B215-1)</f>
        <v/>
      </c>
      <c r="D216" s="48">
        <f>IF(B216="","",IFERROR(B216/INDEX($B$2:$B$400,MATCH(DATE(YEAR(A216)-1,12,1),$A$2:$A$400,0))-1,""))</f>
        <v/>
      </c>
      <c r="E216" s="48">
        <f>IF(B216="","",IFERROR(B216/INDEX($B$2:$B$400,MATCH(DATE(YEAR(A216)-1,MONTH(A216),1),$A$2:$A$400,0))-1,""))</f>
        <v/>
      </c>
    </row>
    <row r="217">
      <c r="A217" s="50" t="n"/>
      <c r="B217" s="51" t="n"/>
      <c r="C217" s="48">
        <f>IF(OR(B217="",B216=""),"",B217/B216-1)</f>
        <v/>
      </c>
      <c r="D217" s="48">
        <f>IF(B217="","",IFERROR(B217/INDEX($B$2:$B$400,MATCH(DATE(YEAR(A217)-1,12,1),$A$2:$A$400,0))-1,""))</f>
        <v/>
      </c>
      <c r="E217" s="48">
        <f>IF(B217="","",IFERROR(B217/INDEX($B$2:$B$400,MATCH(DATE(YEAR(A217)-1,MONTH(A217),1),$A$2:$A$400,0))-1,""))</f>
        <v/>
      </c>
    </row>
    <row r="218">
      <c r="A218" s="50" t="n"/>
      <c r="B218" s="51" t="n"/>
      <c r="C218" s="48">
        <f>IF(OR(B218="",B217=""),"",B218/B217-1)</f>
        <v/>
      </c>
      <c r="D218" s="48">
        <f>IF(B218="","",IFERROR(B218/INDEX($B$2:$B$400,MATCH(DATE(YEAR(A218)-1,12,1),$A$2:$A$400,0))-1,""))</f>
        <v/>
      </c>
      <c r="E218" s="48">
        <f>IF(B218="","",IFERROR(B218/INDEX($B$2:$B$400,MATCH(DATE(YEAR(A218)-1,MONTH(A218),1),$A$2:$A$400,0))-1,""))</f>
        <v/>
      </c>
    </row>
    <row r="219">
      <c r="A219" s="50" t="n"/>
      <c r="B219" s="51" t="n"/>
      <c r="C219" s="48">
        <f>IF(OR(B219="",B218=""),"",B219/B218-1)</f>
        <v/>
      </c>
      <c r="D219" s="48">
        <f>IF(B219="","",IFERROR(B219/INDEX($B$2:$B$400,MATCH(DATE(YEAR(A219)-1,12,1),$A$2:$A$400,0))-1,""))</f>
        <v/>
      </c>
      <c r="E219" s="48">
        <f>IF(B219="","",IFERROR(B219/INDEX($B$2:$B$400,MATCH(DATE(YEAR(A219)-1,MONTH(A219),1),$A$2:$A$400,0))-1,""))</f>
        <v/>
      </c>
    </row>
    <row r="220">
      <c r="A220" s="50" t="n"/>
      <c r="B220" s="51" t="n"/>
      <c r="C220" s="48">
        <f>IF(OR(B220="",B219=""),"",B220/B219-1)</f>
        <v/>
      </c>
      <c r="D220" s="48">
        <f>IF(B220="","",IFERROR(B220/INDEX($B$2:$B$400,MATCH(DATE(YEAR(A220)-1,12,1),$A$2:$A$400,0))-1,""))</f>
        <v/>
      </c>
      <c r="E220" s="48">
        <f>IF(B220="","",IFERROR(B220/INDEX($B$2:$B$400,MATCH(DATE(YEAR(A220)-1,MONTH(A220),1),$A$2:$A$400,0))-1,""))</f>
        <v/>
      </c>
    </row>
    <row r="221">
      <c r="A221" s="50" t="n"/>
      <c r="B221" s="51" t="n"/>
      <c r="C221" s="48">
        <f>IF(OR(B221="",B220=""),"",B221/B220-1)</f>
        <v/>
      </c>
      <c r="D221" s="48">
        <f>IF(B221="","",IFERROR(B221/INDEX($B$2:$B$400,MATCH(DATE(YEAR(A221)-1,12,1),$A$2:$A$400,0))-1,""))</f>
        <v/>
      </c>
      <c r="E221" s="48">
        <f>IF(B221="","",IFERROR(B221/INDEX($B$2:$B$400,MATCH(DATE(YEAR(A221)-1,MONTH(A221),1),$A$2:$A$400,0))-1,""))</f>
        <v/>
      </c>
    </row>
    <row r="222">
      <c r="A222" s="50" t="n"/>
      <c r="B222" s="51" t="n"/>
      <c r="C222" s="48">
        <f>IF(OR(B222="",B221=""),"",B222/B221-1)</f>
        <v/>
      </c>
      <c r="D222" s="48">
        <f>IF(B222="","",IFERROR(B222/INDEX($B$2:$B$400,MATCH(DATE(YEAR(A222)-1,12,1),$A$2:$A$400,0))-1,""))</f>
        <v/>
      </c>
      <c r="E222" s="48">
        <f>IF(B222="","",IFERROR(B222/INDEX($B$2:$B$400,MATCH(DATE(YEAR(A222)-1,MONTH(A222),1),$A$2:$A$400,0))-1,""))</f>
        <v/>
      </c>
    </row>
    <row r="223">
      <c r="A223" s="50" t="n"/>
      <c r="B223" s="51" t="n"/>
      <c r="C223" s="48">
        <f>IF(OR(B223="",B222=""),"",B223/B222-1)</f>
        <v/>
      </c>
      <c r="D223" s="48">
        <f>IF(B223="","",IFERROR(B223/INDEX($B$2:$B$400,MATCH(DATE(YEAR(A223)-1,12,1),$A$2:$A$400,0))-1,""))</f>
        <v/>
      </c>
      <c r="E223" s="48">
        <f>IF(B223="","",IFERROR(B223/INDEX($B$2:$B$400,MATCH(DATE(YEAR(A223)-1,MONTH(A223),1),$A$2:$A$400,0))-1,""))</f>
        <v/>
      </c>
    </row>
    <row r="224">
      <c r="A224" s="50" t="n"/>
      <c r="B224" s="51" t="n"/>
      <c r="C224" s="48">
        <f>IF(OR(B224="",B223=""),"",B224/B223-1)</f>
        <v/>
      </c>
      <c r="D224" s="48">
        <f>IF(B224="","",IFERROR(B224/INDEX($B$2:$B$400,MATCH(DATE(YEAR(A224)-1,12,1),$A$2:$A$400,0))-1,""))</f>
        <v/>
      </c>
      <c r="E224" s="48">
        <f>IF(B224="","",IFERROR(B224/INDEX($B$2:$B$400,MATCH(DATE(YEAR(A224)-1,MONTH(A224),1),$A$2:$A$400,0))-1,""))</f>
        <v/>
      </c>
    </row>
    <row r="225">
      <c r="A225" s="50" t="n"/>
      <c r="B225" s="51" t="n"/>
      <c r="C225" s="48">
        <f>IF(OR(B225="",B224=""),"",B225/B224-1)</f>
        <v/>
      </c>
      <c r="D225" s="48">
        <f>IF(B225="","",IFERROR(B225/INDEX($B$2:$B$400,MATCH(DATE(YEAR(A225)-1,12,1),$A$2:$A$400,0))-1,""))</f>
        <v/>
      </c>
      <c r="E225" s="48">
        <f>IF(B225="","",IFERROR(B225/INDEX($B$2:$B$400,MATCH(DATE(YEAR(A225)-1,MONTH(A225),1),$A$2:$A$400,0))-1,""))</f>
        <v/>
      </c>
    </row>
    <row r="226">
      <c r="A226" s="50" t="n"/>
      <c r="B226" s="51" t="n"/>
      <c r="C226" s="48">
        <f>IF(OR(B226="",B225=""),"",B226/B225-1)</f>
        <v/>
      </c>
      <c r="D226" s="48">
        <f>IF(B226="","",IFERROR(B226/INDEX($B$2:$B$400,MATCH(DATE(YEAR(A226)-1,12,1),$A$2:$A$400,0))-1,""))</f>
        <v/>
      </c>
      <c r="E226" s="48">
        <f>IF(B226="","",IFERROR(B226/INDEX($B$2:$B$400,MATCH(DATE(YEAR(A226)-1,MONTH(A226),1),$A$2:$A$400,0))-1,""))</f>
        <v/>
      </c>
    </row>
    <row r="227">
      <c r="A227" s="50" t="n"/>
      <c r="B227" s="51" t="n"/>
      <c r="C227" s="48">
        <f>IF(OR(B227="",B226=""),"",B227/B226-1)</f>
        <v/>
      </c>
      <c r="D227" s="48">
        <f>IF(B227="","",IFERROR(B227/INDEX($B$2:$B$400,MATCH(DATE(YEAR(A227)-1,12,1),$A$2:$A$400,0))-1,""))</f>
        <v/>
      </c>
      <c r="E227" s="48">
        <f>IF(B227="","",IFERROR(B227/INDEX($B$2:$B$400,MATCH(DATE(YEAR(A227)-1,MONTH(A227),1),$A$2:$A$400,0))-1,""))</f>
        <v/>
      </c>
    </row>
    <row r="228">
      <c r="A228" s="50" t="n"/>
      <c r="B228" s="51" t="n"/>
      <c r="C228" s="48">
        <f>IF(OR(B228="",B227=""),"",B228/B227-1)</f>
        <v/>
      </c>
      <c r="D228" s="48">
        <f>IF(B228="","",IFERROR(B228/INDEX($B$2:$B$400,MATCH(DATE(YEAR(A228)-1,12,1),$A$2:$A$400,0))-1,""))</f>
        <v/>
      </c>
      <c r="E228" s="48">
        <f>IF(B228="","",IFERROR(B228/INDEX($B$2:$B$400,MATCH(DATE(YEAR(A228)-1,MONTH(A228),1),$A$2:$A$400,0))-1,""))</f>
        <v/>
      </c>
    </row>
    <row r="229">
      <c r="A229" s="50" t="n"/>
      <c r="B229" s="51" t="n"/>
      <c r="C229" s="48">
        <f>IF(OR(B229="",B228=""),"",B229/B228-1)</f>
        <v/>
      </c>
      <c r="D229" s="48">
        <f>IF(B229="","",IFERROR(B229/INDEX($B$2:$B$400,MATCH(DATE(YEAR(A229)-1,12,1),$A$2:$A$400,0))-1,""))</f>
        <v/>
      </c>
      <c r="E229" s="48">
        <f>IF(B229="","",IFERROR(B229/INDEX($B$2:$B$400,MATCH(DATE(YEAR(A229)-1,MONTH(A229),1),$A$2:$A$400,0))-1,""))</f>
        <v/>
      </c>
    </row>
    <row r="230">
      <c r="A230" s="50" t="n"/>
      <c r="B230" s="51" t="n"/>
      <c r="C230" s="48">
        <f>IF(OR(B230="",B229=""),"",B230/B229-1)</f>
        <v/>
      </c>
      <c r="D230" s="48">
        <f>IF(B230="","",IFERROR(B230/INDEX($B$2:$B$400,MATCH(DATE(YEAR(A230)-1,12,1),$A$2:$A$400,0))-1,""))</f>
        <v/>
      </c>
      <c r="E230" s="48">
        <f>IF(B230="","",IFERROR(B230/INDEX($B$2:$B$400,MATCH(DATE(YEAR(A230)-1,MONTH(A230),1),$A$2:$A$400,0))-1,""))</f>
        <v/>
      </c>
    </row>
    <row r="231">
      <c r="A231" s="50" t="n"/>
      <c r="B231" s="51" t="n"/>
      <c r="C231" s="48">
        <f>IF(OR(B231="",B230=""),"",B231/B230-1)</f>
        <v/>
      </c>
      <c r="D231" s="48">
        <f>IF(B231="","",IFERROR(B231/INDEX($B$2:$B$400,MATCH(DATE(YEAR(A231)-1,12,1),$A$2:$A$400,0))-1,""))</f>
        <v/>
      </c>
      <c r="E231" s="48">
        <f>IF(B231="","",IFERROR(B231/INDEX($B$2:$B$400,MATCH(DATE(YEAR(A231)-1,MONTH(A231),1),$A$2:$A$400,0))-1,""))</f>
        <v/>
      </c>
    </row>
    <row r="232">
      <c r="A232" s="50" t="n"/>
      <c r="B232" s="51" t="n"/>
      <c r="C232" s="48">
        <f>IF(OR(B232="",B231=""),"",B232/B231-1)</f>
        <v/>
      </c>
      <c r="D232" s="48">
        <f>IF(B232="","",IFERROR(B232/INDEX($B$2:$B$400,MATCH(DATE(YEAR(A232)-1,12,1),$A$2:$A$400,0))-1,""))</f>
        <v/>
      </c>
      <c r="E232" s="48">
        <f>IF(B232="","",IFERROR(B232/INDEX($B$2:$B$400,MATCH(DATE(YEAR(A232)-1,MONTH(A232),1),$A$2:$A$400,0))-1,""))</f>
        <v/>
      </c>
    </row>
    <row r="233">
      <c r="A233" s="50" t="n"/>
      <c r="B233" s="51" t="n"/>
      <c r="C233" s="48">
        <f>IF(OR(B233="",B232=""),"",B233/B232-1)</f>
        <v/>
      </c>
      <c r="D233" s="48">
        <f>IF(B233="","",IFERROR(B233/INDEX($B$2:$B$400,MATCH(DATE(YEAR(A233)-1,12,1),$A$2:$A$400,0))-1,""))</f>
        <v/>
      </c>
      <c r="E233" s="48">
        <f>IF(B233="","",IFERROR(B233/INDEX($B$2:$B$400,MATCH(DATE(YEAR(A233)-1,MONTH(A233),1),$A$2:$A$400,0))-1,""))</f>
        <v/>
      </c>
    </row>
    <row r="234">
      <c r="A234" s="50" t="n"/>
      <c r="B234" s="51" t="n"/>
      <c r="C234" s="48">
        <f>IF(OR(B234="",B233=""),"",B234/B233-1)</f>
        <v/>
      </c>
      <c r="D234" s="48">
        <f>IF(B234="","",IFERROR(B234/INDEX($B$2:$B$400,MATCH(DATE(YEAR(A234)-1,12,1),$A$2:$A$400,0))-1,""))</f>
        <v/>
      </c>
      <c r="E234" s="48">
        <f>IF(B234="","",IFERROR(B234/INDEX($B$2:$B$400,MATCH(DATE(YEAR(A234)-1,MONTH(A234),1),$A$2:$A$400,0))-1,""))</f>
        <v/>
      </c>
    </row>
    <row r="235">
      <c r="A235" s="50" t="n"/>
      <c r="B235" s="51" t="n"/>
      <c r="C235" s="48">
        <f>IF(OR(B235="",B234=""),"",B235/B234-1)</f>
        <v/>
      </c>
      <c r="D235" s="48">
        <f>IF(B235="","",IFERROR(B235/INDEX($B$2:$B$400,MATCH(DATE(YEAR(A235)-1,12,1),$A$2:$A$400,0))-1,""))</f>
        <v/>
      </c>
      <c r="E235" s="48">
        <f>IF(B235="","",IFERROR(B235/INDEX($B$2:$B$400,MATCH(DATE(YEAR(A235)-1,MONTH(A235),1),$A$2:$A$400,0))-1,""))</f>
        <v/>
      </c>
    </row>
    <row r="236">
      <c r="A236" s="50" t="n"/>
      <c r="B236" s="51" t="n"/>
      <c r="C236" s="48">
        <f>IF(OR(B236="",B235=""),"",B236/B235-1)</f>
        <v/>
      </c>
      <c r="D236" s="48">
        <f>IF(B236="","",IFERROR(B236/INDEX($B$2:$B$400,MATCH(DATE(YEAR(A236)-1,12,1),$A$2:$A$400,0))-1,""))</f>
        <v/>
      </c>
      <c r="E236" s="48">
        <f>IF(B236="","",IFERROR(B236/INDEX($B$2:$B$400,MATCH(DATE(YEAR(A236)-1,MONTH(A236),1),$A$2:$A$400,0))-1,""))</f>
        <v/>
      </c>
    </row>
    <row r="237">
      <c r="A237" s="50" t="n"/>
      <c r="B237" s="51" t="n"/>
      <c r="C237" s="48">
        <f>IF(OR(B237="",B236=""),"",B237/B236-1)</f>
        <v/>
      </c>
      <c r="D237" s="48">
        <f>IF(B237="","",IFERROR(B237/INDEX($B$2:$B$400,MATCH(DATE(YEAR(A237)-1,12,1),$A$2:$A$400,0))-1,""))</f>
        <v/>
      </c>
      <c r="E237" s="48">
        <f>IF(B237="","",IFERROR(B237/INDEX($B$2:$B$400,MATCH(DATE(YEAR(A237)-1,MONTH(A237),1),$A$2:$A$400,0))-1,""))</f>
        <v/>
      </c>
    </row>
    <row r="238">
      <c r="A238" s="50" t="n"/>
      <c r="B238" s="51" t="n"/>
      <c r="C238" s="48">
        <f>IF(OR(B238="",B237=""),"",B238/B237-1)</f>
        <v/>
      </c>
      <c r="D238" s="48">
        <f>IF(B238="","",IFERROR(B238/INDEX($B$2:$B$400,MATCH(DATE(YEAR(A238)-1,12,1),$A$2:$A$400,0))-1,""))</f>
        <v/>
      </c>
      <c r="E238" s="48">
        <f>IF(B238="","",IFERROR(B238/INDEX($B$2:$B$400,MATCH(DATE(YEAR(A238)-1,MONTH(A238),1),$A$2:$A$400,0))-1,""))</f>
        <v/>
      </c>
    </row>
    <row r="239">
      <c r="A239" s="50" t="n"/>
      <c r="B239" s="51" t="n"/>
      <c r="C239" s="48">
        <f>IF(OR(B239="",B238=""),"",B239/B238-1)</f>
        <v/>
      </c>
      <c r="D239" s="48">
        <f>IF(B239="","",IFERROR(B239/INDEX($B$2:$B$400,MATCH(DATE(YEAR(A239)-1,12,1),$A$2:$A$400,0))-1,""))</f>
        <v/>
      </c>
      <c r="E239" s="48">
        <f>IF(B239="","",IFERROR(B239/INDEX($B$2:$B$400,MATCH(DATE(YEAR(A239)-1,MONTH(A239),1),$A$2:$A$400,0))-1,""))</f>
        <v/>
      </c>
    </row>
    <row r="240">
      <c r="A240" s="50" t="n"/>
      <c r="B240" s="51" t="n"/>
      <c r="C240" s="48">
        <f>IF(OR(B240="",B239=""),"",B240/B239-1)</f>
        <v/>
      </c>
      <c r="D240" s="48">
        <f>IF(B240="","",IFERROR(B240/INDEX($B$2:$B$400,MATCH(DATE(YEAR(A240)-1,12,1),$A$2:$A$400,0))-1,""))</f>
        <v/>
      </c>
      <c r="E240" s="48">
        <f>IF(B240="","",IFERROR(B240/INDEX($B$2:$B$400,MATCH(DATE(YEAR(A240)-1,MONTH(A240),1),$A$2:$A$400,0))-1,""))</f>
        <v/>
      </c>
    </row>
    <row r="241">
      <c r="A241" s="50" t="n"/>
      <c r="B241" s="51" t="n"/>
      <c r="C241" s="48">
        <f>IF(OR(B241="",B240=""),"",B241/B240-1)</f>
        <v/>
      </c>
      <c r="D241" s="48">
        <f>IF(B241="","",IFERROR(B241/INDEX($B$2:$B$400,MATCH(DATE(YEAR(A241)-1,12,1),$A$2:$A$400,0))-1,""))</f>
        <v/>
      </c>
      <c r="E241" s="48">
        <f>IF(B241="","",IFERROR(B241/INDEX($B$2:$B$400,MATCH(DATE(YEAR(A241)-1,MONTH(A241),1),$A$2:$A$400,0))-1,""))</f>
        <v/>
      </c>
    </row>
    <row r="242">
      <c r="A242" s="50" t="n"/>
      <c r="B242" s="51" t="n"/>
      <c r="C242" s="48">
        <f>IF(OR(B242="",B241=""),"",B242/B241-1)</f>
        <v/>
      </c>
      <c r="D242" s="48">
        <f>IF(B242="","",IFERROR(B242/INDEX($B$2:$B$400,MATCH(DATE(YEAR(A242)-1,12,1),$A$2:$A$400,0))-1,""))</f>
        <v/>
      </c>
      <c r="E242" s="48">
        <f>IF(B242="","",IFERROR(B242/INDEX($B$2:$B$400,MATCH(DATE(YEAR(A242)-1,MONTH(A242),1),$A$2:$A$400,0))-1,""))</f>
        <v/>
      </c>
    </row>
    <row r="243">
      <c r="A243" s="50" t="n"/>
      <c r="B243" s="51" t="n"/>
      <c r="C243" s="48">
        <f>IF(OR(B243="",B242=""),"",B243/B242-1)</f>
        <v/>
      </c>
      <c r="D243" s="48">
        <f>IF(B243="","",IFERROR(B243/INDEX($B$2:$B$400,MATCH(DATE(YEAR(A243)-1,12,1),$A$2:$A$400,0))-1,""))</f>
        <v/>
      </c>
      <c r="E243" s="48">
        <f>IF(B243="","",IFERROR(B243/INDEX($B$2:$B$400,MATCH(DATE(YEAR(A243)-1,MONTH(A243),1),$A$2:$A$400,0))-1,""))</f>
        <v/>
      </c>
    </row>
    <row r="244">
      <c r="A244" s="50" t="n"/>
      <c r="B244" s="51" t="n"/>
      <c r="C244" s="48">
        <f>IF(OR(B244="",B243=""),"",B244/B243-1)</f>
        <v/>
      </c>
      <c r="D244" s="48">
        <f>IF(B244="","",IFERROR(B244/INDEX($B$2:$B$400,MATCH(DATE(YEAR(A244)-1,12,1),$A$2:$A$400,0))-1,""))</f>
        <v/>
      </c>
      <c r="E244" s="48">
        <f>IF(B244="","",IFERROR(B244/INDEX($B$2:$B$400,MATCH(DATE(YEAR(A244)-1,MONTH(A244),1),$A$2:$A$400,0))-1,""))</f>
        <v/>
      </c>
    </row>
    <row r="245">
      <c r="A245" s="50" t="n"/>
      <c r="B245" s="51" t="n"/>
      <c r="C245" s="48">
        <f>IF(OR(B245="",B244=""),"",B245/B244-1)</f>
        <v/>
      </c>
      <c r="D245" s="48">
        <f>IF(B245="","",IFERROR(B245/INDEX($B$2:$B$400,MATCH(DATE(YEAR(A245)-1,12,1),$A$2:$A$400,0))-1,""))</f>
        <v/>
      </c>
      <c r="E245" s="48">
        <f>IF(B245="","",IFERROR(B245/INDEX($B$2:$B$400,MATCH(DATE(YEAR(A245)-1,MONTH(A245),1),$A$2:$A$400,0))-1,""))</f>
        <v/>
      </c>
    </row>
    <row r="246">
      <c r="A246" s="50" t="n"/>
      <c r="B246" s="51" t="n"/>
      <c r="C246" s="48">
        <f>IF(OR(B246="",B245=""),"",B246/B245-1)</f>
        <v/>
      </c>
      <c r="D246" s="48">
        <f>IF(B246="","",IFERROR(B246/INDEX($B$2:$B$400,MATCH(DATE(YEAR(A246)-1,12,1),$A$2:$A$400,0))-1,""))</f>
        <v/>
      </c>
      <c r="E246" s="48">
        <f>IF(B246="","",IFERROR(B246/INDEX($B$2:$B$400,MATCH(DATE(YEAR(A246)-1,MONTH(A246),1),$A$2:$A$400,0))-1,""))</f>
        <v/>
      </c>
    </row>
    <row r="247">
      <c r="A247" s="50" t="n"/>
      <c r="B247" s="51" t="n"/>
      <c r="C247" s="48">
        <f>IF(OR(B247="",B246=""),"",B247/B246-1)</f>
        <v/>
      </c>
      <c r="D247" s="48">
        <f>IF(B247="","",IFERROR(B247/INDEX($B$2:$B$400,MATCH(DATE(YEAR(A247)-1,12,1),$A$2:$A$400,0))-1,""))</f>
        <v/>
      </c>
      <c r="E247" s="48">
        <f>IF(B247="","",IFERROR(B247/INDEX($B$2:$B$400,MATCH(DATE(YEAR(A247)-1,MONTH(A247),1),$A$2:$A$400,0))-1,""))</f>
        <v/>
      </c>
    </row>
    <row r="248">
      <c r="A248" s="50" t="n"/>
      <c r="B248" s="51" t="n"/>
      <c r="C248" s="48">
        <f>IF(OR(B248="",B247=""),"",B248/B247-1)</f>
        <v/>
      </c>
      <c r="D248" s="48">
        <f>IF(B248="","",IFERROR(B248/INDEX($B$2:$B$400,MATCH(DATE(YEAR(A248)-1,12,1),$A$2:$A$400,0))-1,""))</f>
        <v/>
      </c>
      <c r="E248" s="48">
        <f>IF(B248="","",IFERROR(B248/INDEX($B$2:$B$400,MATCH(DATE(YEAR(A248)-1,MONTH(A248),1),$A$2:$A$400,0))-1,""))</f>
        <v/>
      </c>
    </row>
    <row r="249">
      <c r="A249" s="50" t="n"/>
      <c r="B249" s="51" t="n"/>
      <c r="C249" s="48">
        <f>IF(OR(B249="",B248=""),"",B249/B248-1)</f>
        <v/>
      </c>
      <c r="D249" s="48">
        <f>IF(B249="","",IFERROR(B249/INDEX($B$2:$B$400,MATCH(DATE(YEAR(A249)-1,12,1),$A$2:$A$400,0))-1,""))</f>
        <v/>
      </c>
      <c r="E249" s="48">
        <f>IF(B249="","",IFERROR(B249/INDEX($B$2:$B$400,MATCH(DATE(YEAR(A249)-1,MONTH(A249),1),$A$2:$A$400,0))-1,""))</f>
        <v/>
      </c>
    </row>
    <row r="250">
      <c r="A250" s="50" t="n"/>
      <c r="B250" s="51" t="n"/>
      <c r="C250" s="48">
        <f>IF(OR(B250="",B249=""),"",B250/B249-1)</f>
        <v/>
      </c>
      <c r="D250" s="48">
        <f>IF(B250="","",IFERROR(B250/INDEX($B$2:$B$400,MATCH(DATE(YEAR(A250)-1,12,1),$A$2:$A$400,0))-1,""))</f>
        <v/>
      </c>
      <c r="E250" s="48">
        <f>IF(B250="","",IFERROR(B250/INDEX($B$2:$B$400,MATCH(DATE(YEAR(A250)-1,MONTH(A250),1),$A$2:$A$400,0))-1,""))</f>
        <v/>
      </c>
    </row>
    <row r="251">
      <c r="A251" s="50" t="n"/>
      <c r="B251" s="51" t="n"/>
      <c r="C251" s="48">
        <f>IF(OR(B251="",B250=""),"",B251/B250-1)</f>
        <v/>
      </c>
      <c r="D251" s="48">
        <f>IF(B251="","",IFERROR(B251/INDEX($B$2:$B$400,MATCH(DATE(YEAR(A251)-1,12,1),$A$2:$A$400,0))-1,""))</f>
        <v/>
      </c>
      <c r="E251" s="48">
        <f>IF(B251="","",IFERROR(B251/INDEX($B$2:$B$400,MATCH(DATE(YEAR(A251)-1,MONTH(A251),1),$A$2:$A$400,0))-1,""))</f>
        <v/>
      </c>
    </row>
    <row r="252">
      <c r="A252" s="50" t="n"/>
      <c r="B252" s="51" t="n"/>
      <c r="C252" s="48">
        <f>IF(OR(B252="",B251=""),"",B252/B251-1)</f>
        <v/>
      </c>
      <c r="D252" s="48">
        <f>IF(B252="","",IFERROR(B252/INDEX($B$2:$B$400,MATCH(DATE(YEAR(A252)-1,12,1),$A$2:$A$400,0))-1,""))</f>
        <v/>
      </c>
      <c r="E252" s="48">
        <f>IF(B252="","",IFERROR(B252/INDEX($B$2:$B$400,MATCH(DATE(YEAR(A252)-1,MONTH(A252),1),$A$2:$A$400,0))-1,""))</f>
        <v/>
      </c>
    </row>
    <row r="253">
      <c r="A253" s="50" t="n"/>
      <c r="B253" s="51" t="n"/>
      <c r="C253" s="48">
        <f>IF(OR(B253="",B252=""),"",B253/B252-1)</f>
        <v/>
      </c>
      <c r="D253" s="48">
        <f>IF(B253="","",IFERROR(B253/INDEX($B$2:$B$400,MATCH(DATE(YEAR(A253)-1,12,1),$A$2:$A$400,0))-1,""))</f>
        <v/>
      </c>
      <c r="E253" s="48">
        <f>IF(B253="","",IFERROR(B253/INDEX($B$2:$B$400,MATCH(DATE(YEAR(A253)-1,MONTH(A253),1),$A$2:$A$400,0))-1,""))</f>
        <v/>
      </c>
    </row>
    <row r="254">
      <c r="A254" s="50" t="n"/>
      <c r="B254" s="51" t="n"/>
      <c r="C254" s="48">
        <f>IF(OR(B254="",B253=""),"",B254/B253-1)</f>
        <v/>
      </c>
      <c r="D254" s="48">
        <f>IF(B254="","",IFERROR(B254/INDEX($B$2:$B$400,MATCH(DATE(YEAR(A254)-1,12,1),$A$2:$A$400,0))-1,""))</f>
        <v/>
      </c>
      <c r="E254" s="48">
        <f>IF(B254="","",IFERROR(B254/INDEX($B$2:$B$400,MATCH(DATE(YEAR(A254)-1,MONTH(A254),1),$A$2:$A$400,0))-1,""))</f>
        <v/>
      </c>
    </row>
    <row r="255">
      <c r="A255" s="50" t="n"/>
      <c r="B255" s="51" t="n"/>
      <c r="C255" s="48">
        <f>IF(OR(B255="",B254=""),"",B255/B254-1)</f>
        <v/>
      </c>
      <c r="D255" s="48">
        <f>IF(B255="","",IFERROR(B255/INDEX($B$2:$B$400,MATCH(DATE(YEAR(A255)-1,12,1),$A$2:$A$400,0))-1,""))</f>
        <v/>
      </c>
      <c r="E255" s="48">
        <f>IF(B255="","",IFERROR(B255/INDEX($B$2:$B$400,MATCH(DATE(YEAR(A255)-1,MONTH(A255),1),$A$2:$A$400,0))-1,""))</f>
        <v/>
      </c>
    </row>
    <row r="256">
      <c r="A256" s="50" t="n"/>
      <c r="B256" s="51" t="n"/>
      <c r="C256" s="48">
        <f>IF(OR(B256="",B255=""),"",B256/B255-1)</f>
        <v/>
      </c>
      <c r="D256" s="48">
        <f>IF(B256="","",IFERROR(B256/INDEX($B$2:$B$400,MATCH(DATE(YEAR(A256)-1,12,1),$A$2:$A$400,0))-1,""))</f>
        <v/>
      </c>
      <c r="E256" s="48">
        <f>IF(B256="","",IFERROR(B256/INDEX($B$2:$B$400,MATCH(DATE(YEAR(A256)-1,MONTH(A256),1),$A$2:$A$400,0))-1,""))</f>
        <v/>
      </c>
    </row>
    <row r="257">
      <c r="A257" s="50" t="n"/>
      <c r="B257" s="51" t="n"/>
      <c r="C257" s="48">
        <f>IF(OR(B257="",B256=""),"",B257/B256-1)</f>
        <v/>
      </c>
      <c r="D257" s="48">
        <f>IF(B257="","",IFERROR(B257/INDEX($B$2:$B$400,MATCH(DATE(YEAR(A257)-1,12,1),$A$2:$A$400,0))-1,""))</f>
        <v/>
      </c>
      <c r="E257" s="48">
        <f>IF(B257="","",IFERROR(B257/INDEX($B$2:$B$400,MATCH(DATE(YEAR(A257)-1,MONTH(A257),1),$A$2:$A$400,0))-1,""))</f>
        <v/>
      </c>
    </row>
    <row r="258">
      <c r="A258" s="50" t="n"/>
      <c r="B258" s="51" t="n"/>
      <c r="C258" s="48">
        <f>IF(OR(B258="",B257=""),"",B258/B257-1)</f>
        <v/>
      </c>
      <c r="D258" s="48">
        <f>IF(B258="","",IFERROR(B258/INDEX($B$2:$B$400,MATCH(DATE(YEAR(A258)-1,12,1),$A$2:$A$400,0))-1,""))</f>
        <v/>
      </c>
      <c r="E258" s="48">
        <f>IF(B258="","",IFERROR(B258/INDEX($B$2:$B$400,MATCH(DATE(YEAR(A258)-1,MONTH(A258),1),$A$2:$A$400,0))-1,""))</f>
        <v/>
      </c>
    </row>
    <row r="259">
      <c r="A259" s="50" t="n"/>
      <c r="B259" s="51" t="n"/>
      <c r="C259" s="48">
        <f>IF(OR(B259="",B258=""),"",B259/B258-1)</f>
        <v/>
      </c>
      <c r="D259" s="48">
        <f>IF(B259="","",IFERROR(B259/INDEX($B$2:$B$400,MATCH(DATE(YEAR(A259)-1,12,1),$A$2:$A$400,0))-1,""))</f>
        <v/>
      </c>
      <c r="E259" s="48">
        <f>IF(B259="","",IFERROR(B259/INDEX($B$2:$B$400,MATCH(DATE(YEAR(A259)-1,MONTH(A259),1),$A$2:$A$400,0))-1,""))</f>
        <v/>
      </c>
    </row>
    <row r="260">
      <c r="A260" s="50" t="n"/>
      <c r="B260" s="51" t="n"/>
      <c r="C260" s="48">
        <f>IF(OR(B260="",B259=""),"",B260/B259-1)</f>
        <v/>
      </c>
      <c r="D260" s="48">
        <f>IF(B260="","",IFERROR(B260/INDEX($B$2:$B$400,MATCH(DATE(YEAR(A260)-1,12,1),$A$2:$A$400,0))-1,""))</f>
        <v/>
      </c>
      <c r="E260" s="48">
        <f>IF(B260="","",IFERROR(B260/INDEX($B$2:$B$400,MATCH(DATE(YEAR(A260)-1,MONTH(A260),1),$A$2:$A$400,0))-1,""))</f>
        <v/>
      </c>
    </row>
    <row r="261">
      <c r="A261" s="50" t="n"/>
      <c r="B261" s="51" t="n"/>
      <c r="C261" s="48">
        <f>IF(OR(B261="",B260=""),"",B261/B260-1)</f>
        <v/>
      </c>
      <c r="D261" s="48">
        <f>IF(B261="","",IFERROR(B261/INDEX($B$2:$B$400,MATCH(DATE(YEAR(A261)-1,12,1),$A$2:$A$400,0))-1,""))</f>
        <v/>
      </c>
      <c r="E261" s="48">
        <f>IF(B261="","",IFERROR(B261/INDEX($B$2:$B$400,MATCH(DATE(YEAR(A261)-1,MONTH(A261),1),$A$2:$A$400,0))-1,""))</f>
        <v/>
      </c>
    </row>
    <row r="262">
      <c r="A262" s="50" t="n"/>
      <c r="B262" s="51" t="n"/>
      <c r="C262" s="48">
        <f>IF(OR(B262="",B261=""),"",B262/B261-1)</f>
        <v/>
      </c>
      <c r="D262" s="48">
        <f>IF(B262="","",IFERROR(B262/INDEX($B$2:$B$400,MATCH(DATE(YEAR(A262)-1,12,1),$A$2:$A$400,0))-1,""))</f>
        <v/>
      </c>
      <c r="E262" s="48">
        <f>IF(B262="","",IFERROR(B262/INDEX($B$2:$B$400,MATCH(DATE(YEAR(A262)-1,MONTH(A262),1),$A$2:$A$400,0))-1,""))</f>
        <v/>
      </c>
    </row>
    <row r="263">
      <c r="A263" s="50" t="n"/>
      <c r="B263" s="51" t="n"/>
      <c r="C263" s="48">
        <f>IF(OR(B263="",B262=""),"",B263/B262-1)</f>
        <v/>
      </c>
      <c r="D263" s="48">
        <f>IF(B263="","",IFERROR(B263/INDEX($B$2:$B$400,MATCH(DATE(YEAR(A263)-1,12,1),$A$2:$A$400,0))-1,""))</f>
        <v/>
      </c>
      <c r="E263" s="48">
        <f>IF(B263="","",IFERROR(B263/INDEX($B$2:$B$400,MATCH(DATE(YEAR(A263)-1,MONTH(A263),1),$A$2:$A$400,0))-1,""))</f>
        <v/>
      </c>
    </row>
    <row r="264">
      <c r="A264" s="50" t="n"/>
      <c r="B264" s="51" t="n"/>
      <c r="C264" s="48">
        <f>IF(OR(B264="",B263=""),"",B264/B263-1)</f>
        <v/>
      </c>
      <c r="D264" s="48">
        <f>IF(B264="","",IFERROR(B264/INDEX($B$2:$B$400,MATCH(DATE(YEAR(A264)-1,12,1),$A$2:$A$400,0))-1,""))</f>
        <v/>
      </c>
      <c r="E264" s="48">
        <f>IF(B264="","",IFERROR(B264/INDEX($B$2:$B$400,MATCH(DATE(YEAR(A264)-1,MONTH(A264),1),$A$2:$A$400,0))-1,""))</f>
        <v/>
      </c>
    </row>
    <row r="265">
      <c r="A265" s="50" t="n"/>
      <c r="B265" s="51" t="n"/>
      <c r="C265" s="48">
        <f>IF(OR(B265="",B264=""),"",B265/B264-1)</f>
        <v/>
      </c>
      <c r="D265" s="48">
        <f>IF(B265="","",IFERROR(B265/INDEX($B$2:$B$400,MATCH(DATE(YEAR(A265)-1,12,1),$A$2:$A$400,0))-1,""))</f>
        <v/>
      </c>
      <c r="E265" s="48">
        <f>IF(B265="","",IFERROR(B265/INDEX($B$2:$B$400,MATCH(DATE(YEAR(A265)-1,MONTH(A265),1),$A$2:$A$400,0))-1,""))</f>
        <v/>
      </c>
    </row>
    <row r="266">
      <c r="A266" s="50" t="n"/>
      <c r="B266" s="51" t="n"/>
      <c r="C266" s="48">
        <f>IF(OR(B266="",B265=""),"",B266/B265-1)</f>
        <v/>
      </c>
      <c r="D266" s="48">
        <f>IF(B266="","",IFERROR(B266/INDEX($B$2:$B$400,MATCH(DATE(YEAR(A266)-1,12,1),$A$2:$A$400,0))-1,""))</f>
        <v/>
      </c>
      <c r="E266" s="48">
        <f>IF(B266="","",IFERROR(B266/INDEX($B$2:$B$400,MATCH(DATE(YEAR(A266)-1,MONTH(A266),1),$A$2:$A$400,0))-1,""))</f>
        <v/>
      </c>
    </row>
    <row r="267">
      <c r="A267" s="50" t="n"/>
      <c r="B267" s="51" t="n"/>
      <c r="C267" s="48">
        <f>IF(OR(B267="",B266=""),"",B267/B266-1)</f>
        <v/>
      </c>
      <c r="D267" s="48">
        <f>IF(B267="","",IFERROR(B267/INDEX($B$2:$B$400,MATCH(DATE(YEAR(A267)-1,12,1),$A$2:$A$400,0))-1,""))</f>
        <v/>
      </c>
      <c r="E267" s="48">
        <f>IF(B267="","",IFERROR(B267/INDEX($B$2:$B$400,MATCH(DATE(YEAR(A267)-1,MONTH(A267),1),$A$2:$A$400,0))-1,""))</f>
        <v/>
      </c>
    </row>
    <row r="268">
      <c r="A268" s="50" t="n"/>
      <c r="B268" s="51" t="n"/>
      <c r="C268" s="48">
        <f>IF(OR(B268="",B267=""),"",B268/B267-1)</f>
        <v/>
      </c>
      <c r="D268" s="48">
        <f>IF(B268="","",IFERROR(B268/INDEX($B$2:$B$400,MATCH(DATE(YEAR(A268)-1,12,1),$A$2:$A$400,0))-1,""))</f>
        <v/>
      </c>
      <c r="E268" s="48">
        <f>IF(B268="","",IFERROR(B268/INDEX($B$2:$B$400,MATCH(DATE(YEAR(A268)-1,MONTH(A268),1),$A$2:$A$400,0))-1,""))</f>
        <v/>
      </c>
    </row>
    <row r="269">
      <c r="A269" s="50" t="n"/>
      <c r="B269" s="51" t="n"/>
      <c r="C269" s="48">
        <f>IF(OR(B269="",B268=""),"",B269/B268-1)</f>
        <v/>
      </c>
      <c r="D269" s="48">
        <f>IF(B269="","",IFERROR(B269/INDEX($B$2:$B$400,MATCH(DATE(YEAR(A269)-1,12,1),$A$2:$A$400,0))-1,""))</f>
        <v/>
      </c>
      <c r="E269" s="48">
        <f>IF(B269="","",IFERROR(B269/INDEX($B$2:$B$400,MATCH(DATE(YEAR(A269)-1,MONTH(A269),1),$A$2:$A$400,0))-1,""))</f>
        <v/>
      </c>
    </row>
    <row r="270">
      <c r="A270" s="50" t="n"/>
      <c r="B270" s="51" t="n"/>
      <c r="C270" s="48">
        <f>IF(OR(B270="",B269=""),"",B270/B269-1)</f>
        <v/>
      </c>
      <c r="D270" s="48">
        <f>IF(B270="","",IFERROR(B270/INDEX($B$2:$B$400,MATCH(DATE(YEAR(A270)-1,12,1),$A$2:$A$400,0))-1,""))</f>
        <v/>
      </c>
      <c r="E270" s="48">
        <f>IF(B270="","",IFERROR(B270/INDEX($B$2:$B$400,MATCH(DATE(YEAR(A270)-1,MONTH(A270),1),$A$2:$A$400,0))-1,""))</f>
        <v/>
      </c>
    </row>
    <row r="271">
      <c r="A271" s="50" t="n"/>
      <c r="B271" s="51" t="n"/>
      <c r="C271" s="48">
        <f>IF(OR(B271="",B270=""),"",B271/B270-1)</f>
        <v/>
      </c>
      <c r="D271" s="48">
        <f>IF(B271="","",IFERROR(B271/INDEX($B$2:$B$400,MATCH(DATE(YEAR(A271)-1,12,1),$A$2:$A$400,0))-1,""))</f>
        <v/>
      </c>
      <c r="E271" s="48">
        <f>IF(B271="","",IFERROR(B271/INDEX($B$2:$B$400,MATCH(DATE(YEAR(A271)-1,MONTH(A271),1),$A$2:$A$400,0))-1,""))</f>
        <v/>
      </c>
    </row>
    <row r="272">
      <c r="A272" s="50" t="n"/>
      <c r="B272" s="51" t="n"/>
      <c r="C272" s="48">
        <f>IF(OR(B272="",B271=""),"",B272/B271-1)</f>
        <v/>
      </c>
      <c r="D272" s="48">
        <f>IF(B272="","",IFERROR(B272/INDEX($B$2:$B$400,MATCH(DATE(YEAR(A272)-1,12,1),$A$2:$A$400,0))-1,""))</f>
        <v/>
      </c>
      <c r="E272" s="48">
        <f>IF(B272="","",IFERROR(B272/INDEX($B$2:$B$400,MATCH(DATE(YEAR(A272)-1,MONTH(A272),1),$A$2:$A$400,0))-1,""))</f>
        <v/>
      </c>
    </row>
    <row r="273">
      <c r="A273" s="50" t="n"/>
      <c r="B273" s="51" t="n"/>
      <c r="C273" s="48">
        <f>IF(OR(B273="",B272=""),"",B273/B272-1)</f>
        <v/>
      </c>
      <c r="D273" s="48">
        <f>IF(B273="","",IFERROR(B273/INDEX($B$2:$B$400,MATCH(DATE(YEAR(A273)-1,12,1),$A$2:$A$400,0))-1,""))</f>
        <v/>
      </c>
      <c r="E273" s="48">
        <f>IF(B273="","",IFERROR(B273/INDEX($B$2:$B$400,MATCH(DATE(YEAR(A273)-1,MONTH(A273),1),$A$2:$A$400,0))-1,""))</f>
        <v/>
      </c>
    </row>
    <row r="274">
      <c r="A274" s="50" t="n"/>
      <c r="B274" s="51" t="n"/>
      <c r="C274" s="48">
        <f>IF(OR(B274="",B273=""),"",B274/B273-1)</f>
        <v/>
      </c>
      <c r="D274" s="48">
        <f>IF(B274="","",IFERROR(B274/INDEX($B$2:$B$400,MATCH(DATE(YEAR(A274)-1,12,1),$A$2:$A$400,0))-1,""))</f>
        <v/>
      </c>
      <c r="E274" s="48">
        <f>IF(B274="","",IFERROR(B274/INDEX($B$2:$B$400,MATCH(DATE(YEAR(A274)-1,MONTH(A274),1),$A$2:$A$400,0))-1,""))</f>
        <v/>
      </c>
    </row>
    <row r="275">
      <c r="A275" s="50" t="n"/>
      <c r="B275" s="51" t="n"/>
      <c r="C275" s="48">
        <f>IF(OR(B275="",B274=""),"",B275/B274-1)</f>
        <v/>
      </c>
      <c r="D275" s="48">
        <f>IF(B275="","",IFERROR(B275/INDEX($B$2:$B$400,MATCH(DATE(YEAR(A275)-1,12,1),$A$2:$A$400,0))-1,""))</f>
        <v/>
      </c>
      <c r="E275" s="48">
        <f>IF(B275="","",IFERROR(B275/INDEX($B$2:$B$400,MATCH(DATE(YEAR(A275)-1,MONTH(A275),1),$A$2:$A$400,0))-1,""))</f>
        <v/>
      </c>
    </row>
    <row r="276">
      <c r="A276" s="50" t="n"/>
      <c r="B276" s="51" t="n"/>
      <c r="C276" s="48">
        <f>IF(OR(B276="",B275=""),"",B276/B275-1)</f>
        <v/>
      </c>
      <c r="D276" s="48">
        <f>IF(B276="","",IFERROR(B276/INDEX($B$2:$B$400,MATCH(DATE(YEAR(A276)-1,12,1),$A$2:$A$400,0))-1,""))</f>
        <v/>
      </c>
      <c r="E276" s="48">
        <f>IF(B276="","",IFERROR(B276/INDEX($B$2:$B$400,MATCH(DATE(YEAR(A276)-1,MONTH(A276),1),$A$2:$A$400,0))-1,""))</f>
        <v/>
      </c>
    </row>
    <row r="277">
      <c r="A277" s="50" t="n"/>
      <c r="B277" s="51" t="n"/>
      <c r="C277" s="48">
        <f>IF(OR(B277="",B276=""),"",B277/B276-1)</f>
        <v/>
      </c>
      <c r="D277" s="48">
        <f>IF(B277="","",IFERROR(B277/INDEX($B$2:$B$400,MATCH(DATE(YEAR(A277)-1,12,1),$A$2:$A$400,0))-1,""))</f>
        <v/>
      </c>
      <c r="E277" s="48">
        <f>IF(B277="","",IFERROR(B277/INDEX($B$2:$B$400,MATCH(DATE(YEAR(A277)-1,MONTH(A277),1),$A$2:$A$400,0))-1,""))</f>
        <v/>
      </c>
    </row>
    <row r="278">
      <c r="A278" s="50" t="n"/>
      <c r="B278" s="51" t="n"/>
      <c r="C278" s="48">
        <f>IF(OR(B278="",B277=""),"",B278/B277-1)</f>
        <v/>
      </c>
      <c r="D278" s="48">
        <f>IF(B278="","",IFERROR(B278/INDEX($B$2:$B$400,MATCH(DATE(YEAR(A278)-1,12,1),$A$2:$A$400,0))-1,""))</f>
        <v/>
      </c>
      <c r="E278" s="48">
        <f>IF(B278="","",IFERROR(B278/INDEX($B$2:$B$400,MATCH(DATE(YEAR(A278)-1,MONTH(A278),1),$A$2:$A$400,0))-1,""))</f>
        <v/>
      </c>
    </row>
    <row r="279">
      <c r="A279" s="50" t="n"/>
      <c r="B279" s="51" t="n"/>
      <c r="C279" s="48">
        <f>IF(OR(B279="",B278=""),"",B279/B278-1)</f>
        <v/>
      </c>
      <c r="D279" s="48">
        <f>IF(B279="","",IFERROR(B279/INDEX($B$2:$B$400,MATCH(DATE(YEAR(A279)-1,12,1),$A$2:$A$400,0))-1,""))</f>
        <v/>
      </c>
      <c r="E279" s="48">
        <f>IF(B279="","",IFERROR(B279/INDEX($B$2:$B$400,MATCH(DATE(YEAR(A279)-1,MONTH(A279),1),$A$2:$A$400,0))-1,""))</f>
        <v/>
      </c>
    </row>
    <row r="280">
      <c r="A280" s="50" t="n"/>
      <c r="B280" s="51" t="n"/>
      <c r="C280" s="48">
        <f>IF(OR(B280="",B279=""),"",B280/B279-1)</f>
        <v/>
      </c>
      <c r="D280" s="48">
        <f>IF(B280="","",IFERROR(B280/INDEX($B$2:$B$400,MATCH(DATE(YEAR(A280)-1,12,1),$A$2:$A$400,0))-1,""))</f>
        <v/>
      </c>
      <c r="E280" s="48">
        <f>IF(B280="","",IFERROR(B280/INDEX($B$2:$B$400,MATCH(DATE(YEAR(A280)-1,MONTH(A280),1),$A$2:$A$400,0))-1,""))</f>
        <v/>
      </c>
    </row>
    <row r="281">
      <c r="A281" s="50" t="n"/>
      <c r="B281" s="51" t="n"/>
      <c r="C281" s="48">
        <f>IF(OR(B281="",B280=""),"",B281/B280-1)</f>
        <v/>
      </c>
      <c r="D281" s="48">
        <f>IF(B281="","",IFERROR(B281/INDEX($B$2:$B$400,MATCH(DATE(YEAR(A281)-1,12,1),$A$2:$A$400,0))-1,""))</f>
        <v/>
      </c>
      <c r="E281" s="48">
        <f>IF(B281="","",IFERROR(B281/INDEX($B$2:$B$400,MATCH(DATE(YEAR(A281)-1,MONTH(A281),1),$A$2:$A$400,0))-1,""))</f>
        <v/>
      </c>
    </row>
    <row r="282">
      <c r="A282" s="50" t="n"/>
      <c r="B282" s="51" t="n"/>
      <c r="C282" s="48">
        <f>IF(OR(B282="",B281=""),"",B282/B281-1)</f>
        <v/>
      </c>
      <c r="D282" s="48">
        <f>IF(B282="","",IFERROR(B282/INDEX($B$2:$B$400,MATCH(DATE(YEAR(A282)-1,12,1),$A$2:$A$400,0))-1,""))</f>
        <v/>
      </c>
      <c r="E282" s="48">
        <f>IF(B282="","",IFERROR(B282/INDEX($B$2:$B$400,MATCH(DATE(YEAR(A282)-1,MONTH(A282),1),$A$2:$A$400,0))-1,""))</f>
        <v/>
      </c>
    </row>
    <row r="283">
      <c r="A283" s="50" t="n"/>
      <c r="B283" s="51" t="n"/>
      <c r="C283" s="48">
        <f>IF(OR(B283="",B282=""),"",B283/B282-1)</f>
        <v/>
      </c>
      <c r="D283" s="48">
        <f>IF(B283="","",IFERROR(B283/INDEX($B$2:$B$400,MATCH(DATE(YEAR(A283)-1,12,1),$A$2:$A$400,0))-1,""))</f>
        <v/>
      </c>
      <c r="E283" s="48">
        <f>IF(B283="","",IFERROR(B283/INDEX($B$2:$B$400,MATCH(DATE(YEAR(A283)-1,MONTH(A283),1),$A$2:$A$400,0))-1,""))</f>
        <v/>
      </c>
    </row>
    <row r="284">
      <c r="A284" s="50" t="n"/>
      <c r="B284" s="51" t="n"/>
      <c r="C284" s="48">
        <f>IF(OR(B284="",B283=""),"",B284/B283-1)</f>
        <v/>
      </c>
      <c r="D284" s="48">
        <f>IF(B284="","",IFERROR(B284/INDEX($B$2:$B$400,MATCH(DATE(YEAR(A284)-1,12,1),$A$2:$A$400,0))-1,""))</f>
        <v/>
      </c>
      <c r="E284" s="48">
        <f>IF(B284="","",IFERROR(B284/INDEX($B$2:$B$400,MATCH(DATE(YEAR(A284)-1,MONTH(A284),1),$A$2:$A$400,0))-1,""))</f>
        <v/>
      </c>
    </row>
    <row r="285">
      <c r="A285" s="50" t="n"/>
      <c r="B285" s="51" t="n"/>
      <c r="C285" s="48">
        <f>IF(OR(B285="",B284=""),"",B285/B284-1)</f>
        <v/>
      </c>
      <c r="D285" s="48">
        <f>IF(B285="","",IFERROR(B285/INDEX($B$2:$B$400,MATCH(DATE(YEAR(A285)-1,12,1),$A$2:$A$400,0))-1,""))</f>
        <v/>
      </c>
      <c r="E285" s="48">
        <f>IF(B285="","",IFERROR(B285/INDEX($B$2:$B$400,MATCH(DATE(YEAR(A285)-1,MONTH(A285),1),$A$2:$A$400,0))-1,""))</f>
        <v/>
      </c>
    </row>
    <row r="286">
      <c r="A286" s="50" t="n"/>
      <c r="B286" s="51" t="n"/>
      <c r="C286" s="48">
        <f>IF(OR(B286="",B285=""),"",B286/B285-1)</f>
        <v/>
      </c>
      <c r="D286" s="48">
        <f>IF(B286="","",IFERROR(B286/INDEX($B$2:$B$400,MATCH(DATE(YEAR(A286)-1,12,1),$A$2:$A$400,0))-1,""))</f>
        <v/>
      </c>
      <c r="E286" s="48">
        <f>IF(B286="","",IFERROR(B286/INDEX($B$2:$B$400,MATCH(DATE(YEAR(A286)-1,MONTH(A286),1),$A$2:$A$400,0))-1,""))</f>
        <v/>
      </c>
    </row>
    <row r="287">
      <c r="A287" s="50" t="n"/>
      <c r="B287" s="51" t="n"/>
      <c r="C287" s="48">
        <f>IF(OR(B287="",B286=""),"",B287/B286-1)</f>
        <v/>
      </c>
      <c r="D287" s="48">
        <f>IF(B287="","",IFERROR(B287/INDEX($B$2:$B$400,MATCH(DATE(YEAR(A287)-1,12,1),$A$2:$A$400,0))-1,""))</f>
        <v/>
      </c>
      <c r="E287" s="48">
        <f>IF(B287="","",IFERROR(B287/INDEX($B$2:$B$400,MATCH(DATE(YEAR(A287)-1,MONTH(A287),1),$A$2:$A$400,0))-1,""))</f>
        <v/>
      </c>
    </row>
    <row r="288">
      <c r="A288" s="50" t="n"/>
      <c r="B288" s="51" t="n"/>
      <c r="C288" s="48">
        <f>IF(OR(B288="",B287=""),"",B288/B287-1)</f>
        <v/>
      </c>
      <c r="D288" s="48">
        <f>IF(B288="","",IFERROR(B288/INDEX($B$2:$B$400,MATCH(DATE(YEAR(A288)-1,12,1),$A$2:$A$400,0))-1,""))</f>
        <v/>
      </c>
      <c r="E288" s="48">
        <f>IF(B288="","",IFERROR(B288/INDEX($B$2:$B$400,MATCH(DATE(YEAR(A288)-1,MONTH(A288),1),$A$2:$A$400,0))-1,""))</f>
        <v/>
      </c>
    </row>
    <row r="289">
      <c r="A289" s="50" t="n"/>
      <c r="B289" s="51" t="n"/>
      <c r="C289" s="48">
        <f>IF(OR(B289="",B288=""),"",B289/B288-1)</f>
        <v/>
      </c>
      <c r="D289" s="48">
        <f>IF(B289="","",IFERROR(B289/INDEX($B$2:$B$400,MATCH(DATE(YEAR(A289)-1,12,1),$A$2:$A$400,0))-1,""))</f>
        <v/>
      </c>
      <c r="E289" s="48">
        <f>IF(B289="","",IFERROR(B289/INDEX($B$2:$B$400,MATCH(DATE(YEAR(A289)-1,MONTH(A289),1),$A$2:$A$400,0))-1,""))</f>
        <v/>
      </c>
    </row>
    <row r="290">
      <c r="A290" s="50" t="n"/>
      <c r="B290" s="51" t="n"/>
      <c r="C290" s="48">
        <f>IF(OR(B290="",B289=""),"",B290/B289-1)</f>
        <v/>
      </c>
      <c r="D290" s="48">
        <f>IF(B290="","",IFERROR(B290/INDEX($B$2:$B$400,MATCH(DATE(YEAR(A290)-1,12,1),$A$2:$A$400,0))-1,""))</f>
        <v/>
      </c>
      <c r="E290" s="48">
        <f>IF(B290="","",IFERROR(B290/INDEX($B$2:$B$400,MATCH(DATE(YEAR(A290)-1,MONTH(A290),1),$A$2:$A$400,0))-1,""))</f>
        <v/>
      </c>
    </row>
    <row r="291">
      <c r="A291" s="50" t="n"/>
      <c r="B291" s="51" t="n"/>
      <c r="C291" s="48">
        <f>IF(OR(B291="",B290=""),"",B291/B290-1)</f>
        <v/>
      </c>
      <c r="D291" s="48">
        <f>IF(B291="","",IFERROR(B291/INDEX($B$2:$B$400,MATCH(DATE(YEAR(A291)-1,12,1),$A$2:$A$400,0))-1,""))</f>
        <v/>
      </c>
      <c r="E291" s="48">
        <f>IF(B291="","",IFERROR(B291/INDEX($B$2:$B$400,MATCH(DATE(YEAR(A291)-1,MONTH(A291),1),$A$2:$A$400,0))-1,""))</f>
        <v/>
      </c>
    </row>
    <row r="292">
      <c r="A292" s="50" t="n"/>
      <c r="B292" s="51" t="n"/>
      <c r="C292" s="48">
        <f>IF(OR(B292="",B291=""),"",B292/B291-1)</f>
        <v/>
      </c>
      <c r="D292" s="48">
        <f>IF(B292="","",IFERROR(B292/INDEX($B$2:$B$400,MATCH(DATE(YEAR(A292)-1,12,1),$A$2:$A$400,0))-1,""))</f>
        <v/>
      </c>
      <c r="E292" s="48">
        <f>IF(B292="","",IFERROR(B292/INDEX($B$2:$B$400,MATCH(DATE(YEAR(A292)-1,MONTH(A292),1),$A$2:$A$400,0))-1,""))</f>
        <v/>
      </c>
    </row>
    <row r="293">
      <c r="A293" s="50" t="n"/>
      <c r="B293" s="51" t="n"/>
      <c r="C293" s="48">
        <f>IF(OR(B293="",B292=""),"",B293/B292-1)</f>
        <v/>
      </c>
      <c r="D293" s="48">
        <f>IF(B293="","",IFERROR(B293/INDEX($B$2:$B$400,MATCH(DATE(YEAR(A293)-1,12,1),$A$2:$A$400,0))-1,""))</f>
        <v/>
      </c>
      <c r="E293" s="48">
        <f>IF(B293="","",IFERROR(B293/INDEX($B$2:$B$400,MATCH(DATE(YEAR(A293)-1,MONTH(A293),1),$A$2:$A$400,0))-1,""))</f>
        <v/>
      </c>
    </row>
    <row r="294">
      <c r="A294" s="50" t="n"/>
      <c r="B294" s="51" t="n"/>
      <c r="C294" s="48">
        <f>IF(OR(B294="",B293=""),"",B294/B293-1)</f>
        <v/>
      </c>
      <c r="D294" s="48">
        <f>IF(B294="","",IFERROR(B294/INDEX($B$2:$B$400,MATCH(DATE(YEAR(A294)-1,12,1),$A$2:$A$400,0))-1,""))</f>
        <v/>
      </c>
      <c r="E294" s="48">
        <f>IF(B294="","",IFERROR(B294/INDEX($B$2:$B$400,MATCH(DATE(YEAR(A294)-1,MONTH(A294),1),$A$2:$A$400,0))-1,""))</f>
        <v/>
      </c>
    </row>
    <row r="295">
      <c r="A295" s="50" t="n"/>
      <c r="B295" s="51" t="n"/>
      <c r="C295" s="48">
        <f>IF(OR(B295="",B294=""),"",B295/B294-1)</f>
        <v/>
      </c>
      <c r="D295" s="48">
        <f>IF(B295="","",IFERROR(B295/INDEX($B$2:$B$400,MATCH(DATE(YEAR(A295)-1,12,1),$A$2:$A$400,0))-1,""))</f>
        <v/>
      </c>
      <c r="E295" s="48">
        <f>IF(B295="","",IFERROR(B295/INDEX($B$2:$B$400,MATCH(DATE(YEAR(A295)-1,MONTH(A295),1),$A$2:$A$400,0))-1,""))</f>
        <v/>
      </c>
    </row>
    <row r="296">
      <c r="A296" s="50" t="n"/>
      <c r="B296" s="51" t="n"/>
      <c r="C296" s="48">
        <f>IF(OR(B296="",B295=""),"",B296/B295-1)</f>
        <v/>
      </c>
      <c r="D296" s="48">
        <f>IF(B296="","",IFERROR(B296/INDEX($B$2:$B$400,MATCH(DATE(YEAR(A296)-1,12,1),$A$2:$A$400,0))-1,""))</f>
        <v/>
      </c>
      <c r="E296" s="48">
        <f>IF(B296="","",IFERROR(B296/INDEX($B$2:$B$400,MATCH(DATE(YEAR(A296)-1,MONTH(A296),1),$A$2:$A$400,0))-1,""))</f>
        <v/>
      </c>
    </row>
    <row r="297">
      <c r="A297" s="50" t="n"/>
      <c r="B297" s="51" t="n"/>
      <c r="C297" s="48">
        <f>IF(OR(B297="",B296=""),"",B297/B296-1)</f>
        <v/>
      </c>
      <c r="D297" s="48">
        <f>IF(B297="","",IFERROR(B297/INDEX($B$2:$B$400,MATCH(DATE(YEAR(A297)-1,12,1),$A$2:$A$400,0))-1,""))</f>
        <v/>
      </c>
      <c r="E297" s="48">
        <f>IF(B297="","",IFERROR(B297/INDEX($B$2:$B$400,MATCH(DATE(YEAR(A297)-1,MONTH(A297),1),$A$2:$A$400,0))-1,""))</f>
        <v/>
      </c>
    </row>
    <row r="298">
      <c r="A298" s="50" t="n"/>
      <c r="B298" s="51" t="n"/>
      <c r="C298" s="48">
        <f>IF(OR(B298="",B297=""),"",B298/B297-1)</f>
        <v/>
      </c>
      <c r="D298" s="48">
        <f>IF(B298="","",IFERROR(B298/INDEX($B$2:$B$400,MATCH(DATE(YEAR(A298)-1,12,1),$A$2:$A$400,0))-1,""))</f>
        <v/>
      </c>
      <c r="E298" s="48">
        <f>IF(B298="","",IFERROR(B298/INDEX($B$2:$B$400,MATCH(DATE(YEAR(A298)-1,MONTH(A298),1),$A$2:$A$400,0))-1,""))</f>
        <v/>
      </c>
    </row>
    <row r="299">
      <c r="A299" s="50" t="n"/>
      <c r="B299" s="51" t="n"/>
      <c r="C299" s="48">
        <f>IF(OR(B299="",B298=""),"",B299/B298-1)</f>
        <v/>
      </c>
      <c r="D299" s="48">
        <f>IF(B299="","",IFERROR(B299/INDEX($B$2:$B$400,MATCH(DATE(YEAR(A299)-1,12,1),$A$2:$A$400,0))-1,""))</f>
        <v/>
      </c>
      <c r="E299" s="48">
        <f>IF(B299="","",IFERROR(B299/INDEX($B$2:$B$400,MATCH(DATE(YEAR(A299)-1,MONTH(A299),1),$A$2:$A$400,0))-1,""))</f>
        <v/>
      </c>
    </row>
    <row r="300">
      <c r="A300" s="50" t="n"/>
      <c r="B300" s="51" t="n"/>
      <c r="C300" s="48">
        <f>IF(OR(B300="",B299=""),"",B300/B299-1)</f>
        <v/>
      </c>
      <c r="D300" s="48">
        <f>IF(B300="","",IFERROR(B300/INDEX($B$2:$B$400,MATCH(DATE(YEAR(A300)-1,12,1),$A$2:$A$400,0))-1,""))</f>
        <v/>
      </c>
      <c r="E300" s="48">
        <f>IF(B300="","",IFERROR(B300/INDEX($B$2:$B$400,MATCH(DATE(YEAR(A300)-1,MONTH(A300),1),$A$2:$A$400,0))-1,""))</f>
        <v/>
      </c>
    </row>
    <row r="301">
      <c r="A301" s="50" t="n"/>
      <c r="B301" s="51" t="n"/>
      <c r="C301" s="48">
        <f>IF(OR(B301="",B300=""),"",B301/B300-1)</f>
        <v/>
      </c>
      <c r="D301" s="48">
        <f>IF(B301="","",IFERROR(B301/INDEX($B$2:$B$400,MATCH(DATE(YEAR(A301)-1,12,1),$A$2:$A$400,0))-1,""))</f>
        <v/>
      </c>
      <c r="E301" s="48">
        <f>IF(B301="","",IFERROR(B301/INDEX($B$2:$B$400,MATCH(DATE(YEAR(A301)-1,MONTH(A301),1),$A$2:$A$400,0))-1,""))</f>
        <v/>
      </c>
    </row>
    <row r="302">
      <c r="A302" s="50" t="n"/>
      <c r="B302" s="51" t="n"/>
      <c r="C302" s="48">
        <f>IF(OR(B302="",B301=""),"",B302/B301-1)</f>
        <v/>
      </c>
      <c r="D302" s="48">
        <f>IF(B302="","",IFERROR(B302/INDEX($B$2:$B$400,MATCH(DATE(YEAR(A302)-1,12,1),$A$2:$A$400,0))-1,""))</f>
        <v/>
      </c>
      <c r="E302" s="48">
        <f>IF(B302="","",IFERROR(B302/INDEX($B$2:$B$400,MATCH(DATE(YEAR(A302)-1,MONTH(A302),1),$A$2:$A$400,0))-1,""))</f>
        <v/>
      </c>
    </row>
    <row r="303">
      <c r="A303" s="50" t="n"/>
      <c r="B303" s="51" t="n"/>
      <c r="C303" s="48">
        <f>IF(OR(B303="",B302=""),"",B303/B302-1)</f>
        <v/>
      </c>
      <c r="D303" s="48">
        <f>IF(B303="","",IFERROR(B303/INDEX($B$2:$B$400,MATCH(DATE(YEAR(A303)-1,12,1),$A$2:$A$400,0))-1,""))</f>
        <v/>
      </c>
      <c r="E303" s="48">
        <f>IF(B303="","",IFERROR(B303/INDEX($B$2:$B$400,MATCH(DATE(YEAR(A303)-1,MONTH(A303),1),$A$2:$A$400,0))-1,""))</f>
        <v/>
      </c>
    </row>
    <row r="304">
      <c r="A304" s="50" t="n"/>
      <c r="B304" s="51" t="n"/>
      <c r="C304" s="48">
        <f>IF(OR(B304="",B303=""),"",B304/B303-1)</f>
        <v/>
      </c>
      <c r="D304" s="48">
        <f>IF(B304="","",IFERROR(B304/INDEX($B$2:$B$400,MATCH(DATE(YEAR(A304)-1,12,1),$A$2:$A$400,0))-1,""))</f>
        <v/>
      </c>
      <c r="E304" s="48">
        <f>IF(B304="","",IFERROR(B304/INDEX($B$2:$B$400,MATCH(DATE(YEAR(A304)-1,MONTH(A304),1),$A$2:$A$400,0))-1,""))</f>
        <v/>
      </c>
    </row>
    <row r="305">
      <c r="A305" s="50" t="n"/>
      <c r="B305" s="51" t="n"/>
      <c r="C305" s="48">
        <f>IF(OR(B305="",B304=""),"",B305/B304-1)</f>
        <v/>
      </c>
      <c r="D305" s="48">
        <f>IF(B305="","",IFERROR(B305/INDEX($B$2:$B$400,MATCH(DATE(YEAR(A305)-1,12,1),$A$2:$A$400,0))-1,""))</f>
        <v/>
      </c>
      <c r="E305" s="48">
        <f>IF(B305="","",IFERROR(B305/INDEX($B$2:$B$400,MATCH(DATE(YEAR(A305)-1,MONTH(A305),1),$A$2:$A$400,0))-1,""))</f>
        <v/>
      </c>
    </row>
    <row r="306">
      <c r="A306" s="50" t="n"/>
      <c r="B306" s="51" t="n"/>
      <c r="C306" s="48">
        <f>IF(OR(B306="",B305=""),"",B306/B305-1)</f>
        <v/>
      </c>
      <c r="D306" s="48">
        <f>IF(B306="","",IFERROR(B306/INDEX($B$2:$B$400,MATCH(DATE(YEAR(A306)-1,12,1),$A$2:$A$400,0))-1,""))</f>
        <v/>
      </c>
      <c r="E306" s="48">
        <f>IF(B306="","",IFERROR(B306/INDEX($B$2:$B$400,MATCH(DATE(YEAR(A306)-1,MONTH(A306),1),$A$2:$A$400,0))-1,""))</f>
        <v/>
      </c>
    </row>
    <row r="307">
      <c r="A307" s="50" t="n"/>
      <c r="B307" s="51" t="n"/>
      <c r="C307" s="48">
        <f>IF(OR(B307="",B306=""),"",B307/B306-1)</f>
        <v/>
      </c>
      <c r="D307" s="48">
        <f>IF(B307="","",IFERROR(B307/INDEX($B$2:$B$400,MATCH(DATE(YEAR(A307)-1,12,1),$A$2:$A$400,0))-1,""))</f>
        <v/>
      </c>
      <c r="E307" s="48">
        <f>IF(B307="","",IFERROR(B307/INDEX($B$2:$B$400,MATCH(DATE(YEAR(A307)-1,MONTH(A307),1),$A$2:$A$400,0))-1,""))</f>
        <v/>
      </c>
    </row>
    <row r="308">
      <c r="A308" s="50" t="n"/>
      <c r="B308" s="51" t="n"/>
      <c r="C308" s="48">
        <f>IF(OR(B308="",B307=""),"",B308/B307-1)</f>
        <v/>
      </c>
      <c r="D308" s="48">
        <f>IF(B308="","",IFERROR(B308/INDEX($B$2:$B$400,MATCH(DATE(YEAR(A308)-1,12,1),$A$2:$A$400,0))-1,""))</f>
        <v/>
      </c>
      <c r="E308" s="48">
        <f>IF(B308="","",IFERROR(B308/INDEX($B$2:$B$400,MATCH(DATE(YEAR(A308)-1,MONTH(A308),1),$A$2:$A$400,0))-1,""))</f>
        <v/>
      </c>
    </row>
    <row r="309">
      <c r="A309" s="50" t="n"/>
      <c r="B309" s="51" t="n"/>
      <c r="C309" s="48">
        <f>IF(OR(B309="",B308=""),"",B309/B308-1)</f>
        <v/>
      </c>
      <c r="D309" s="48">
        <f>IF(B309="","",IFERROR(B309/INDEX($B$2:$B$400,MATCH(DATE(YEAR(A309)-1,12,1),$A$2:$A$400,0))-1,""))</f>
        <v/>
      </c>
      <c r="E309" s="48">
        <f>IF(B309="","",IFERROR(B309/INDEX($B$2:$B$400,MATCH(DATE(YEAR(A309)-1,MONTH(A309),1),$A$2:$A$400,0))-1,""))</f>
        <v/>
      </c>
    </row>
    <row r="310">
      <c r="A310" s="50" t="n"/>
      <c r="B310" s="51" t="n"/>
      <c r="C310" s="48">
        <f>IF(OR(B310="",B309=""),"",B310/B309-1)</f>
        <v/>
      </c>
      <c r="D310" s="48">
        <f>IF(B310="","",IFERROR(B310/INDEX($B$2:$B$400,MATCH(DATE(YEAR(A310)-1,12,1),$A$2:$A$400,0))-1,""))</f>
        <v/>
      </c>
      <c r="E310" s="48">
        <f>IF(B310="","",IFERROR(B310/INDEX($B$2:$B$400,MATCH(DATE(YEAR(A310)-1,MONTH(A310),1),$A$2:$A$400,0))-1,""))</f>
        <v/>
      </c>
    </row>
    <row r="311">
      <c r="A311" s="50" t="n"/>
      <c r="B311" s="51" t="n"/>
      <c r="C311" s="48">
        <f>IF(OR(B311="",B310=""),"",B311/B310-1)</f>
        <v/>
      </c>
      <c r="D311" s="48">
        <f>IF(B311="","",IFERROR(B311/INDEX($B$2:$B$400,MATCH(DATE(YEAR(A311)-1,12,1),$A$2:$A$400,0))-1,""))</f>
        <v/>
      </c>
      <c r="E311" s="48">
        <f>IF(B311="","",IFERROR(B311/INDEX($B$2:$B$400,MATCH(DATE(YEAR(A311)-1,MONTH(A311),1),$A$2:$A$400,0))-1,""))</f>
        <v/>
      </c>
    </row>
    <row r="312">
      <c r="A312" s="50" t="n"/>
      <c r="B312" s="51" t="n"/>
      <c r="C312" s="48">
        <f>IF(OR(B312="",B311=""),"",B312/B311-1)</f>
        <v/>
      </c>
      <c r="D312" s="48">
        <f>IF(B312="","",IFERROR(B312/INDEX($B$2:$B$400,MATCH(DATE(YEAR(A312)-1,12,1),$A$2:$A$400,0))-1,""))</f>
        <v/>
      </c>
      <c r="E312" s="48">
        <f>IF(B312="","",IFERROR(B312/INDEX($B$2:$B$400,MATCH(DATE(YEAR(A312)-1,MONTH(A312),1),$A$2:$A$400,0))-1,""))</f>
        <v/>
      </c>
    </row>
    <row r="313">
      <c r="A313" s="50" t="n"/>
      <c r="B313" s="51" t="n"/>
      <c r="C313" s="48">
        <f>IF(OR(B313="",B312=""),"",B313/B312-1)</f>
        <v/>
      </c>
      <c r="D313" s="48">
        <f>IF(B313="","",IFERROR(B313/INDEX($B$2:$B$400,MATCH(DATE(YEAR(A313)-1,12,1),$A$2:$A$400,0))-1,""))</f>
        <v/>
      </c>
      <c r="E313" s="48">
        <f>IF(B313="","",IFERROR(B313/INDEX($B$2:$B$400,MATCH(DATE(YEAR(A313)-1,MONTH(A313),1),$A$2:$A$400,0))-1,""))</f>
        <v/>
      </c>
    </row>
    <row r="314">
      <c r="A314" s="50" t="n"/>
      <c r="B314" s="51" t="n"/>
      <c r="C314" s="48">
        <f>IF(OR(B314="",B313=""),"",B314/B313-1)</f>
        <v/>
      </c>
      <c r="D314" s="48">
        <f>IF(B314="","",IFERROR(B314/INDEX($B$2:$B$400,MATCH(DATE(YEAR(A314)-1,12,1),$A$2:$A$400,0))-1,""))</f>
        <v/>
      </c>
      <c r="E314" s="48">
        <f>IF(B314="","",IFERROR(B314/INDEX($B$2:$B$400,MATCH(DATE(YEAR(A314)-1,MONTH(A314),1),$A$2:$A$400,0))-1,""))</f>
        <v/>
      </c>
    </row>
    <row r="315">
      <c r="A315" s="50" t="n"/>
      <c r="B315" s="51" t="n"/>
      <c r="C315" s="48">
        <f>IF(OR(B315="",B314=""),"",B315/B314-1)</f>
        <v/>
      </c>
      <c r="D315" s="48">
        <f>IF(B315="","",IFERROR(B315/INDEX($B$2:$B$400,MATCH(DATE(YEAR(A315)-1,12,1),$A$2:$A$400,0))-1,""))</f>
        <v/>
      </c>
      <c r="E315" s="48">
        <f>IF(B315="","",IFERROR(B315/INDEX($B$2:$B$400,MATCH(DATE(YEAR(A315)-1,MONTH(A315),1),$A$2:$A$400,0))-1,""))</f>
        <v/>
      </c>
    </row>
    <row r="316">
      <c r="A316" s="50" t="n"/>
      <c r="B316" s="51" t="n"/>
      <c r="C316" s="48">
        <f>IF(OR(B316="",B315=""),"",B316/B315-1)</f>
        <v/>
      </c>
      <c r="D316" s="48">
        <f>IF(B316="","",IFERROR(B316/INDEX($B$2:$B$400,MATCH(DATE(YEAR(A316)-1,12,1),$A$2:$A$400,0))-1,""))</f>
        <v/>
      </c>
      <c r="E316" s="48">
        <f>IF(B316="","",IFERROR(B316/INDEX($B$2:$B$400,MATCH(DATE(YEAR(A316)-1,MONTH(A316),1),$A$2:$A$400,0))-1,""))</f>
        <v/>
      </c>
    </row>
    <row r="317">
      <c r="A317" s="50" t="n"/>
      <c r="B317" s="51" t="n"/>
      <c r="C317" s="48">
        <f>IF(OR(B317="",B316=""),"",B317/B316-1)</f>
        <v/>
      </c>
      <c r="D317" s="48">
        <f>IF(B317="","",IFERROR(B317/INDEX($B$2:$B$400,MATCH(DATE(YEAR(A317)-1,12,1),$A$2:$A$400,0))-1,""))</f>
        <v/>
      </c>
      <c r="E317" s="48">
        <f>IF(B317="","",IFERROR(B317/INDEX($B$2:$B$400,MATCH(DATE(YEAR(A317)-1,MONTH(A317),1),$A$2:$A$400,0))-1,""))</f>
        <v/>
      </c>
    </row>
    <row r="318">
      <c r="A318" s="50" t="n"/>
      <c r="B318" s="51" t="n"/>
      <c r="C318" s="48">
        <f>IF(OR(B318="",B317=""),"",B318/B317-1)</f>
        <v/>
      </c>
      <c r="D318" s="48">
        <f>IF(B318="","",IFERROR(B318/INDEX($B$2:$B$400,MATCH(DATE(YEAR(A318)-1,12,1),$A$2:$A$400,0))-1,""))</f>
        <v/>
      </c>
      <c r="E318" s="48">
        <f>IF(B318="","",IFERROR(B318/INDEX($B$2:$B$400,MATCH(DATE(YEAR(A318)-1,MONTH(A318),1),$A$2:$A$400,0))-1,""))</f>
        <v/>
      </c>
    </row>
    <row r="319">
      <c r="A319" s="50" t="n"/>
      <c r="B319" s="51" t="n"/>
      <c r="C319" s="48">
        <f>IF(OR(B319="",B318=""),"",B319/B318-1)</f>
        <v/>
      </c>
      <c r="D319" s="48">
        <f>IF(B319="","",IFERROR(B319/INDEX($B$2:$B$400,MATCH(DATE(YEAR(A319)-1,12,1),$A$2:$A$400,0))-1,""))</f>
        <v/>
      </c>
      <c r="E319" s="48">
        <f>IF(B319="","",IFERROR(B319/INDEX($B$2:$B$400,MATCH(DATE(YEAR(A319)-1,MONTH(A319),1),$A$2:$A$400,0))-1,""))</f>
        <v/>
      </c>
    </row>
    <row r="320">
      <c r="A320" s="50" t="n"/>
      <c r="B320" s="51" t="n"/>
      <c r="C320" s="48">
        <f>IF(OR(B320="",B319=""),"",B320/B319-1)</f>
        <v/>
      </c>
      <c r="D320" s="48">
        <f>IF(B320="","",IFERROR(B320/INDEX($B$2:$B$400,MATCH(DATE(YEAR(A320)-1,12,1),$A$2:$A$400,0))-1,""))</f>
        <v/>
      </c>
      <c r="E320" s="48">
        <f>IF(B320="","",IFERROR(B320/INDEX($B$2:$B$400,MATCH(DATE(YEAR(A320)-1,MONTH(A320),1),$A$2:$A$400,0))-1,""))</f>
        <v/>
      </c>
    </row>
    <row r="321">
      <c r="A321" s="50" t="n"/>
      <c r="B321" s="51" t="n"/>
      <c r="C321" s="48">
        <f>IF(OR(B321="",B320=""),"",B321/B320-1)</f>
        <v/>
      </c>
      <c r="D321" s="48">
        <f>IF(B321="","",IFERROR(B321/INDEX($B$2:$B$400,MATCH(DATE(YEAR(A321)-1,12,1),$A$2:$A$400,0))-1,""))</f>
        <v/>
      </c>
      <c r="E321" s="48">
        <f>IF(B321="","",IFERROR(B321/INDEX($B$2:$B$400,MATCH(DATE(YEAR(A321)-1,MONTH(A321),1),$A$2:$A$400,0))-1,""))</f>
        <v/>
      </c>
    </row>
    <row r="322">
      <c r="A322" s="50" t="n"/>
      <c r="B322" s="51" t="n"/>
      <c r="C322" s="48">
        <f>IF(OR(B322="",B321=""),"",B322/B321-1)</f>
        <v/>
      </c>
      <c r="D322" s="48">
        <f>IF(B322="","",IFERROR(B322/INDEX($B$2:$B$400,MATCH(DATE(YEAR(A322)-1,12,1),$A$2:$A$400,0))-1,""))</f>
        <v/>
      </c>
      <c r="E322" s="48">
        <f>IF(B322="","",IFERROR(B322/INDEX($B$2:$B$400,MATCH(DATE(YEAR(A322)-1,MONTH(A322),1),$A$2:$A$400,0))-1,""))</f>
        <v/>
      </c>
    </row>
    <row r="323">
      <c r="A323" s="50" t="n"/>
      <c r="B323" s="51" t="n"/>
      <c r="C323" s="48">
        <f>IF(OR(B323="",B322=""),"",B323/B322-1)</f>
        <v/>
      </c>
      <c r="D323" s="48">
        <f>IF(B323="","",IFERROR(B323/INDEX($B$2:$B$400,MATCH(DATE(YEAR(A323)-1,12,1),$A$2:$A$400,0))-1,""))</f>
        <v/>
      </c>
      <c r="E323" s="48">
        <f>IF(B323="","",IFERROR(B323/INDEX($B$2:$B$400,MATCH(DATE(YEAR(A323)-1,MONTH(A323),1),$A$2:$A$400,0))-1,""))</f>
        <v/>
      </c>
    </row>
    <row r="324">
      <c r="A324" s="50" t="n"/>
      <c r="B324" s="51" t="n"/>
      <c r="C324" s="48">
        <f>IF(OR(B324="",B323=""),"",B324/B323-1)</f>
        <v/>
      </c>
      <c r="D324" s="48">
        <f>IF(B324="","",IFERROR(B324/INDEX($B$2:$B$400,MATCH(DATE(YEAR(A324)-1,12,1),$A$2:$A$400,0))-1,""))</f>
        <v/>
      </c>
      <c r="E324" s="48">
        <f>IF(B324="","",IFERROR(B324/INDEX($B$2:$B$400,MATCH(DATE(YEAR(A324)-1,MONTH(A324),1),$A$2:$A$400,0))-1,""))</f>
        <v/>
      </c>
    </row>
    <row r="325">
      <c r="A325" s="50" t="n"/>
      <c r="B325" s="51" t="n"/>
      <c r="C325" s="48">
        <f>IF(OR(B325="",B324=""),"",B325/B324-1)</f>
        <v/>
      </c>
      <c r="D325" s="48">
        <f>IF(B325="","",IFERROR(B325/INDEX($B$2:$B$400,MATCH(DATE(YEAR(A325)-1,12,1),$A$2:$A$400,0))-1,""))</f>
        <v/>
      </c>
      <c r="E325" s="48">
        <f>IF(B325="","",IFERROR(B325/INDEX($B$2:$B$400,MATCH(DATE(YEAR(A325)-1,MONTH(A325),1),$A$2:$A$400,0))-1,""))</f>
        <v/>
      </c>
    </row>
    <row r="326">
      <c r="A326" s="50" t="n"/>
      <c r="B326" s="51" t="n"/>
      <c r="C326" s="48">
        <f>IF(OR(B326="",B325=""),"",B326/B325-1)</f>
        <v/>
      </c>
      <c r="D326" s="48">
        <f>IF(B326="","",IFERROR(B326/INDEX($B$2:$B$400,MATCH(DATE(YEAR(A326)-1,12,1),$A$2:$A$400,0))-1,""))</f>
        <v/>
      </c>
      <c r="E326" s="48">
        <f>IF(B326="","",IFERROR(B326/INDEX($B$2:$B$400,MATCH(DATE(YEAR(A326)-1,MONTH(A326),1),$A$2:$A$400,0))-1,""))</f>
        <v/>
      </c>
    </row>
    <row r="327">
      <c r="A327" s="50" t="n"/>
      <c r="B327" s="51" t="n"/>
      <c r="C327" s="48">
        <f>IF(OR(B327="",B326=""),"",B327/B326-1)</f>
        <v/>
      </c>
      <c r="D327" s="48">
        <f>IF(B327="","",IFERROR(B327/INDEX($B$2:$B$400,MATCH(DATE(YEAR(A327)-1,12,1),$A$2:$A$400,0))-1,""))</f>
        <v/>
      </c>
      <c r="E327" s="48">
        <f>IF(B327="","",IFERROR(B327/INDEX($B$2:$B$400,MATCH(DATE(YEAR(A327)-1,MONTH(A327),1),$A$2:$A$400,0))-1,""))</f>
        <v/>
      </c>
    </row>
    <row r="328">
      <c r="A328" s="50" t="n"/>
      <c r="B328" s="51" t="n"/>
      <c r="C328" s="48">
        <f>IF(OR(B328="",B327=""),"",B328/B327-1)</f>
        <v/>
      </c>
      <c r="D328" s="48">
        <f>IF(B328="","",IFERROR(B328/INDEX($B$2:$B$400,MATCH(DATE(YEAR(A328)-1,12,1),$A$2:$A$400,0))-1,""))</f>
        <v/>
      </c>
      <c r="E328" s="48">
        <f>IF(B328="","",IFERROR(B328/INDEX($B$2:$B$400,MATCH(DATE(YEAR(A328)-1,MONTH(A328),1),$A$2:$A$400,0))-1,""))</f>
        <v/>
      </c>
    </row>
    <row r="329">
      <c r="A329" s="50" t="n"/>
      <c r="B329" s="51" t="n"/>
      <c r="C329" s="48">
        <f>IF(OR(B329="",B328=""),"",B329/B328-1)</f>
        <v/>
      </c>
      <c r="D329" s="48">
        <f>IF(B329="","",IFERROR(B329/INDEX($B$2:$B$400,MATCH(DATE(YEAR(A329)-1,12,1),$A$2:$A$400,0))-1,""))</f>
        <v/>
      </c>
      <c r="E329" s="48">
        <f>IF(B329="","",IFERROR(B329/INDEX($B$2:$B$400,MATCH(DATE(YEAR(A329)-1,MONTH(A329),1),$A$2:$A$400,0))-1,""))</f>
        <v/>
      </c>
    </row>
    <row r="330">
      <c r="A330" s="50" t="n"/>
      <c r="B330" s="51" t="n"/>
      <c r="C330" s="48">
        <f>IF(OR(B330="",B329=""),"",B330/B329-1)</f>
        <v/>
      </c>
      <c r="D330" s="48">
        <f>IF(B330="","",IFERROR(B330/INDEX($B$2:$B$400,MATCH(DATE(YEAR(A330)-1,12,1),$A$2:$A$400,0))-1,""))</f>
        <v/>
      </c>
      <c r="E330" s="48">
        <f>IF(B330="","",IFERROR(B330/INDEX($B$2:$B$400,MATCH(DATE(YEAR(A330)-1,MONTH(A330),1),$A$2:$A$400,0))-1,""))</f>
        <v/>
      </c>
    </row>
    <row r="331">
      <c r="A331" s="50" t="n"/>
      <c r="B331" s="51" t="n"/>
      <c r="C331" s="48">
        <f>IF(OR(B331="",B330=""),"",B331/B330-1)</f>
        <v/>
      </c>
      <c r="D331" s="48">
        <f>IF(B331="","",IFERROR(B331/INDEX($B$2:$B$400,MATCH(DATE(YEAR(A331)-1,12,1),$A$2:$A$400,0))-1,""))</f>
        <v/>
      </c>
      <c r="E331" s="48">
        <f>IF(B331="","",IFERROR(B331/INDEX($B$2:$B$400,MATCH(DATE(YEAR(A331)-1,MONTH(A331),1),$A$2:$A$400,0))-1,""))</f>
        <v/>
      </c>
    </row>
    <row r="332">
      <c r="A332" s="50" t="n"/>
      <c r="B332" s="51" t="n"/>
      <c r="C332" s="48">
        <f>IF(OR(B332="",B331=""),"",B332/B331-1)</f>
        <v/>
      </c>
      <c r="D332" s="48">
        <f>IF(B332="","",IFERROR(B332/INDEX($B$2:$B$400,MATCH(DATE(YEAR(A332)-1,12,1),$A$2:$A$400,0))-1,""))</f>
        <v/>
      </c>
      <c r="E332" s="48">
        <f>IF(B332="","",IFERROR(B332/INDEX($B$2:$B$400,MATCH(DATE(YEAR(A332)-1,MONTH(A332),1),$A$2:$A$400,0))-1,""))</f>
        <v/>
      </c>
    </row>
    <row r="333">
      <c r="A333" s="50" t="n"/>
      <c r="B333" s="51" t="n"/>
      <c r="C333" s="48">
        <f>IF(OR(B333="",B332=""),"",B333/B332-1)</f>
        <v/>
      </c>
      <c r="D333" s="48">
        <f>IF(B333="","",IFERROR(B333/INDEX($B$2:$B$400,MATCH(DATE(YEAR(A333)-1,12,1),$A$2:$A$400,0))-1,""))</f>
        <v/>
      </c>
      <c r="E333" s="48">
        <f>IF(B333="","",IFERROR(B333/INDEX($B$2:$B$400,MATCH(DATE(YEAR(A333)-1,MONTH(A333),1),$A$2:$A$400,0))-1,""))</f>
        <v/>
      </c>
    </row>
    <row r="334">
      <c r="A334" s="50" t="n"/>
      <c r="B334" s="51" t="n"/>
      <c r="C334" s="48">
        <f>IF(OR(B334="",B333=""),"",B334/B333-1)</f>
        <v/>
      </c>
      <c r="D334" s="48">
        <f>IF(B334="","",IFERROR(B334/INDEX($B$2:$B$400,MATCH(DATE(YEAR(A334)-1,12,1),$A$2:$A$400,0))-1,""))</f>
        <v/>
      </c>
      <c r="E334" s="48">
        <f>IF(B334="","",IFERROR(B334/INDEX($B$2:$B$400,MATCH(DATE(YEAR(A334)-1,MONTH(A334),1),$A$2:$A$400,0))-1,""))</f>
        <v/>
      </c>
    </row>
    <row r="335">
      <c r="A335" s="50" t="n"/>
      <c r="B335" s="51" t="n"/>
      <c r="C335" s="48">
        <f>IF(OR(B335="",B334=""),"",B335/B334-1)</f>
        <v/>
      </c>
      <c r="D335" s="48">
        <f>IF(B335="","",IFERROR(B335/INDEX($B$2:$B$400,MATCH(DATE(YEAR(A335)-1,12,1),$A$2:$A$400,0))-1,""))</f>
        <v/>
      </c>
      <c r="E335" s="48">
        <f>IF(B335="","",IFERROR(B335/INDEX($B$2:$B$400,MATCH(DATE(YEAR(A335)-1,MONTH(A335),1),$A$2:$A$400,0))-1,""))</f>
        <v/>
      </c>
    </row>
    <row r="336">
      <c r="A336" s="50" t="n"/>
      <c r="B336" s="51" t="n"/>
      <c r="C336" s="48">
        <f>IF(OR(B336="",B335=""),"",B336/B335-1)</f>
        <v/>
      </c>
      <c r="D336" s="48">
        <f>IF(B336="","",IFERROR(B336/INDEX($B$2:$B$400,MATCH(DATE(YEAR(A336)-1,12,1),$A$2:$A$400,0))-1,""))</f>
        <v/>
      </c>
      <c r="E336" s="48">
        <f>IF(B336="","",IFERROR(B336/INDEX($B$2:$B$400,MATCH(DATE(YEAR(A336)-1,MONTH(A336),1),$A$2:$A$400,0))-1,""))</f>
        <v/>
      </c>
    </row>
    <row r="337">
      <c r="A337" s="50" t="n"/>
      <c r="B337" s="51" t="n"/>
      <c r="C337" s="48">
        <f>IF(OR(B337="",B336=""),"",B337/B336-1)</f>
        <v/>
      </c>
      <c r="D337" s="48">
        <f>IF(B337="","",IFERROR(B337/INDEX($B$2:$B$400,MATCH(DATE(YEAR(A337)-1,12,1),$A$2:$A$400,0))-1,""))</f>
        <v/>
      </c>
      <c r="E337" s="48">
        <f>IF(B337="","",IFERROR(B337/INDEX($B$2:$B$400,MATCH(DATE(YEAR(A337)-1,MONTH(A337),1),$A$2:$A$400,0))-1,""))</f>
        <v/>
      </c>
    </row>
    <row r="338">
      <c r="A338" s="50" t="n"/>
      <c r="B338" s="51" t="n"/>
      <c r="C338" s="48">
        <f>IF(OR(B338="",B337=""),"",B338/B337-1)</f>
        <v/>
      </c>
      <c r="D338" s="48">
        <f>IF(B338="","",IFERROR(B338/INDEX($B$2:$B$400,MATCH(DATE(YEAR(A338)-1,12,1),$A$2:$A$400,0))-1,""))</f>
        <v/>
      </c>
      <c r="E338" s="48">
        <f>IF(B338="","",IFERROR(B338/INDEX($B$2:$B$400,MATCH(DATE(YEAR(A338)-1,MONTH(A338),1),$A$2:$A$400,0))-1,""))</f>
        <v/>
      </c>
    </row>
    <row r="339">
      <c r="A339" s="50" t="n"/>
      <c r="B339" s="51" t="n"/>
      <c r="C339" s="48">
        <f>IF(OR(B339="",B338=""),"",B339/B338-1)</f>
        <v/>
      </c>
      <c r="D339" s="48">
        <f>IF(B339="","",IFERROR(B339/INDEX($B$2:$B$400,MATCH(DATE(YEAR(A339)-1,12,1),$A$2:$A$400,0))-1,""))</f>
        <v/>
      </c>
      <c r="E339" s="48">
        <f>IF(B339="","",IFERROR(B339/INDEX($B$2:$B$400,MATCH(DATE(YEAR(A339)-1,MONTH(A339),1),$A$2:$A$400,0))-1,""))</f>
        <v/>
      </c>
    </row>
    <row r="340">
      <c r="A340" s="50" t="n"/>
      <c r="B340" s="51" t="n"/>
      <c r="C340" s="48">
        <f>IF(OR(B340="",B339=""),"",B340/B339-1)</f>
        <v/>
      </c>
      <c r="D340" s="48">
        <f>IF(B340="","",IFERROR(B340/INDEX($B$2:$B$400,MATCH(DATE(YEAR(A340)-1,12,1),$A$2:$A$400,0))-1,""))</f>
        <v/>
      </c>
      <c r="E340" s="48">
        <f>IF(B340="","",IFERROR(B340/INDEX($B$2:$B$400,MATCH(DATE(YEAR(A340)-1,MONTH(A340),1),$A$2:$A$400,0))-1,""))</f>
        <v/>
      </c>
    </row>
    <row r="341">
      <c r="A341" s="50" t="n"/>
      <c r="B341" s="51" t="n"/>
      <c r="C341" s="48">
        <f>IF(OR(B341="",B340=""),"",B341/B340-1)</f>
        <v/>
      </c>
      <c r="D341" s="48">
        <f>IF(B341="","",IFERROR(B341/INDEX($B$2:$B$400,MATCH(DATE(YEAR(A341)-1,12,1),$A$2:$A$400,0))-1,""))</f>
        <v/>
      </c>
      <c r="E341" s="48">
        <f>IF(B341="","",IFERROR(B341/INDEX($B$2:$B$400,MATCH(DATE(YEAR(A341)-1,MONTH(A341),1),$A$2:$A$400,0))-1,""))</f>
        <v/>
      </c>
    </row>
    <row r="342">
      <c r="A342" s="50" t="n"/>
      <c r="B342" s="51" t="n"/>
      <c r="C342" s="48">
        <f>IF(OR(B342="",B341=""),"",B342/B341-1)</f>
        <v/>
      </c>
      <c r="D342" s="48">
        <f>IF(B342="","",IFERROR(B342/INDEX($B$2:$B$400,MATCH(DATE(YEAR(A342)-1,12,1),$A$2:$A$400,0))-1,""))</f>
        <v/>
      </c>
      <c r="E342" s="48">
        <f>IF(B342="","",IFERROR(B342/INDEX($B$2:$B$400,MATCH(DATE(YEAR(A342)-1,MONTH(A342),1),$A$2:$A$400,0))-1,""))</f>
        <v/>
      </c>
    </row>
    <row r="343">
      <c r="A343" s="50" t="n"/>
      <c r="B343" s="51" t="n"/>
      <c r="C343" s="48">
        <f>IF(OR(B343="",B342=""),"",B343/B342-1)</f>
        <v/>
      </c>
      <c r="D343" s="48">
        <f>IF(B343="","",IFERROR(B343/INDEX($B$2:$B$400,MATCH(DATE(YEAR(A343)-1,12,1),$A$2:$A$400,0))-1,""))</f>
        <v/>
      </c>
      <c r="E343" s="48">
        <f>IF(B343="","",IFERROR(B343/INDEX($B$2:$B$400,MATCH(DATE(YEAR(A343)-1,MONTH(A343),1),$A$2:$A$400,0))-1,""))</f>
        <v/>
      </c>
    </row>
    <row r="344">
      <c r="A344" s="50" t="n"/>
      <c r="B344" s="51" t="n"/>
      <c r="C344" s="48">
        <f>IF(OR(B344="",B343=""),"",B344/B343-1)</f>
        <v/>
      </c>
      <c r="D344" s="48">
        <f>IF(B344="","",IFERROR(B344/INDEX($B$2:$B$400,MATCH(DATE(YEAR(A344)-1,12,1),$A$2:$A$400,0))-1,""))</f>
        <v/>
      </c>
      <c r="E344" s="48">
        <f>IF(B344="","",IFERROR(B344/INDEX($B$2:$B$400,MATCH(DATE(YEAR(A344)-1,MONTH(A344),1),$A$2:$A$400,0))-1,""))</f>
        <v/>
      </c>
    </row>
    <row r="345">
      <c r="A345" s="50" t="n"/>
      <c r="B345" s="51" t="n"/>
      <c r="C345" s="48">
        <f>IF(OR(B345="",B344=""),"",B345/B344-1)</f>
        <v/>
      </c>
      <c r="D345" s="48">
        <f>IF(B345="","",IFERROR(B345/INDEX($B$2:$B$400,MATCH(DATE(YEAR(A345)-1,12,1),$A$2:$A$400,0))-1,""))</f>
        <v/>
      </c>
      <c r="E345" s="48">
        <f>IF(B345="","",IFERROR(B345/INDEX($B$2:$B$400,MATCH(DATE(YEAR(A345)-1,MONTH(A345),1),$A$2:$A$400,0))-1,""))</f>
        <v/>
      </c>
    </row>
    <row r="346">
      <c r="A346" s="50" t="n"/>
      <c r="B346" s="51" t="n"/>
      <c r="C346" s="48">
        <f>IF(OR(B346="",B345=""),"",B346/B345-1)</f>
        <v/>
      </c>
      <c r="D346" s="48">
        <f>IF(B346="","",IFERROR(B346/INDEX($B$2:$B$400,MATCH(DATE(YEAR(A346)-1,12,1),$A$2:$A$400,0))-1,""))</f>
        <v/>
      </c>
      <c r="E346" s="48">
        <f>IF(B346="","",IFERROR(B346/INDEX($B$2:$B$400,MATCH(DATE(YEAR(A346)-1,MONTH(A346),1),$A$2:$A$400,0))-1,""))</f>
        <v/>
      </c>
    </row>
    <row r="347">
      <c r="A347" s="50" t="n"/>
      <c r="B347" s="51" t="n"/>
      <c r="C347" s="48">
        <f>IF(OR(B347="",B346=""),"",B347/B346-1)</f>
        <v/>
      </c>
      <c r="D347" s="48">
        <f>IF(B347="","",IFERROR(B347/INDEX($B$2:$B$400,MATCH(DATE(YEAR(A347)-1,12,1),$A$2:$A$400,0))-1,""))</f>
        <v/>
      </c>
      <c r="E347" s="48">
        <f>IF(B347="","",IFERROR(B347/INDEX($B$2:$B$400,MATCH(DATE(YEAR(A347)-1,MONTH(A347),1),$A$2:$A$400,0))-1,""))</f>
        <v/>
      </c>
    </row>
    <row r="348">
      <c r="A348" s="50" t="n"/>
      <c r="B348" s="51" t="n"/>
      <c r="C348" s="48">
        <f>IF(OR(B348="",B347=""),"",B348/B347-1)</f>
        <v/>
      </c>
      <c r="D348" s="48">
        <f>IF(B348="","",IFERROR(B348/INDEX($B$2:$B$400,MATCH(DATE(YEAR(A348)-1,12,1),$A$2:$A$400,0))-1,""))</f>
        <v/>
      </c>
      <c r="E348" s="48">
        <f>IF(B348="","",IFERROR(B348/INDEX($B$2:$B$400,MATCH(DATE(YEAR(A348)-1,MONTH(A348),1),$A$2:$A$400,0))-1,""))</f>
        <v/>
      </c>
    </row>
    <row r="349">
      <c r="A349" s="50" t="n"/>
      <c r="B349" s="51" t="n"/>
      <c r="C349" s="48">
        <f>IF(OR(B349="",B348=""),"",B349/B348-1)</f>
        <v/>
      </c>
      <c r="D349" s="48">
        <f>IF(B349="","",IFERROR(B349/INDEX($B$2:$B$400,MATCH(DATE(YEAR(A349)-1,12,1),$A$2:$A$400,0))-1,""))</f>
        <v/>
      </c>
      <c r="E349" s="48">
        <f>IF(B349="","",IFERROR(B349/INDEX($B$2:$B$400,MATCH(DATE(YEAR(A349)-1,MONTH(A349),1),$A$2:$A$400,0))-1,""))</f>
        <v/>
      </c>
    </row>
    <row r="350">
      <c r="A350" s="50" t="n"/>
      <c r="B350" s="51" t="n"/>
      <c r="C350" s="48">
        <f>IF(OR(B350="",B349=""),"",B350/B349-1)</f>
        <v/>
      </c>
      <c r="D350" s="48">
        <f>IF(B350="","",IFERROR(B350/INDEX($B$2:$B$400,MATCH(DATE(YEAR(A350)-1,12,1),$A$2:$A$400,0))-1,""))</f>
        <v/>
      </c>
      <c r="E350" s="48">
        <f>IF(B350="","",IFERROR(B350/INDEX($B$2:$B$400,MATCH(DATE(YEAR(A350)-1,MONTH(A350),1),$A$2:$A$400,0))-1,""))</f>
        <v/>
      </c>
    </row>
    <row r="351">
      <c r="A351" s="50" t="n"/>
      <c r="B351" s="51" t="n"/>
      <c r="C351" s="48">
        <f>IF(OR(B351="",B350=""),"",B351/B350-1)</f>
        <v/>
      </c>
      <c r="D351" s="48">
        <f>IF(B351="","",IFERROR(B351/INDEX($B$2:$B$400,MATCH(DATE(YEAR(A351)-1,12,1),$A$2:$A$400,0))-1,""))</f>
        <v/>
      </c>
      <c r="E351" s="48">
        <f>IF(B351="","",IFERROR(B351/INDEX($B$2:$B$400,MATCH(DATE(YEAR(A351)-1,MONTH(A351),1),$A$2:$A$400,0))-1,""))</f>
        <v/>
      </c>
    </row>
    <row r="352">
      <c r="A352" s="50" t="n"/>
      <c r="B352" s="51" t="n"/>
      <c r="C352" s="48">
        <f>IF(OR(B352="",B351=""),"",B352/B351-1)</f>
        <v/>
      </c>
      <c r="D352" s="48">
        <f>IF(B352="","",IFERROR(B352/INDEX($B$2:$B$400,MATCH(DATE(YEAR(A352)-1,12,1),$A$2:$A$400,0))-1,""))</f>
        <v/>
      </c>
      <c r="E352" s="48">
        <f>IF(B352="","",IFERROR(B352/INDEX($B$2:$B$400,MATCH(DATE(YEAR(A352)-1,MONTH(A352),1),$A$2:$A$400,0))-1,""))</f>
        <v/>
      </c>
    </row>
    <row r="353">
      <c r="A353" s="50" t="n"/>
      <c r="B353" s="51" t="n"/>
      <c r="C353" s="48">
        <f>IF(OR(B353="",B352=""),"",B353/B352-1)</f>
        <v/>
      </c>
      <c r="D353" s="48">
        <f>IF(B353="","",IFERROR(B353/INDEX($B$2:$B$400,MATCH(DATE(YEAR(A353)-1,12,1),$A$2:$A$400,0))-1,""))</f>
        <v/>
      </c>
      <c r="E353" s="48">
        <f>IF(B353="","",IFERROR(B353/INDEX($B$2:$B$400,MATCH(DATE(YEAR(A353)-1,MONTH(A353),1),$A$2:$A$400,0))-1,""))</f>
        <v/>
      </c>
    </row>
    <row r="354">
      <c r="A354" s="50" t="n"/>
      <c r="B354" s="51" t="n"/>
      <c r="C354" s="48">
        <f>IF(OR(B354="",B353=""),"",B354/B353-1)</f>
        <v/>
      </c>
      <c r="D354" s="48">
        <f>IF(B354="","",IFERROR(B354/INDEX($B$2:$B$400,MATCH(DATE(YEAR(A354)-1,12,1),$A$2:$A$400,0))-1,""))</f>
        <v/>
      </c>
      <c r="E354" s="48">
        <f>IF(B354="","",IFERROR(B354/INDEX($B$2:$B$400,MATCH(DATE(YEAR(A354)-1,MONTH(A354),1),$A$2:$A$400,0))-1,""))</f>
        <v/>
      </c>
    </row>
    <row r="355">
      <c r="A355" s="50" t="n"/>
      <c r="B355" s="51" t="n"/>
      <c r="C355" s="48">
        <f>IF(OR(B355="",B354=""),"",B355/B354-1)</f>
        <v/>
      </c>
      <c r="D355" s="48">
        <f>IF(B355="","",IFERROR(B355/INDEX($B$2:$B$400,MATCH(DATE(YEAR(A355)-1,12,1),$A$2:$A$400,0))-1,""))</f>
        <v/>
      </c>
      <c r="E355" s="48">
        <f>IF(B355="","",IFERROR(B355/INDEX($B$2:$B$400,MATCH(DATE(YEAR(A355)-1,MONTH(A355),1),$A$2:$A$400,0))-1,""))</f>
        <v/>
      </c>
    </row>
    <row r="356">
      <c r="A356" s="50" t="n"/>
      <c r="B356" s="51" t="n"/>
      <c r="C356" s="48">
        <f>IF(OR(B356="",B355=""),"",B356/B355-1)</f>
        <v/>
      </c>
      <c r="D356" s="48">
        <f>IF(B356="","",IFERROR(B356/INDEX($B$2:$B$400,MATCH(DATE(YEAR(A356)-1,12,1),$A$2:$A$400,0))-1,""))</f>
        <v/>
      </c>
      <c r="E356" s="48">
        <f>IF(B356="","",IFERROR(B356/INDEX($B$2:$B$400,MATCH(DATE(YEAR(A356)-1,MONTH(A356),1),$A$2:$A$400,0))-1,""))</f>
        <v/>
      </c>
    </row>
    <row r="357">
      <c r="A357" s="50" t="n"/>
      <c r="B357" s="51" t="n"/>
      <c r="C357" s="48">
        <f>IF(OR(B357="",B356=""),"",B357/B356-1)</f>
        <v/>
      </c>
      <c r="D357" s="48">
        <f>IF(B357="","",IFERROR(B357/INDEX($B$2:$B$400,MATCH(DATE(YEAR(A357)-1,12,1),$A$2:$A$400,0))-1,""))</f>
        <v/>
      </c>
      <c r="E357" s="48">
        <f>IF(B357="","",IFERROR(B357/INDEX($B$2:$B$400,MATCH(DATE(YEAR(A357)-1,MONTH(A357),1),$A$2:$A$400,0))-1,""))</f>
        <v/>
      </c>
    </row>
    <row r="358">
      <c r="A358" s="50" t="n"/>
      <c r="B358" s="51" t="n"/>
      <c r="C358" s="48">
        <f>IF(OR(B358="",B357=""),"",B358/B357-1)</f>
        <v/>
      </c>
      <c r="D358" s="48">
        <f>IF(B358="","",IFERROR(B358/INDEX($B$2:$B$400,MATCH(DATE(YEAR(A358)-1,12,1),$A$2:$A$400,0))-1,""))</f>
        <v/>
      </c>
      <c r="E358" s="48">
        <f>IF(B358="","",IFERROR(B358/INDEX($B$2:$B$400,MATCH(DATE(YEAR(A358)-1,MONTH(A358),1),$A$2:$A$400,0))-1,""))</f>
        <v/>
      </c>
    </row>
    <row r="359">
      <c r="A359" s="50" t="n"/>
      <c r="B359" s="51" t="n"/>
      <c r="C359" s="48">
        <f>IF(OR(B359="",B358=""),"",B359/B358-1)</f>
        <v/>
      </c>
      <c r="D359" s="48">
        <f>IF(B359="","",IFERROR(B359/INDEX($B$2:$B$400,MATCH(DATE(YEAR(A359)-1,12,1),$A$2:$A$400,0))-1,""))</f>
        <v/>
      </c>
      <c r="E359" s="48">
        <f>IF(B359="","",IFERROR(B359/INDEX($B$2:$B$400,MATCH(DATE(YEAR(A359)-1,MONTH(A359),1),$A$2:$A$400,0))-1,""))</f>
        <v/>
      </c>
    </row>
    <row r="360">
      <c r="A360" s="50" t="n"/>
      <c r="B360" s="51" t="n"/>
      <c r="C360" s="48">
        <f>IF(OR(B360="",B359=""),"",B360/B359-1)</f>
        <v/>
      </c>
      <c r="D360" s="48">
        <f>IF(B360="","",IFERROR(B360/INDEX($B$2:$B$400,MATCH(DATE(YEAR(A360)-1,12,1),$A$2:$A$400,0))-1,""))</f>
        <v/>
      </c>
      <c r="E360" s="48">
        <f>IF(B360="","",IFERROR(B360/INDEX($B$2:$B$400,MATCH(DATE(YEAR(A360)-1,MONTH(A360),1),$A$2:$A$400,0))-1,""))</f>
        <v/>
      </c>
    </row>
    <row r="361">
      <c r="A361" s="50" t="n"/>
      <c r="B361" s="51" t="n"/>
      <c r="C361" s="48">
        <f>IF(OR(B361="",B360=""),"",B361/B360-1)</f>
        <v/>
      </c>
      <c r="D361" s="48">
        <f>IF(B361="","",IFERROR(B361/INDEX($B$2:$B$400,MATCH(DATE(YEAR(A361)-1,12,1),$A$2:$A$400,0))-1,""))</f>
        <v/>
      </c>
      <c r="E361" s="48">
        <f>IF(B361="","",IFERROR(B361/INDEX($B$2:$B$400,MATCH(DATE(YEAR(A361)-1,MONTH(A361),1),$A$2:$A$400,0))-1,""))</f>
        <v/>
      </c>
    </row>
    <row r="362">
      <c r="A362" s="50" t="n"/>
      <c r="B362" s="51" t="n"/>
      <c r="C362" s="48">
        <f>IF(OR(B362="",B361=""),"",B362/B361-1)</f>
        <v/>
      </c>
      <c r="D362" s="48">
        <f>IF(B362="","",IFERROR(B362/INDEX($B$2:$B$400,MATCH(DATE(YEAR(A362)-1,12,1),$A$2:$A$400,0))-1,""))</f>
        <v/>
      </c>
      <c r="E362" s="48">
        <f>IF(B362="","",IFERROR(B362/INDEX($B$2:$B$400,MATCH(DATE(YEAR(A362)-1,MONTH(A362),1),$A$2:$A$400,0))-1,""))</f>
        <v/>
      </c>
    </row>
    <row r="363">
      <c r="A363" s="50" t="n"/>
      <c r="B363" s="51" t="n"/>
      <c r="C363" s="48">
        <f>IF(OR(B363="",B362=""),"",B363/B362-1)</f>
        <v/>
      </c>
      <c r="D363" s="48">
        <f>IF(B363="","",IFERROR(B363/INDEX($B$2:$B$400,MATCH(DATE(YEAR(A363)-1,12,1),$A$2:$A$400,0))-1,""))</f>
        <v/>
      </c>
      <c r="E363" s="48">
        <f>IF(B363="","",IFERROR(B363/INDEX($B$2:$B$400,MATCH(DATE(YEAR(A363)-1,MONTH(A363),1),$A$2:$A$400,0))-1,""))</f>
        <v/>
      </c>
    </row>
    <row r="364">
      <c r="A364" s="50" t="n"/>
      <c r="B364" s="51" t="n"/>
      <c r="C364" s="48">
        <f>IF(OR(B364="",B363=""),"",B364/B363-1)</f>
        <v/>
      </c>
      <c r="D364" s="48">
        <f>IF(B364="","",IFERROR(B364/INDEX($B$2:$B$400,MATCH(DATE(YEAR(A364)-1,12,1),$A$2:$A$400,0))-1,""))</f>
        <v/>
      </c>
      <c r="E364" s="48">
        <f>IF(B364="","",IFERROR(B364/INDEX($B$2:$B$400,MATCH(DATE(YEAR(A364)-1,MONTH(A364),1),$A$2:$A$400,0))-1,""))</f>
        <v/>
      </c>
    </row>
    <row r="365">
      <c r="A365" s="50" t="n"/>
      <c r="B365" s="51" t="n"/>
      <c r="C365" s="48">
        <f>IF(OR(B365="",B364=""),"",B365/B364-1)</f>
        <v/>
      </c>
      <c r="D365" s="48">
        <f>IF(B365="","",IFERROR(B365/INDEX($B$2:$B$400,MATCH(DATE(YEAR(A365)-1,12,1),$A$2:$A$400,0))-1,""))</f>
        <v/>
      </c>
      <c r="E365" s="48">
        <f>IF(B365="","",IFERROR(B365/INDEX($B$2:$B$400,MATCH(DATE(YEAR(A365)-1,MONTH(A365),1),$A$2:$A$400,0))-1,""))</f>
        <v/>
      </c>
    </row>
    <row r="366">
      <c r="A366" s="50" t="n"/>
      <c r="B366" s="51" t="n"/>
      <c r="C366" s="48">
        <f>IF(OR(B366="",B365=""),"",B366/B365-1)</f>
        <v/>
      </c>
      <c r="D366" s="48">
        <f>IF(B366="","",IFERROR(B366/INDEX($B$2:$B$400,MATCH(DATE(YEAR(A366)-1,12,1),$A$2:$A$400,0))-1,""))</f>
        <v/>
      </c>
      <c r="E366" s="48">
        <f>IF(B366="","",IFERROR(B366/INDEX($B$2:$B$400,MATCH(DATE(YEAR(A366)-1,MONTH(A366),1),$A$2:$A$400,0))-1,""))</f>
        <v/>
      </c>
    </row>
    <row r="367">
      <c r="A367" s="50" t="n"/>
      <c r="B367" s="51" t="n"/>
      <c r="C367" s="48">
        <f>IF(OR(B367="",B366=""),"",B367/B366-1)</f>
        <v/>
      </c>
      <c r="D367" s="48">
        <f>IF(B367="","",IFERROR(B367/INDEX($B$2:$B$400,MATCH(DATE(YEAR(A367)-1,12,1),$A$2:$A$400,0))-1,""))</f>
        <v/>
      </c>
      <c r="E367" s="48">
        <f>IF(B367="","",IFERROR(B367/INDEX($B$2:$B$400,MATCH(DATE(YEAR(A367)-1,MONTH(A367),1),$A$2:$A$400,0))-1,""))</f>
        <v/>
      </c>
    </row>
    <row r="368">
      <c r="A368" s="50" t="n"/>
      <c r="B368" s="51" t="n"/>
      <c r="C368" s="48">
        <f>IF(OR(B368="",B367=""),"",B368/B367-1)</f>
        <v/>
      </c>
      <c r="D368" s="48">
        <f>IF(B368="","",IFERROR(B368/INDEX($B$2:$B$400,MATCH(DATE(YEAR(A368)-1,12,1),$A$2:$A$400,0))-1,""))</f>
        <v/>
      </c>
      <c r="E368" s="48">
        <f>IF(B368="","",IFERROR(B368/INDEX($B$2:$B$400,MATCH(DATE(YEAR(A368)-1,MONTH(A368),1),$A$2:$A$400,0))-1,""))</f>
        <v/>
      </c>
    </row>
    <row r="369">
      <c r="A369" s="50" t="n"/>
      <c r="B369" s="51" t="n"/>
      <c r="C369" s="48">
        <f>IF(OR(B369="",B368=""),"",B369/B368-1)</f>
        <v/>
      </c>
      <c r="D369" s="48">
        <f>IF(B369="","",IFERROR(B369/INDEX($B$2:$B$400,MATCH(DATE(YEAR(A369)-1,12,1),$A$2:$A$400,0))-1,""))</f>
        <v/>
      </c>
      <c r="E369" s="48">
        <f>IF(B369="","",IFERROR(B369/INDEX($B$2:$B$400,MATCH(DATE(YEAR(A369)-1,MONTH(A369),1),$A$2:$A$400,0))-1,""))</f>
        <v/>
      </c>
    </row>
    <row r="370">
      <c r="A370" s="50" t="n"/>
      <c r="B370" s="51" t="n"/>
      <c r="C370" s="48">
        <f>IF(OR(B370="",B369=""),"",B370/B369-1)</f>
        <v/>
      </c>
      <c r="D370" s="48">
        <f>IF(B370="","",IFERROR(B370/INDEX($B$2:$B$400,MATCH(DATE(YEAR(A370)-1,12,1),$A$2:$A$400,0))-1,""))</f>
        <v/>
      </c>
      <c r="E370" s="48">
        <f>IF(B370="","",IFERROR(B370/INDEX($B$2:$B$400,MATCH(DATE(YEAR(A370)-1,MONTH(A370),1),$A$2:$A$400,0))-1,""))</f>
        <v/>
      </c>
    </row>
    <row r="371">
      <c r="A371" s="50" t="n"/>
      <c r="B371" s="51" t="n"/>
      <c r="C371" s="48">
        <f>IF(OR(B371="",B370=""),"",B371/B370-1)</f>
        <v/>
      </c>
      <c r="D371" s="48">
        <f>IF(B371="","",IFERROR(B371/INDEX($B$2:$B$400,MATCH(DATE(YEAR(A371)-1,12,1),$A$2:$A$400,0))-1,""))</f>
        <v/>
      </c>
      <c r="E371" s="48">
        <f>IF(B371="","",IFERROR(B371/INDEX($B$2:$B$400,MATCH(DATE(YEAR(A371)-1,MONTH(A371),1),$A$2:$A$400,0))-1,""))</f>
        <v/>
      </c>
    </row>
    <row r="372">
      <c r="A372" s="50" t="n"/>
      <c r="B372" s="51" t="n"/>
      <c r="C372" s="48">
        <f>IF(OR(B372="",B371=""),"",B372/B371-1)</f>
        <v/>
      </c>
      <c r="D372" s="48">
        <f>IF(B372="","",IFERROR(B372/INDEX($B$2:$B$400,MATCH(DATE(YEAR(A372)-1,12,1),$A$2:$A$400,0))-1,""))</f>
        <v/>
      </c>
      <c r="E372" s="48">
        <f>IF(B372="","",IFERROR(B372/INDEX($B$2:$B$400,MATCH(DATE(YEAR(A372)-1,MONTH(A372),1),$A$2:$A$400,0))-1,""))</f>
        <v/>
      </c>
    </row>
    <row r="373">
      <c r="A373" s="50" t="n"/>
      <c r="B373" s="51" t="n"/>
      <c r="C373" s="48">
        <f>IF(OR(B373="",B372=""),"",B373/B372-1)</f>
        <v/>
      </c>
      <c r="D373" s="48">
        <f>IF(B373="","",IFERROR(B373/INDEX($B$2:$B$400,MATCH(DATE(YEAR(A373)-1,12,1),$A$2:$A$400,0))-1,""))</f>
        <v/>
      </c>
      <c r="E373" s="48">
        <f>IF(B373="","",IFERROR(B373/INDEX($B$2:$B$400,MATCH(DATE(YEAR(A373)-1,MONTH(A373),1),$A$2:$A$400,0))-1,""))</f>
        <v/>
      </c>
    </row>
    <row r="374">
      <c r="A374" s="50" t="n"/>
      <c r="B374" s="51" t="n"/>
      <c r="C374" s="48">
        <f>IF(OR(B374="",B373=""),"",B374/B373-1)</f>
        <v/>
      </c>
      <c r="D374" s="48">
        <f>IF(B374="","",IFERROR(B374/INDEX($B$2:$B$400,MATCH(DATE(YEAR(A374)-1,12,1),$A$2:$A$400,0))-1,""))</f>
        <v/>
      </c>
      <c r="E374" s="48">
        <f>IF(B374="","",IFERROR(B374/INDEX($B$2:$B$400,MATCH(DATE(YEAR(A374)-1,MONTH(A374),1),$A$2:$A$400,0))-1,""))</f>
        <v/>
      </c>
    </row>
    <row r="375">
      <c r="A375" s="50" t="n"/>
      <c r="B375" s="51" t="n"/>
      <c r="C375" s="48">
        <f>IF(OR(B375="",B374=""),"",B375/B374-1)</f>
        <v/>
      </c>
      <c r="D375" s="48">
        <f>IF(B375="","",IFERROR(B375/INDEX($B$2:$B$400,MATCH(DATE(YEAR(A375)-1,12,1),$A$2:$A$400,0))-1,""))</f>
        <v/>
      </c>
      <c r="E375" s="48">
        <f>IF(B375="","",IFERROR(B375/INDEX($B$2:$B$400,MATCH(DATE(YEAR(A375)-1,MONTH(A375),1),$A$2:$A$400,0))-1,""))</f>
        <v/>
      </c>
    </row>
    <row r="376">
      <c r="A376" s="50" t="n"/>
      <c r="B376" s="51" t="n"/>
      <c r="C376" s="48">
        <f>IF(OR(B376="",B375=""),"",B376/B375-1)</f>
        <v/>
      </c>
      <c r="D376" s="48">
        <f>IF(B376="","",IFERROR(B376/INDEX($B$2:$B$400,MATCH(DATE(YEAR(A376)-1,12,1),$A$2:$A$400,0))-1,""))</f>
        <v/>
      </c>
      <c r="E376" s="48">
        <f>IF(B376="","",IFERROR(B376/INDEX($B$2:$B$400,MATCH(DATE(YEAR(A376)-1,MONTH(A376),1),$A$2:$A$400,0))-1,""))</f>
        <v/>
      </c>
    </row>
    <row r="377">
      <c r="A377" s="50" t="n"/>
      <c r="B377" s="51" t="n"/>
      <c r="C377" s="48">
        <f>IF(OR(B377="",B376=""),"",B377/B376-1)</f>
        <v/>
      </c>
      <c r="D377" s="48">
        <f>IF(B377="","",IFERROR(B377/INDEX($B$2:$B$400,MATCH(DATE(YEAR(A377)-1,12,1),$A$2:$A$400,0))-1,""))</f>
        <v/>
      </c>
      <c r="E377" s="48">
        <f>IF(B377="","",IFERROR(B377/INDEX($B$2:$B$400,MATCH(DATE(YEAR(A377)-1,MONTH(A377),1),$A$2:$A$400,0))-1,""))</f>
        <v/>
      </c>
    </row>
    <row r="378">
      <c r="A378" s="50" t="n"/>
      <c r="B378" s="51" t="n"/>
      <c r="C378" s="48">
        <f>IF(OR(B378="",B377=""),"",B378/B377-1)</f>
        <v/>
      </c>
      <c r="D378" s="48">
        <f>IF(B378="","",IFERROR(B378/INDEX($B$2:$B$400,MATCH(DATE(YEAR(A378)-1,12,1),$A$2:$A$400,0))-1,""))</f>
        <v/>
      </c>
      <c r="E378" s="48">
        <f>IF(B378="","",IFERROR(B378/INDEX($B$2:$B$400,MATCH(DATE(YEAR(A378)-1,MONTH(A378),1),$A$2:$A$400,0))-1,""))</f>
        <v/>
      </c>
    </row>
    <row r="379">
      <c r="A379" s="50" t="n"/>
      <c r="B379" s="51" t="n"/>
      <c r="C379" s="48">
        <f>IF(OR(B379="",B378=""),"",B379/B378-1)</f>
        <v/>
      </c>
      <c r="D379" s="48">
        <f>IF(B379="","",IFERROR(B379/INDEX($B$2:$B$400,MATCH(DATE(YEAR(A379)-1,12,1),$A$2:$A$400,0))-1,""))</f>
        <v/>
      </c>
      <c r="E379" s="48">
        <f>IF(B379="","",IFERROR(B379/INDEX($B$2:$B$400,MATCH(DATE(YEAR(A379)-1,MONTH(A379),1),$A$2:$A$400,0))-1,""))</f>
        <v/>
      </c>
    </row>
    <row r="380">
      <c r="A380" s="50" t="n"/>
      <c r="B380" s="51" t="n"/>
      <c r="C380" s="48">
        <f>IF(OR(B380="",B379=""),"",B380/B379-1)</f>
        <v/>
      </c>
      <c r="D380" s="48">
        <f>IF(B380="","",IFERROR(B380/INDEX($B$2:$B$400,MATCH(DATE(YEAR(A380)-1,12,1),$A$2:$A$400,0))-1,""))</f>
        <v/>
      </c>
      <c r="E380" s="48">
        <f>IF(B380="","",IFERROR(B380/INDEX($B$2:$B$400,MATCH(DATE(YEAR(A380)-1,MONTH(A380),1),$A$2:$A$400,0))-1,""))</f>
        <v/>
      </c>
    </row>
    <row r="381">
      <c r="A381" s="50" t="n"/>
      <c r="B381" s="51" t="n"/>
      <c r="C381" s="48">
        <f>IF(OR(B381="",B380=""),"",B381/B380-1)</f>
        <v/>
      </c>
      <c r="D381" s="48">
        <f>IF(B381="","",IFERROR(B381/INDEX($B$2:$B$400,MATCH(DATE(YEAR(A381)-1,12,1),$A$2:$A$400,0))-1,""))</f>
        <v/>
      </c>
      <c r="E381" s="48">
        <f>IF(B381="","",IFERROR(B381/INDEX($B$2:$B$400,MATCH(DATE(YEAR(A381)-1,MONTH(A381),1),$A$2:$A$400,0))-1,""))</f>
        <v/>
      </c>
    </row>
    <row r="382">
      <c r="A382" s="50" t="n"/>
      <c r="B382" s="51" t="n"/>
      <c r="C382" s="48">
        <f>IF(OR(B382="",B381=""),"",B382/B381-1)</f>
        <v/>
      </c>
      <c r="D382" s="48">
        <f>IF(B382="","",IFERROR(B382/INDEX($B$2:$B$400,MATCH(DATE(YEAR(A382)-1,12,1),$A$2:$A$400,0))-1,""))</f>
        <v/>
      </c>
      <c r="E382" s="48">
        <f>IF(B382="","",IFERROR(B382/INDEX($B$2:$B$400,MATCH(DATE(YEAR(A382)-1,MONTH(A382),1),$A$2:$A$400,0))-1,""))</f>
        <v/>
      </c>
    </row>
    <row r="383">
      <c r="A383" s="50" t="n"/>
      <c r="B383" s="51" t="n"/>
      <c r="C383" s="48">
        <f>IF(OR(B383="",B382=""),"",B383/B382-1)</f>
        <v/>
      </c>
      <c r="D383" s="48">
        <f>IF(B383="","",IFERROR(B383/INDEX($B$2:$B$400,MATCH(DATE(YEAR(A383)-1,12,1),$A$2:$A$400,0))-1,""))</f>
        <v/>
      </c>
      <c r="E383" s="48">
        <f>IF(B383="","",IFERROR(B383/INDEX($B$2:$B$400,MATCH(DATE(YEAR(A383)-1,MONTH(A383),1),$A$2:$A$400,0))-1,""))</f>
        <v/>
      </c>
    </row>
    <row r="384">
      <c r="A384" s="50" t="n"/>
      <c r="B384" s="51" t="n"/>
      <c r="C384" s="48">
        <f>IF(OR(B384="",B383=""),"",B384/B383-1)</f>
        <v/>
      </c>
      <c r="D384" s="48">
        <f>IF(B384="","",IFERROR(B384/INDEX($B$2:$B$400,MATCH(DATE(YEAR(A384)-1,12,1),$A$2:$A$400,0))-1,""))</f>
        <v/>
      </c>
      <c r="E384" s="48">
        <f>IF(B384="","",IFERROR(B384/INDEX($B$2:$B$400,MATCH(DATE(YEAR(A384)-1,MONTH(A384),1),$A$2:$A$400,0))-1,""))</f>
        <v/>
      </c>
    </row>
    <row r="385">
      <c r="A385" s="50" t="n"/>
      <c r="B385" s="51" t="n"/>
      <c r="C385" s="48">
        <f>IF(OR(B385="",B384=""),"",B385/B384-1)</f>
        <v/>
      </c>
      <c r="D385" s="48">
        <f>IF(B385="","",IFERROR(B385/INDEX($B$2:$B$400,MATCH(DATE(YEAR(A385)-1,12,1),$A$2:$A$400,0))-1,""))</f>
        <v/>
      </c>
      <c r="E385" s="48">
        <f>IF(B385="","",IFERROR(B385/INDEX($B$2:$B$400,MATCH(DATE(YEAR(A385)-1,MONTH(A385),1),$A$2:$A$400,0))-1,""))</f>
        <v/>
      </c>
    </row>
    <row r="386">
      <c r="A386" s="50" t="n"/>
      <c r="B386" s="51" t="n"/>
      <c r="C386" s="48">
        <f>IF(OR(B386="",B385=""),"",B386/B385-1)</f>
        <v/>
      </c>
      <c r="D386" s="48">
        <f>IF(B386="","",IFERROR(B386/INDEX($B$2:$B$400,MATCH(DATE(YEAR(A386)-1,12,1),$A$2:$A$400,0))-1,""))</f>
        <v/>
      </c>
      <c r="E386" s="48">
        <f>IF(B386="","",IFERROR(B386/INDEX($B$2:$B$400,MATCH(DATE(YEAR(A386)-1,MONTH(A386),1),$A$2:$A$400,0))-1,""))</f>
        <v/>
      </c>
    </row>
    <row r="387">
      <c r="A387" s="50" t="n"/>
      <c r="B387" s="51" t="n"/>
      <c r="C387" s="48">
        <f>IF(OR(B387="",B386=""),"",B387/B386-1)</f>
        <v/>
      </c>
      <c r="D387" s="48">
        <f>IF(B387="","",IFERROR(B387/INDEX($B$2:$B$400,MATCH(DATE(YEAR(A387)-1,12,1),$A$2:$A$400,0))-1,""))</f>
        <v/>
      </c>
      <c r="E387" s="48">
        <f>IF(B387="","",IFERROR(B387/INDEX($B$2:$B$400,MATCH(DATE(YEAR(A387)-1,MONTH(A387),1),$A$2:$A$400,0))-1,""))</f>
        <v/>
      </c>
    </row>
    <row r="388">
      <c r="A388" s="50" t="n"/>
      <c r="B388" s="51" t="n"/>
      <c r="C388" s="48">
        <f>IF(OR(B388="",B387=""),"",B388/B387-1)</f>
        <v/>
      </c>
      <c r="D388" s="48">
        <f>IF(B388="","",IFERROR(B388/INDEX($B$2:$B$400,MATCH(DATE(YEAR(A388)-1,12,1),$A$2:$A$400,0))-1,""))</f>
        <v/>
      </c>
      <c r="E388" s="48">
        <f>IF(B388="","",IFERROR(B388/INDEX($B$2:$B$400,MATCH(DATE(YEAR(A388)-1,MONTH(A388),1),$A$2:$A$400,0))-1,""))</f>
        <v/>
      </c>
    </row>
    <row r="389">
      <c r="A389" s="50" t="n"/>
      <c r="B389" s="51" t="n"/>
      <c r="C389" s="48">
        <f>IF(OR(B389="",B388=""),"",B389/B388-1)</f>
        <v/>
      </c>
      <c r="D389" s="48">
        <f>IF(B389="","",IFERROR(B389/INDEX($B$2:$B$400,MATCH(DATE(YEAR(A389)-1,12,1),$A$2:$A$400,0))-1,""))</f>
        <v/>
      </c>
      <c r="E389" s="48">
        <f>IF(B389="","",IFERROR(B389/INDEX($B$2:$B$400,MATCH(DATE(YEAR(A389)-1,MONTH(A389),1),$A$2:$A$400,0))-1,""))</f>
        <v/>
      </c>
    </row>
    <row r="390">
      <c r="A390" s="50" t="n"/>
      <c r="B390" s="51" t="n"/>
      <c r="C390" s="48">
        <f>IF(OR(B390="",B389=""),"",B390/B389-1)</f>
        <v/>
      </c>
      <c r="D390" s="48">
        <f>IF(B390="","",IFERROR(B390/INDEX($B$2:$B$400,MATCH(DATE(YEAR(A390)-1,12,1),$A$2:$A$400,0))-1,""))</f>
        <v/>
      </c>
      <c r="E390" s="48">
        <f>IF(B390="","",IFERROR(B390/INDEX($B$2:$B$400,MATCH(DATE(YEAR(A390)-1,MONTH(A390),1),$A$2:$A$400,0))-1,""))</f>
        <v/>
      </c>
    </row>
    <row r="391">
      <c r="A391" s="50" t="n"/>
      <c r="B391" s="51" t="n"/>
      <c r="C391" s="48">
        <f>IF(OR(B391="",B390=""),"",B391/B390-1)</f>
        <v/>
      </c>
      <c r="D391" s="48">
        <f>IF(B391="","",IFERROR(B391/INDEX($B$2:$B$400,MATCH(DATE(YEAR(A391)-1,12,1),$A$2:$A$400,0))-1,""))</f>
        <v/>
      </c>
      <c r="E391" s="48">
        <f>IF(B391="","",IFERROR(B391/INDEX($B$2:$B$400,MATCH(DATE(YEAR(A391)-1,MONTH(A391),1),$A$2:$A$400,0))-1,""))</f>
        <v/>
      </c>
    </row>
    <row r="392">
      <c r="A392" s="50" t="n"/>
      <c r="B392" s="51" t="n"/>
      <c r="C392" s="48">
        <f>IF(OR(B392="",B391=""),"",B392/B391-1)</f>
        <v/>
      </c>
      <c r="D392" s="48">
        <f>IF(B392="","",IFERROR(B392/INDEX($B$2:$B$400,MATCH(DATE(YEAR(A392)-1,12,1),$A$2:$A$400,0))-1,""))</f>
        <v/>
      </c>
      <c r="E392" s="48">
        <f>IF(B392="","",IFERROR(B392/INDEX($B$2:$B$400,MATCH(DATE(YEAR(A392)-1,MONTH(A392),1),$A$2:$A$400,0))-1,""))</f>
        <v/>
      </c>
    </row>
    <row r="393">
      <c r="A393" s="50" t="n"/>
      <c r="B393" s="51" t="n"/>
      <c r="C393" s="48">
        <f>IF(OR(B393="",B392=""),"",B393/B392-1)</f>
        <v/>
      </c>
      <c r="D393" s="48">
        <f>IF(B393="","",IFERROR(B393/INDEX($B$2:$B$400,MATCH(DATE(YEAR(A393)-1,12,1),$A$2:$A$400,0))-1,""))</f>
        <v/>
      </c>
      <c r="E393" s="48">
        <f>IF(B393="","",IFERROR(B393/INDEX($B$2:$B$400,MATCH(DATE(YEAR(A393)-1,MONTH(A393),1),$A$2:$A$400,0))-1,""))</f>
        <v/>
      </c>
    </row>
    <row r="394">
      <c r="A394" s="50" t="n"/>
      <c r="B394" s="51" t="n"/>
      <c r="C394" s="48">
        <f>IF(OR(B394="",B393=""),"",B394/B393-1)</f>
        <v/>
      </c>
      <c r="D394" s="48">
        <f>IF(B394="","",IFERROR(B394/INDEX($B$2:$B$400,MATCH(DATE(YEAR(A394)-1,12,1),$A$2:$A$400,0))-1,""))</f>
        <v/>
      </c>
      <c r="E394" s="48">
        <f>IF(B394="","",IFERROR(B394/INDEX($B$2:$B$400,MATCH(DATE(YEAR(A394)-1,MONTH(A394),1),$A$2:$A$400,0))-1,""))</f>
        <v/>
      </c>
    </row>
    <row r="395">
      <c r="A395" s="50" t="n"/>
      <c r="B395" s="51" t="n"/>
      <c r="C395" s="48">
        <f>IF(OR(B395="",B394=""),"",B395/B394-1)</f>
        <v/>
      </c>
      <c r="D395" s="48">
        <f>IF(B395="","",IFERROR(B395/INDEX($B$2:$B$400,MATCH(DATE(YEAR(A395)-1,12,1),$A$2:$A$400,0))-1,""))</f>
        <v/>
      </c>
      <c r="E395" s="48">
        <f>IF(B395="","",IFERROR(B395/INDEX($B$2:$B$400,MATCH(DATE(YEAR(A395)-1,MONTH(A395),1),$A$2:$A$400,0))-1,""))</f>
        <v/>
      </c>
    </row>
    <row r="396">
      <c r="A396" s="50" t="n"/>
      <c r="B396" s="51" t="n"/>
      <c r="C396" s="48">
        <f>IF(OR(B396="",B395=""),"",B396/B395-1)</f>
        <v/>
      </c>
      <c r="D396" s="48">
        <f>IF(B396="","",IFERROR(B396/INDEX($B$2:$B$400,MATCH(DATE(YEAR(A396)-1,12,1),$A$2:$A$400,0))-1,""))</f>
        <v/>
      </c>
      <c r="E396" s="48">
        <f>IF(B396="","",IFERROR(B396/INDEX($B$2:$B$400,MATCH(DATE(YEAR(A396)-1,MONTH(A396),1),$A$2:$A$400,0))-1,""))</f>
        <v/>
      </c>
    </row>
    <row r="397">
      <c r="A397" s="50" t="n"/>
      <c r="B397" s="51" t="n"/>
      <c r="C397" s="48">
        <f>IF(OR(B397="",B396=""),"",B397/B396-1)</f>
        <v/>
      </c>
      <c r="D397" s="48">
        <f>IF(B397="","",IFERROR(B397/INDEX($B$2:$B$400,MATCH(DATE(YEAR(A397)-1,12,1),$A$2:$A$400,0))-1,""))</f>
        <v/>
      </c>
      <c r="E397" s="48">
        <f>IF(B397="","",IFERROR(B397/INDEX($B$2:$B$400,MATCH(DATE(YEAR(A397)-1,MONTH(A397),1),$A$2:$A$400,0))-1,""))</f>
        <v/>
      </c>
    </row>
    <row r="398">
      <c r="A398" s="50" t="n"/>
      <c r="B398" s="51" t="n"/>
      <c r="C398" s="48">
        <f>IF(OR(B398="",B397=""),"",B398/B397-1)</f>
        <v/>
      </c>
      <c r="D398" s="48">
        <f>IF(B398="","",IFERROR(B398/INDEX($B$2:$B$400,MATCH(DATE(YEAR(A398)-1,12,1),$A$2:$A$400,0))-1,""))</f>
        <v/>
      </c>
      <c r="E398" s="48">
        <f>IF(B398="","",IFERROR(B398/INDEX($B$2:$B$400,MATCH(DATE(YEAR(A398)-1,MONTH(A398),1),$A$2:$A$400,0))-1,""))</f>
        <v/>
      </c>
    </row>
    <row r="399">
      <c r="A399" s="50" t="n"/>
      <c r="B399" s="51" t="n"/>
      <c r="C399" s="48">
        <f>IF(OR(B399="",B398=""),"",B399/B398-1)</f>
        <v/>
      </c>
      <c r="D399" s="48">
        <f>IF(B399="","",IFERROR(B399/INDEX($B$2:$B$400,MATCH(DATE(YEAR(A399)-1,12,1),$A$2:$A$400,0))-1,""))</f>
        <v/>
      </c>
      <c r="E399" s="48">
        <f>IF(B399="","",IFERROR(B399/INDEX($B$2:$B$400,MATCH(DATE(YEAR(A399)-1,MONTH(A399),1),$A$2:$A$400,0))-1,""))</f>
        <v/>
      </c>
    </row>
    <row r="400">
      <c r="A400" s="50" t="n"/>
      <c r="B400" s="51" t="n"/>
      <c r="C400" s="48">
        <f>IF(OR(B400="",B399=""),"",B400/B399-1)</f>
        <v/>
      </c>
      <c r="D400" s="48">
        <f>IF(B400="","",IFERROR(B400/INDEX($B$2:$B$400,MATCH(DATE(YEAR(A400)-1,12,1),$A$2:$A$400,0))-1,""))</f>
        <v/>
      </c>
      <c r="E400" s="48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ES944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31/07/2026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77.3</v>
      </c>
      <c r="BG246" s="2" t="n">
        <v>75.23</v>
      </c>
      <c r="BH246" s="2" t="n">
        <v>94.62</v>
      </c>
      <c r="BI246" s="2" t="n">
        <v>83.42</v>
      </c>
      <c r="BJ246" s="2" t="n">
        <v>75.23</v>
      </c>
      <c r="BK246" s="2" t="n">
        <v>97.06999999999999</v>
      </c>
      <c r="BL246" s="2" t="n">
        <v>93.56999999999999</v>
      </c>
      <c r="BM246" s="2" t="n">
        <v>75.23</v>
      </c>
      <c r="BN246" s="2" t="n">
        <v>97.06999999999999</v>
      </c>
      <c r="BO246" s="2" t="n">
        <v>96.31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16/11/2026</t>
        </is>
      </c>
      <c r="E264" s="2" t="inlineStr">
        <is>
          <t>06/01/2027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0</v>
      </c>
      <c r="BG264" s="2" t="n">
        <v>0</v>
      </c>
      <c r="BH264" s="2" t="n">
        <v>86.20999999999999</v>
      </c>
      <c r="BI264" s="2" t="n">
        <v>34.48</v>
      </c>
      <c r="BJ264" s="2" t="n">
        <v>0</v>
      </c>
      <c r="BK264" s="2" t="n">
        <v>100</v>
      </c>
      <c r="BL264" s="2" t="n">
        <v>89.66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16/11/2026</t>
        </is>
      </c>
      <c r="E265" s="2" t="inlineStr">
        <is>
          <t>06/01/2027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0</v>
      </c>
      <c r="BG265" s="2" t="n">
        <v>0</v>
      </c>
      <c r="BH265" s="2" t="n">
        <v>86.20999999999999</v>
      </c>
      <c r="BI265" s="2" t="n">
        <v>34.48</v>
      </c>
      <c r="BJ265" s="2" t="n">
        <v>0</v>
      </c>
      <c r="BK265" s="2" t="n">
        <v>100</v>
      </c>
      <c r="BL265" s="2" t="n">
        <v>89.66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16/11/2026</t>
        </is>
      </c>
      <c r="E266" s="2" t="inlineStr">
        <is>
          <t>06/01/2027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0</v>
      </c>
      <c r="BG266" s="2" t="n">
        <v>0</v>
      </c>
      <c r="BH266" s="2" t="n">
        <v>86.20999999999999</v>
      </c>
      <c r="BI266" s="2" t="n">
        <v>34.48</v>
      </c>
      <c r="BJ266" s="2" t="n">
        <v>0</v>
      </c>
      <c r="BK266" s="2" t="n">
        <v>100</v>
      </c>
      <c r="BL266" s="2" t="n">
        <v>89.66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16/11/2026</t>
        </is>
      </c>
      <c r="E267" s="2" t="inlineStr">
        <is>
          <t>06/01/2027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0</v>
      </c>
      <c r="BG267" s="2" t="n">
        <v>0</v>
      </c>
      <c r="BH267" s="2" t="n">
        <v>86.20999999999999</v>
      </c>
      <c r="BI267" s="2" t="n">
        <v>34.48</v>
      </c>
      <c r="BJ267" s="2" t="n">
        <v>0</v>
      </c>
      <c r="BK267" s="2" t="n">
        <v>100</v>
      </c>
      <c r="BL267" s="2" t="n">
        <v>89.66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14/12/2026</t>
        </is>
      </c>
      <c r="E268" s="2" t="inlineStr">
        <is>
          <t>23/02/2027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0</v>
      </c>
      <c r="BJ268" s="2" t="n">
        <v>0</v>
      </c>
      <c r="BK268" s="2" t="n">
        <v>100</v>
      </c>
      <c r="BL268" s="2" t="n">
        <v>17.78</v>
      </c>
      <c r="BM268" s="2" t="n">
        <v>0</v>
      </c>
      <c r="BN268" s="2" t="n">
        <v>100</v>
      </c>
      <c r="BO268" s="2" t="n">
        <v>62.22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14/12/2026</t>
        </is>
      </c>
      <c r="E269" s="2" t="inlineStr">
        <is>
          <t>23/02/2027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0</v>
      </c>
      <c r="BJ269" s="2" t="n">
        <v>0</v>
      </c>
      <c r="BK269" s="2" t="n">
        <v>100</v>
      </c>
      <c r="BL269" s="2" t="n">
        <v>17.78</v>
      </c>
      <c r="BM269" s="2" t="n">
        <v>0</v>
      </c>
      <c r="BN269" s="2" t="n">
        <v>100</v>
      </c>
      <c r="BO269" s="2" t="n">
        <v>62.22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14/12/2026</t>
        </is>
      </c>
      <c r="E270" s="2" t="inlineStr">
        <is>
          <t>23/02/2027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0</v>
      </c>
      <c r="BJ270" s="2" t="n">
        <v>0</v>
      </c>
      <c r="BK270" s="2" t="n">
        <v>100</v>
      </c>
      <c r="BL270" s="2" t="n">
        <v>17.78</v>
      </c>
      <c r="BM270" s="2" t="n">
        <v>0</v>
      </c>
      <c r="BN270" s="2" t="n">
        <v>100</v>
      </c>
      <c r="BO270" s="2" t="n">
        <v>62.22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13/11/2026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87.27</v>
      </c>
      <c r="BD275" s="2" t="n">
        <v>86</v>
      </c>
      <c r="BE275" s="2" t="n">
        <v>100</v>
      </c>
      <c r="BF275" s="2" t="n">
        <v>96.18000000000001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13/11/2026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87.27</v>
      </c>
      <c r="BD276" s="2" t="n">
        <v>86</v>
      </c>
      <c r="BE276" s="2" t="n">
        <v>100</v>
      </c>
      <c r="BF276" s="2" t="n">
        <v>96.18000000000001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13/11/2026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87.27</v>
      </c>
      <c r="BD277" s="2" t="n">
        <v>86</v>
      </c>
      <c r="BE277" s="2" t="n">
        <v>100</v>
      </c>
      <c r="BF277" s="2" t="n">
        <v>96.18000000000001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13/11/2026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87.27</v>
      </c>
      <c r="BD278" s="2" t="n">
        <v>86</v>
      </c>
      <c r="BE278" s="2" t="n">
        <v>100</v>
      </c>
      <c r="BF278" s="2" t="n">
        <v>96.18000000000001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13/11/2026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87.27</v>
      </c>
      <c r="BD279" s="2" t="n">
        <v>86</v>
      </c>
      <c r="BE279" s="2" t="n">
        <v>100</v>
      </c>
      <c r="BF279" s="2" t="n">
        <v>96.18000000000001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13/11/2026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87.27</v>
      </c>
      <c r="BD280" s="2" t="n">
        <v>86</v>
      </c>
      <c r="BE280" s="2" t="n">
        <v>100</v>
      </c>
      <c r="BF280" s="2" t="n">
        <v>96.18000000000001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13/11/2026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87.27</v>
      </c>
      <c r="BD281" s="2" t="n">
        <v>86</v>
      </c>
      <c r="BE281" s="2" t="n">
        <v>100</v>
      </c>
      <c r="BF281" s="2" t="n">
        <v>96.18000000000001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13/11/2026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87.27</v>
      </c>
      <c r="BD282" s="2" t="n">
        <v>86</v>
      </c>
      <c r="BE282" s="2" t="n">
        <v>100</v>
      </c>
      <c r="BF282" s="2" t="n">
        <v>96.18000000000001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13/11/2026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87.27</v>
      </c>
      <c r="BD283" s="2" t="n">
        <v>86</v>
      </c>
      <c r="BE283" s="2" t="n">
        <v>100</v>
      </c>
      <c r="BF283" s="2" t="n">
        <v>96.18000000000001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13/11/2026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87.27</v>
      </c>
      <c r="BD284" s="2" t="n">
        <v>86</v>
      </c>
      <c r="BE284" s="2" t="n">
        <v>100</v>
      </c>
      <c r="BF284" s="2" t="n">
        <v>96.18000000000001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13/11/2026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87.27</v>
      </c>
      <c r="BD285" s="2" t="n">
        <v>86</v>
      </c>
      <c r="BE285" s="2" t="n">
        <v>100</v>
      </c>
      <c r="BF285" s="2" t="n">
        <v>96.18000000000001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16/12/2027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77.44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94.20999999999999</v>
      </c>
      <c r="CQ317" s="2" t="n">
        <v>76.66</v>
      </c>
      <c r="CR317" s="2" t="n">
        <v>95.54000000000001</v>
      </c>
      <c r="CS317" s="2" t="n">
        <v>97.95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05/03/2027</t>
        </is>
      </c>
      <c r="E330" s="2" t="inlineStr">
        <is>
          <t>22/03/2027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0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05/03/2027</t>
        </is>
      </c>
      <c r="E331" s="2" t="inlineStr">
        <is>
          <t>22/03/2027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0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05/03/2027</t>
        </is>
      </c>
      <c r="E332" s="2" t="inlineStr">
        <is>
          <t>22/03/2027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0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05/03/2027</t>
        </is>
      </c>
      <c r="E333" s="2" t="inlineStr">
        <is>
          <t>22/03/2027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0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05/03/2027</t>
        </is>
      </c>
      <c r="E334" s="2" t="inlineStr">
        <is>
          <t>22/03/2027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0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05/03/2027</t>
        </is>
      </c>
      <c r="E335" s="2" t="inlineStr">
        <is>
          <t>22/03/2027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0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05/03/2027</t>
        </is>
      </c>
      <c r="E336" s="2" t="inlineStr">
        <is>
          <t>22/03/2027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0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28/10/2027</t>
        </is>
      </c>
      <c r="E337" s="2" t="inlineStr">
        <is>
          <t>16/12/2027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6.06</v>
      </c>
      <c r="CQ337" s="2" t="n">
        <v>0</v>
      </c>
      <c r="CR337" s="2" t="n">
        <v>84.84999999999999</v>
      </c>
      <c r="CS337" s="2" t="n">
        <v>66.67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28/10/2027</t>
        </is>
      </c>
      <c r="E338" s="2" t="inlineStr">
        <is>
          <t>16/12/2027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6.06</v>
      </c>
      <c r="CQ338" s="2" t="n">
        <v>0</v>
      </c>
      <c r="CR338" s="2" t="n">
        <v>84.84999999999999</v>
      </c>
      <c r="CS338" s="2" t="n">
        <v>66.67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4.71</v>
      </c>
      <c r="BB339" s="2" t="n">
        <v>0</v>
      </c>
      <c r="BC339" s="2" t="n">
        <v>14.82</v>
      </c>
      <c r="BD339" s="2" t="n">
        <v>4.71</v>
      </c>
      <c r="BE339" s="2" t="n">
        <v>0</v>
      </c>
      <c r="BF339" s="2" t="n">
        <v>20.19</v>
      </c>
      <c r="BG339" s="2" t="n">
        <v>4.71</v>
      </c>
      <c r="BH339" s="2" t="n">
        <v>0</v>
      </c>
      <c r="BI339" s="2" t="n">
        <v>25.29</v>
      </c>
      <c r="BJ339" s="2" t="n">
        <v>4.71</v>
      </c>
      <c r="BK339" s="2" t="n">
        <v>0</v>
      </c>
      <c r="BL339" s="2" t="n">
        <v>29.8</v>
      </c>
      <c r="BM339" s="2" t="n">
        <v>4.71</v>
      </c>
      <c r="BN339" s="2" t="n">
        <v>0</v>
      </c>
      <c r="BO339" s="2" t="n">
        <v>36.05</v>
      </c>
      <c r="BP339" s="2" t="n">
        <v>4.71</v>
      </c>
      <c r="BQ339" s="2" t="n">
        <v>0</v>
      </c>
      <c r="BR339" s="2" t="n">
        <v>40.96</v>
      </c>
      <c r="BS339" s="2" t="n">
        <v>4.71</v>
      </c>
      <c r="BT339" s="2" t="n">
        <v>0</v>
      </c>
      <c r="BU339" s="2" t="n">
        <v>46.13</v>
      </c>
      <c r="BV339" s="2" t="n">
        <v>4.71</v>
      </c>
      <c r="BW339" s="2" t="n">
        <v>0</v>
      </c>
      <c r="BX339" s="2" t="n">
        <v>52.15</v>
      </c>
      <c r="BY339" s="2" t="n">
        <v>4.71</v>
      </c>
      <c r="BZ339" s="2" t="n">
        <v>0</v>
      </c>
      <c r="CA339" s="2" t="n">
        <v>58.09</v>
      </c>
      <c r="CB339" s="2" t="n">
        <v>4.71</v>
      </c>
      <c r="CC339" s="2" t="n">
        <v>0</v>
      </c>
      <c r="CD339" s="2" t="n">
        <v>64.66</v>
      </c>
      <c r="CE339" s="2" t="n">
        <v>4.71</v>
      </c>
      <c r="CF339" s="2" t="n">
        <v>0</v>
      </c>
      <c r="CG339" s="2" t="n">
        <v>70.45</v>
      </c>
      <c r="CH339" s="2" t="n">
        <v>4.71</v>
      </c>
      <c r="CI339" s="2" t="n">
        <v>0</v>
      </c>
      <c r="CJ339" s="2" t="n">
        <v>76.94</v>
      </c>
      <c r="CK339" s="2" t="n">
        <v>4.71</v>
      </c>
      <c r="CL339" s="2" t="n">
        <v>0</v>
      </c>
      <c r="CM339" s="2" t="n">
        <v>82.63</v>
      </c>
      <c r="CN339" s="2" t="n">
        <v>4.71</v>
      </c>
      <c r="CO339" s="2" t="n">
        <v>0</v>
      </c>
      <c r="CP339" s="2" t="n">
        <v>88.36</v>
      </c>
      <c r="CQ339" s="2" t="n">
        <v>4.71</v>
      </c>
      <c r="CR339" s="2" t="n">
        <v>0</v>
      </c>
      <c r="CS339" s="2" t="n">
        <v>93.31</v>
      </c>
      <c r="CT339" s="2" t="n">
        <v>4.71</v>
      </c>
      <c r="CU339" s="2" t="n">
        <v>0</v>
      </c>
      <c r="CV339" s="2" t="n">
        <v>96.62</v>
      </c>
      <c r="CW339" s="2" t="n">
        <v>4.71</v>
      </c>
      <c r="CX339" s="2" t="n">
        <v>0</v>
      </c>
      <c r="CY339" s="2" t="n">
        <v>99.08</v>
      </c>
      <c r="CZ339" s="2" t="n">
        <v>4.71</v>
      </c>
      <c r="DA339" s="2" t="n">
        <v>0</v>
      </c>
      <c r="DB339" s="2" t="n">
        <v>100</v>
      </c>
      <c r="DC339" s="2" t="n">
        <v>4.71</v>
      </c>
      <c r="DD339" s="2" t="n">
        <v>0</v>
      </c>
      <c r="DE339" s="2" t="n">
        <v>100</v>
      </c>
      <c r="DF339" s="2" t="n">
        <v>4.71</v>
      </c>
      <c r="DG339" s="2" t="n">
        <v>0</v>
      </c>
      <c r="DH339" s="2" t="n">
        <v>100</v>
      </c>
      <c r="DI339" s="2" t="n">
        <v>4.71</v>
      </c>
      <c r="DJ339" s="2" t="n">
        <v>0</v>
      </c>
      <c r="DK339" s="2" t="n">
        <v>100</v>
      </c>
      <c r="DL339" s="2" t="n">
        <v>4.71</v>
      </c>
      <c r="DM339" s="2" t="n">
        <v>0</v>
      </c>
      <c r="DN339" s="2" t="n">
        <v>100</v>
      </c>
      <c r="DO339" s="2" t="n">
        <v>4.71</v>
      </c>
      <c r="DP339" s="2" t="n">
        <v>0</v>
      </c>
      <c r="DQ339" s="2" t="n">
        <v>100</v>
      </c>
      <c r="DR339" s="2" t="n">
        <v>4.71</v>
      </c>
      <c r="DS339" s="2" t="n">
        <v>0</v>
      </c>
      <c r="DT339" s="2" t="n">
        <v>100</v>
      </c>
      <c r="DU339" s="2" t="n">
        <v>4.71</v>
      </c>
      <c r="DV339" s="2" t="n">
        <v>0</v>
      </c>
      <c r="DW339" s="2" t="n">
        <v>100</v>
      </c>
      <c r="DX339" s="2" t="n">
        <v>4.71</v>
      </c>
      <c r="DY339" s="2" t="n">
        <v>0</v>
      </c>
      <c r="DZ339" s="2" t="n">
        <v>100</v>
      </c>
      <c r="EA339" s="2" t="n">
        <v>4.71</v>
      </c>
      <c r="EB339" s="2" t="n">
        <v>0</v>
      </c>
      <c r="EC339" s="2" t="n">
        <v>100</v>
      </c>
      <c r="ED339" s="2" t="n">
        <v>4.71</v>
      </c>
      <c r="EE339" s="2" t="n">
        <v>0</v>
      </c>
      <c r="EF339" s="2" t="n">
        <v>100</v>
      </c>
      <c r="EG339" s="2" t="n">
        <v>4.71</v>
      </c>
      <c r="EH339" s="2" t="n">
        <v>0</v>
      </c>
      <c r="EI339" s="2" t="n">
        <v>100</v>
      </c>
      <c r="EJ339" s="2" t="n">
        <v>4.71</v>
      </c>
      <c r="EK339" s="2" t="n">
        <v>0</v>
      </c>
      <c r="EL339" s="2" t="n">
        <v>100</v>
      </c>
      <c r="EM339" s="2" t="n">
        <v>4.71</v>
      </c>
      <c r="EN339" s="2" t="n">
        <v>0</v>
      </c>
      <c r="EO339" s="2" t="n">
        <v>100</v>
      </c>
      <c r="EP339" s="2" t="n">
        <v>4.71</v>
      </c>
      <c r="EQ339" s="2" t="n">
        <v>0</v>
      </c>
      <c r="ER339" s="2" t="n">
        <v>100</v>
      </c>
      <c r="ES339" s="2" t="n">
        <v>4.71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4.71</v>
      </c>
      <c r="BB340" s="2" t="n">
        <v>0</v>
      </c>
      <c r="BC340" s="2" t="n">
        <v>14.82</v>
      </c>
      <c r="BD340" s="2" t="n">
        <v>4.71</v>
      </c>
      <c r="BE340" s="2" t="n">
        <v>0</v>
      </c>
      <c r="BF340" s="2" t="n">
        <v>20.19</v>
      </c>
      <c r="BG340" s="2" t="n">
        <v>4.71</v>
      </c>
      <c r="BH340" s="2" t="n">
        <v>0</v>
      </c>
      <c r="BI340" s="2" t="n">
        <v>25.29</v>
      </c>
      <c r="BJ340" s="2" t="n">
        <v>4.71</v>
      </c>
      <c r="BK340" s="2" t="n">
        <v>0</v>
      </c>
      <c r="BL340" s="2" t="n">
        <v>29.8</v>
      </c>
      <c r="BM340" s="2" t="n">
        <v>4.71</v>
      </c>
      <c r="BN340" s="2" t="n">
        <v>0</v>
      </c>
      <c r="BO340" s="2" t="n">
        <v>36.05</v>
      </c>
      <c r="BP340" s="2" t="n">
        <v>4.71</v>
      </c>
      <c r="BQ340" s="2" t="n">
        <v>0</v>
      </c>
      <c r="BR340" s="2" t="n">
        <v>40.96</v>
      </c>
      <c r="BS340" s="2" t="n">
        <v>4.71</v>
      </c>
      <c r="BT340" s="2" t="n">
        <v>0</v>
      </c>
      <c r="BU340" s="2" t="n">
        <v>46.13</v>
      </c>
      <c r="BV340" s="2" t="n">
        <v>4.71</v>
      </c>
      <c r="BW340" s="2" t="n">
        <v>0</v>
      </c>
      <c r="BX340" s="2" t="n">
        <v>52.15</v>
      </c>
      <c r="BY340" s="2" t="n">
        <v>4.71</v>
      </c>
      <c r="BZ340" s="2" t="n">
        <v>0</v>
      </c>
      <c r="CA340" s="2" t="n">
        <v>58.09</v>
      </c>
      <c r="CB340" s="2" t="n">
        <v>4.71</v>
      </c>
      <c r="CC340" s="2" t="n">
        <v>0</v>
      </c>
      <c r="CD340" s="2" t="n">
        <v>64.66</v>
      </c>
      <c r="CE340" s="2" t="n">
        <v>4.71</v>
      </c>
      <c r="CF340" s="2" t="n">
        <v>0</v>
      </c>
      <c r="CG340" s="2" t="n">
        <v>70.45</v>
      </c>
      <c r="CH340" s="2" t="n">
        <v>4.71</v>
      </c>
      <c r="CI340" s="2" t="n">
        <v>0</v>
      </c>
      <c r="CJ340" s="2" t="n">
        <v>76.94</v>
      </c>
      <c r="CK340" s="2" t="n">
        <v>4.71</v>
      </c>
      <c r="CL340" s="2" t="n">
        <v>0</v>
      </c>
      <c r="CM340" s="2" t="n">
        <v>82.63</v>
      </c>
      <c r="CN340" s="2" t="n">
        <v>4.71</v>
      </c>
      <c r="CO340" s="2" t="n">
        <v>0</v>
      </c>
      <c r="CP340" s="2" t="n">
        <v>88.36</v>
      </c>
      <c r="CQ340" s="2" t="n">
        <v>4.71</v>
      </c>
      <c r="CR340" s="2" t="n">
        <v>0</v>
      </c>
      <c r="CS340" s="2" t="n">
        <v>93.31</v>
      </c>
      <c r="CT340" s="2" t="n">
        <v>4.71</v>
      </c>
      <c r="CU340" s="2" t="n">
        <v>0</v>
      </c>
      <c r="CV340" s="2" t="n">
        <v>96.62</v>
      </c>
      <c r="CW340" s="2" t="n">
        <v>4.71</v>
      </c>
      <c r="CX340" s="2" t="n">
        <v>0</v>
      </c>
      <c r="CY340" s="2" t="n">
        <v>99.08</v>
      </c>
      <c r="CZ340" s="2" t="n">
        <v>4.71</v>
      </c>
      <c r="DA340" s="2" t="n">
        <v>0</v>
      </c>
      <c r="DB340" s="2" t="n">
        <v>100</v>
      </c>
      <c r="DC340" s="2" t="n">
        <v>4.71</v>
      </c>
      <c r="DD340" s="2" t="n">
        <v>0</v>
      </c>
      <c r="DE340" s="2" t="n">
        <v>100</v>
      </c>
      <c r="DF340" s="2" t="n">
        <v>4.71</v>
      </c>
      <c r="DG340" s="2" t="n">
        <v>0</v>
      </c>
      <c r="DH340" s="2" t="n">
        <v>100</v>
      </c>
      <c r="DI340" s="2" t="n">
        <v>4.71</v>
      </c>
      <c r="DJ340" s="2" t="n">
        <v>0</v>
      </c>
      <c r="DK340" s="2" t="n">
        <v>100</v>
      </c>
      <c r="DL340" s="2" t="n">
        <v>4.71</v>
      </c>
      <c r="DM340" s="2" t="n">
        <v>0</v>
      </c>
      <c r="DN340" s="2" t="n">
        <v>100</v>
      </c>
      <c r="DO340" s="2" t="n">
        <v>4.71</v>
      </c>
      <c r="DP340" s="2" t="n">
        <v>0</v>
      </c>
      <c r="DQ340" s="2" t="n">
        <v>100</v>
      </c>
      <c r="DR340" s="2" t="n">
        <v>4.71</v>
      </c>
      <c r="DS340" s="2" t="n">
        <v>0</v>
      </c>
      <c r="DT340" s="2" t="n">
        <v>100</v>
      </c>
      <c r="DU340" s="2" t="n">
        <v>4.71</v>
      </c>
      <c r="DV340" s="2" t="n">
        <v>0</v>
      </c>
      <c r="DW340" s="2" t="n">
        <v>100</v>
      </c>
      <c r="DX340" s="2" t="n">
        <v>4.71</v>
      </c>
      <c r="DY340" s="2" t="n">
        <v>0</v>
      </c>
      <c r="DZ340" s="2" t="n">
        <v>100</v>
      </c>
      <c r="EA340" s="2" t="n">
        <v>4.71</v>
      </c>
      <c r="EB340" s="2" t="n">
        <v>0</v>
      </c>
      <c r="EC340" s="2" t="n">
        <v>100</v>
      </c>
      <c r="ED340" s="2" t="n">
        <v>4.71</v>
      </c>
      <c r="EE340" s="2" t="n">
        <v>0</v>
      </c>
      <c r="EF340" s="2" t="n">
        <v>100</v>
      </c>
      <c r="EG340" s="2" t="n">
        <v>4.71</v>
      </c>
      <c r="EH340" s="2" t="n">
        <v>0</v>
      </c>
      <c r="EI340" s="2" t="n">
        <v>100</v>
      </c>
      <c r="EJ340" s="2" t="n">
        <v>4.71</v>
      </c>
      <c r="EK340" s="2" t="n">
        <v>0</v>
      </c>
      <c r="EL340" s="2" t="n">
        <v>100</v>
      </c>
      <c r="EM340" s="2" t="n">
        <v>4.71</v>
      </c>
      <c r="EN340" s="2" t="n">
        <v>0</v>
      </c>
      <c r="EO340" s="2" t="n">
        <v>100</v>
      </c>
      <c r="EP340" s="2" t="n">
        <v>4.71</v>
      </c>
      <c r="EQ340" s="2" t="n">
        <v>0</v>
      </c>
      <c r="ER340" s="2" t="n">
        <v>100</v>
      </c>
      <c r="ES340" s="2" t="n">
        <v>4.71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4.71</v>
      </c>
      <c r="BB341" s="2" t="n">
        <v>0</v>
      </c>
      <c r="BC341" s="2" t="n">
        <v>14.82</v>
      </c>
      <c r="BD341" s="2" t="n">
        <v>4.71</v>
      </c>
      <c r="BE341" s="2" t="n">
        <v>0</v>
      </c>
      <c r="BF341" s="2" t="n">
        <v>20.19</v>
      </c>
      <c r="BG341" s="2" t="n">
        <v>4.71</v>
      </c>
      <c r="BH341" s="2" t="n">
        <v>0</v>
      </c>
      <c r="BI341" s="2" t="n">
        <v>25.29</v>
      </c>
      <c r="BJ341" s="2" t="n">
        <v>4.71</v>
      </c>
      <c r="BK341" s="2" t="n">
        <v>0</v>
      </c>
      <c r="BL341" s="2" t="n">
        <v>29.8</v>
      </c>
      <c r="BM341" s="2" t="n">
        <v>4.71</v>
      </c>
      <c r="BN341" s="2" t="n">
        <v>0</v>
      </c>
      <c r="BO341" s="2" t="n">
        <v>36.05</v>
      </c>
      <c r="BP341" s="2" t="n">
        <v>4.71</v>
      </c>
      <c r="BQ341" s="2" t="n">
        <v>0</v>
      </c>
      <c r="BR341" s="2" t="n">
        <v>40.96</v>
      </c>
      <c r="BS341" s="2" t="n">
        <v>4.71</v>
      </c>
      <c r="BT341" s="2" t="n">
        <v>0</v>
      </c>
      <c r="BU341" s="2" t="n">
        <v>46.13</v>
      </c>
      <c r="BV341" s="2" t="n">
        <v>4.71</v>
      </c>
      <c r="BW341" s="2" t="n">
        <v>0</v>
      </c>
      <c r="BX341" s="2" t="n">
        <v>52.15</v>
      </c>
      <c r="BY341" s="2" t="n">
        <v>4.71</v>
      </c>
      <c r="BZ341" s="2" t="n">
        <v>0</v>
      </c>
      <c r="CA341" s="2" t="n">
        <v>58.09</v>
      </c>
      <c r="CB341" s="2" t="n">
        <v>4.71</v>
      </c>
      <c r="CC341" s="2" t="n">
        <v>0</v>
      </c>
      <c r="CD341" s="2" t="n">
        <v>64.66</v>
      </c>
      <c r="CE341" s="2" t="n">
        <v>4.71</v>
      </c>
      <c r="CF341" s="2" t="n">
        <v>0</v>
      </c>
      <c r="CG341" s="2" t="n">
        <v>70.45</v>
      </c>
      <c r="CH341" s="2" t="n">
        <v>4.71</v>
      </c>
      <c r="CI341" s="2" t="n">
        <v>0</v>
      </c>
      <c r="CJ341" s="2" t="n">
        <v>76.94</v>
      </c>
      <c r="CK341" s="2" t="n">
        <v>4.71</v>
      </c>
      <c r="CL341" s="2" t="n">
        <v>0</v>
      </c>
      <c r="CM341" s="2" t="n">
        <v>82.63</v>
      </c>
      <c r="CN341" s="2" t="n">
        <v>4.71</v>
      </c>
      <c r="CO341" s="2" t="n">
        <v>0</v>
      </c>
      <c r="CP341" s="2" t="n">
        <v>88.36</v>
      </c>
      <c r="CQ341" s="2" t="n">
        <v>4.71</v>
      </c>
      <c r="CR341" s="2" t="n">
        <v>0</v>
      </c>
      <c r="CS341" s="2" t="n">
        <v>93.31</v>
      </c>
      <c r="CT341" s="2" t="n">
        <v>4.71</v>
      </c>
      <c r="CU341" s="2" t="n">
        <v>0</v>
      </c>
      <c r="CV341" s="2" t="n">
        <v>96.62</v>
      </c>
      <c r="CW341" s="2" t="n">
        <v>4.71</v>
      </c>
      <c r="CX341" s="2" t="n">
        <v>0</v>
      </c>
      <c r="CY341" s="2" t="n">
        <v>99.08</v>
      </c>
      <c r="CZ341" s="2" t="n">
        <v>4.71</v>
      </c>
      <c r="DA341" s="2" t="n">
        <v>0</v>
      </c>
      <c r="DB341" s="2" t="n">
        <v>100</v>
      </c>
      <c r="DC341" s="2" t="n">
        <v>4.71</v>
      </c>
      <c r="DD341" s="2" t="n">
        <v>0</v>
      </c>
      <c r="DE341" s="2" t="n">
        <v>100</v>
      </c>
      <c r="DF341" s="2" t="n">
        <v>4.71</v>
      </c>
      <c r="DG341" s="2" t="n">
        <v>0</v>
      </c>
      <c r="DH341" s="2" t="n">
        <v>100</v>
      </c>
      <c r="DI341" s="2" t="n">
        <v>4.71</v>
      </c>
      <c r="DJ341" s="2" t="n">
        <v>0</v>
      </c>
      <c r="DK341" s="2" t="n">
        <v>100</v>
      </c>
      <c r="DL341" s="2" t="n">
        <v>4.71</v>
      </c>
      <c r="DM341" s="2" t="n">
        <v>0</v>
      </c>
      <c r="DN341" s="2" t="n">
        <v>100</v>
      </c>
      <c r="DO341" s="2" t="n">
        <v>4.71</v>
      </c>
      <c r="DP341" s="2" t="n">
        <v>0</v>
      </c>
      <c r="DQ341" s="2" t="n">
        <v>100</v>
      </c>
      <c r="DR341" s="2" t="n">
        <v>4.71</v>
      </c>
      <c r="DS341" s="2" t="n">
        <v>0</v>
      </c>
      <c r="DT341" s="2" t="n">
        <v>100</v>
      </c>
      <c r="DU341" s="2" t="n">
        <v>4.71</v>
      </c>
      <c r="DV341" s="2" t="n">
        <v>0</v>
      </c>
      <c r="DW341" s="2" t="n">
        <v>100</v>
      </c>
      <c r="DX341" s="2" t="n">
        <v>4.71</v>
      </c>
      <c r="DY341" s="2" t="n">
        <v>0</v>
      </c>
      <c r="DZ341" s="2" t="n">
        <v>100</v>
      </c>
      <c r="EA341" s="2" t="n">
        <v>4.71</v>
      </c>
      <c r="EB341" s="2" t="n">
        <v>0</v>
      </c>
      <c r="EC341" s="2" t="n">
        <v>100</v>
      </c>
      <c r="ED341" s="2" t="n">
        <v>4.71</v>
      </c>
      <c r="EE341" s="2" t="n">
        <v>0</v>
      </c>
      <c r="EF341" s="2" t="n">
        <v>100</v>
      </c>
      <c r="EG341" s="2" t="n">
        <v>4.71</v>
      </c>
      <c r="EH341" s="2" t="n">
        <v>0</v>
      </c>
      <c r="EI341" s="2" t="n">
        <v>100</v>
      </c>
      <c r="EJ341" s="2" t="n">
        <v>4.71</v>
      </c>
      <c r="EK341" s="2" t="n">
        <v>0</v>
      </c>
      <c r="EL341" s="2" t="n">
        <v>100</v>
      </c>
      <c r="EM341" s="2" t="n">
        <v>4.71</v>
      </c>
      <c r="EN341" s="2" t="n">
        <v>0</v>
      </c>
      <c r="EO341" s="2" t="n">
        <v>100</v>
      </c>
      <c r="EP341" s="2" t="n">
        <v>4.71</v>
      </c>
      <c r="EQ341" s="2" t="n">
        <v>0</v>
      </c>
      <c r="ER341" s="2" t="n">
        <v>100</v>
      </c>
      <c r="ES341" s="2" t="n">
        <v>4.71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4.71</v>
      </c>
      <c r="BB342" s="2" t="n">
        <v>0</v>
      </c>
      <c r="BC342" s="2" t="n">
        <v>14.82</v>
      </c>
      <c r="BD342" s="2" t="n">
        <v>4.71</v>
      </c>
      <c r="BE342" s="2" t="n">
        <v>0</v>
      </c>
      <c r="BF342" s="2" t="n">
        <v>20.19</v>
      </c>
      <c r="BG342" s="2" t="n">
        <v>4.71</v>
      </c>
      <c r="BH342" s="2" t="n">
        <v>0</v>
      </c>
      <c r="BI342" s="2" t="n">
        <v>25.29</v>
      </c>
      <c r="BJ342" s="2" t="n">
        <v>4.71</v>
      </c>
      <c r="BK342" s="2" t="n">
        <v>0</v>
      </c>
      <c r="BL342" s="2" t="n">
        <v>29.8</v>
      </c>
      <c r="BM342" s="2" t="n">
        <v>4.71</v>
      </c>
      <c r="BN342" s="2" t="n">
        <v>0</v>
      </c>
      <c r="BO342" s="2" t="n">
        <v>36.05</v>
      </c>
      <c r="BP342" s="2" t="n">
        <v>4.71</v>
      </c>
      <c r="BQ342" s="2" t="n">
        <v>0</v>
      </c>
      <c r="BR342" s="2" t="n">
        <v>40.96</v>
      </c>
      <c r="BS342" s="2" t="n">
        <v>4.71</v>
      </c>
      <c r="BT342" s="2" t="n">
        <v>0</v>
      </c>
      <c r="BU342" s="2" t="n">
        <v>46.13</v>
      </c>
      <c r="BV342" s="2" t="n">
        <v>4.71</v>
      </c>
      <c r="BW342" s="2" t="n">
        <v>0</v>
      </c>
      <c r="BX342" s="2" t="n">
        <v>52.15</v>
      </c>
      <c r="BY342" s="2" t="n">
        <v>4.71</v>
      </c>
      <c r="BZ342" s="2" t="n">
        <v>0</v>
      </c>
      <c r="CA342" s="2" t="n">
        <v>58.09</v>
      </c>
      <c r="CB342" s="2" t="n">
        <v>4.71</v>
      </c>
      <c r="CC342" s="2" t="n">
        <v>0</v>
      </c>
      <c r="CD342" s="2" t="n">
        <v>64.66</v>
      </c>
      <c r="CE342" s="2" t="n">
        <v>4.71</v>
      </c>
      <c r="CF342" s="2" t="n">
        <v>0</v>
      </c>
      <c r="CG342" s="2" t="n">
        <v>70.45</v>
      </c>
      <c r="CH342" s="2" t="n">
        <v>4.71</v>
      </c>
      <c r="CI342" s="2" t="n">
        <v>0</v>
      </c>
      <c r="CJ342" s="2" t="n">
        <v>76.94</v>
      </c>
      <c r="CK342" s="2" t="n">
        <v>4.71</v>
      </c>
      <c r="CL342" s="2" t="n">
        <v>0</v>
      </c>
      <c r="CM342" s="2" t="n">
        <v>82.63</v>
      </c>
      <c r="CN342" s="2" t="n">
        <v>4.71</v>
      </c>
      <c r="CO342" s="2" t="n">
        <v>0</v>
      </c>
      <c r="CP342" s="2" t="n">
        <v>88.36</v>
      </c>
      <c r="CQ342" s="2" t="n">
        <v>4.71</v>
      </c>
      <c r="CR342" s="2" t="n">
        <v>0</v>
      </c>
      <c r="CS342" s="2" t="n">
        <v>93.31</v>
      </c>
      <c r="CT342" s="2" t="n">
        <v>4.71</v>
      </c>
      <c r="CU342" s="2" t="n">
        <v>0</v>
      </c>
      <c r="CV342" s="2" t="n">
        <v>96.62</v>
      </c>
      <c r="CW342" s="2" t="n">
        <v>4.71</v>
      </c>
      <c r="CX342" s="2" t="n">
        <v>0</v>
      </c>
      <c r="CY342" s="2" t="n">
        <v>99.08</v>
      </c>
      <c r="CZ342" s="2" t="n">
        <v>4.71</v>
      </c>
      <c r="DA342" s="2" t="n">
        <v>0</v>
      </c>
      <c r="DB342" s="2" t="n">
        <v>100</v>
      </c>
      <c r="DC342" s="2" t="n">
        <v>4.71</v>
      </c>
      <c r="DD342" s="2" t="n">
        <v>0</v>
      </c>
      <c r="DE342" s="2" t="n">
        <v>100</v>
      </c>
      <c r="DF342" s="2" t="n">
        <v>4.71</v>
      </c>
      <c r="DG342" s="2" t="n">
        <v>0</v>
      </c>
      <c r="DH342" s="2" t="n">
        <v>100</v>
      </c>
      <c r="DI342" s="2" t="n">
        <v>4.71</v>
      </c>
      <c r="DJ342" s="2" t="n">
        <v>0</v>
      </c>
      <c r="DK342" s="2" t="n">
        <v>100</v>
      </c>
      <c r="DL342" s="2" t="n">
        <v>4.71</v>
      </c>
      <c r="DM342" s="2" t="n">
        <v>0</v>
      </c>
      <c r="DN342" s="2" t="n">
        <v>100</v>
      </c>
      <c r="DO342" s="2" t="n">
        <v>4.71</v>
      </c>
      <c r="DP342" s="2" t="n">
        <v>0</v>
      </c>
      <c r="DQ342" s="2" t="n">
        <v>100</v>
      </c>
      <c r="DR342" s="2" t="n">
        <v>4.71</v>
      </c>
      <c r="DS342" s="2" t="n">
        <v>0</v>
      </c>
      <c r="DT342" s="2" t="n">
        <v>100</v>
      </c>
      <c r="DU342" s="2" t="n">
        <v>4.71</v>
      </c>
      <c r="DV342" s="2" t="n">
        <v>0</v>
      </c>
      <c r="DW342" s="2" t="n">
        <v>100</v>
      </c>
      <c r="DX342" s="2" t="n">
        <v>4.71</v>
      </c>
      <c r="DY342" s="2" t="n">
        <v>0</v>
      </c>
      <c r="DZ342" s="2" t="n">
        <v>100</v>
      </c>
      <c r="EA342" s="2" t="n">
        <v>4.71</v>
      </c>
      <c r="EB342" s="2" t="n">
        <v>0</v>
      </c>
      <c r="EC342" s="2" t="n">
        <v>100</v>
      </c>
      <c r="ED342" s="2" t="n">
        <v>4.71</v>
      </c>
      <c r="EE342" s="2" t="n">
        <v>0</v>
      </c>
      <c r="EF342" s="2" t="n">
        <v>100</v>
      </c>
      <c r="EG342" s="2" t="n">
        <v>4.71</v>
      </c>
      <c r="EH342" s="2" t="n">
        <v>0</v>
      </c>
      <c r="EI342" s="2" t="n">
        <v>100</v>
      </c>
      <c r="EJ342" s="2" t="n">
        <v>4.71</v>
      </c>
      <c r="EK342" s="2" t="n">
        <v>0</v>
      </c>
      <c r="EL342" s="2" t="n">
        <v>100</v>
      </c>
      <c r="EM342" s="2" t="n">
        <v>4.71</v>
      </c>
      <c r="EN342" s="2" t="n">
        <v>0</v>
      </c>
      <c r="EO342" s="2" t="n">
        <v>100</v>
      </c>
      <c r="EP342" s="2" t="n">
        <v>4.71</v>
      </c>
      <c r="EQ342" s="2" t="n">
        <v>0</v>
      </c>
      <c r="ER342" s="2" t="n">
        <v>100</v>
      </c>
      <c r="ES342" s="2" t="n">
        <v>4.71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4.71</v>
      </c>
      <c r="BB343" s="2" t="n">
        <v>0</v>
      </c>
      <c r="BC343" s="2" t="n">
        <v>14.82</v>
      </c>
      <c r="BD343" s="2" t="n">
        <v>4.71</v>
      </c>
      <c r="BE343" s="2" t="n">
        <v>0</v>
      </c>
      <c r="BF343" s="2" t="n">
        <v>20.19</v>
      </c>
      <c r="BG343" s="2" t="n">
        <v>4.71</v>
      </c>
      <c r="BH343" s="2" t="n">
        <v>0</v>
      </c>
      <c r="BI343" s="2" t="n">
        <v>25.29</v>
      </c>
      <c r="BJ343" s="2" t="n">
        <v>4.71</v>
      </c>
      <c r="BK343" s="2" t="n">
        <v>0</v>
      </c>
      <c r="BL343" s="2" t="n">
        <v>29.8</v>
      </c>
      <c r="BM343" s="2" t="n">
        <v>4.71</v>
      </c>
      <c r="BN343" s="2" t="n">
        <v>0</v>
      </c>
      <c r="BO343" s="2" t="n">
        <v>36.05</v>
      </c>
      <c r="BP343" s="2" t="n">
        <v>4.71</v>
      </c>
      <c r="BQ343" s="2" t="n">
        <v>0</v>
      </c>
      <c r="BR343" s="2" t="n">
        <v>40.96</v>
      </c>
      <c r="BS343" s="2" t="n">
        <v>4.71</v>
      </c>
      <c r="BT343" s="2" t="n">
        <v>0</v>
      </c>
      <c r="BU343" s="2" t="n">
        <v>46.13</v>
      </c>
      <c r="BV343" s="2" t="n">
        <v>4.71</v>
      </c>
      <c r="BW343" s="2" t="n">
        <v>0</v>
      </c>
      <c r="BX343" s="2" t="n">
        <v>52.15</v>
      </c>
      <c r="BY343" s="2" t="n">
        <v>4.71</v>
      </c>
      <c r="BZ343" s="2" t="n">
        <v>0</v>
      </c>
      <c r="CA343" s="2" t="n">
        <v>58.09</v>
      </c>
      <c r="CB343" s="2" t="n">
        <v>4.71</v>
      </c>
      <c r="CC343" s="2" t="n">
        <v>0</v>
      </c>
      <c r="CD343" s="2" t="n">
        <v>64.66</v>
      </c>
      <c r="CE343" s="2" t="n">
        <v>4.71</v>
      </c>
      <c r="CF343" s="2" t="n">
        <v>0</v>
      </c>
      <c r="CG343" s="2" t="n">
        <v>70.45</v>
      </c>
      <c r="CH343" s="2" t="n">
        <v>4.71</v>
      </c>
      <c r="CI343" s="2" t="n">
        <v>0</v>
      </c>
      <c r="CJ343" s="2" t="n">
        <v>76.94</v>
      </c>
      <c r="CK343" s="2" t="n">
        <v>4.71</v>
      </c>
      <c r="CL343" s="2" t="n">
        <v>0</v>
      </c>
      <c r="CM343" s="2" t="n">
        <v>82.63</v>
      </c>
      <c r="CN343" s="2" t="n">
        <v>4.71</v>
      </c>
      <c r="CO343" s="2" t="n">
        <v>0</v>
      </c>
      <c r="CP343" s="2" t="n">
        <v>88.36</v>
      </c>
      <c r="CQ343" s="2" t="n">
        <v>4.71</v>
      </c>
      <c r="CR343" s="2" t="n">
        <v>0</v>
      </c>
      <c r="CS343" s="2" t="n">
        <v>93.31</v>
      </c>
      <c r="CT343" s="2" t="n">
        <v>4.71</v>
      </c>
      <c r="CU343" s="2" t="n">
        <v>0</v>
      </c>
      <c r="CV343" s="2" t="n">
        <v>96.62</v>
      </c>
      <c r="CW343" s="2" t="n">
        <v>4.71</v>
      </c>
      <c r="CX343" s="2" t="n">
        <v>0</v>
      </c>
      <c r="CY343" s="2" t="n">
        <v>99.08</v>
      </c>
      <c r="CZ343" s="2" t="n">
        <v>4.71</v>
      </c>
      <c r="DA343" s="2" t="n">
        <v>0</v>
      </c>
      <c r="DB343" s="2" t="n">
        <v>100</v>
      </c>
      <c r="DC343" s="2" t="n">
        <v>4.71</v>
      </c>
      <c r="DD343" s="2" t="n">
        <v>0</v>
      </c>
      <c r="DE343" s="2" t="n">
        <v>100</v>
      </c>
      <c r="DF343" s="2" t="n">
        <v>4.71</v>
      </c>
      <c r="DG343" s="2" t="n">
        <v>0</v>
      </c>
      <c r="DH343" s="2" t="n">
        <v>100</v>
      </c>
      <c r="DI343" s="2" t="n">
        <v>4.71</v>
      </c>
      <c r="DJ343" s="2" t="n">
        <v>0</v>
      </c>
      <c r="DK343" s="2" t="n">
        <v>100</v>
      </c>
      <c r="DL343" s="2" t="n">
        <v>4.71</v>
      </c>
      <c r="DM343" s="2" t="n">
        <v>0</v>
      </c>
      <c r="DN343" s="2" t="n">
        <v>100</v>
      </c>
      <c r="DO343" s="2" t="n">
        <v>4.71</v>
      </c>
      <c r="DP343" s="2" t="n">
        <v>0</v>
      </c>
      <c r="DQ343" s="2" t="n">
        <v>100</v>
      </c>
      <c r="DR343" s="2" t="n">
        <v>4.71</v>
      </c>
      <c r="DS343" s="2" t="n">
        <v>0</v>
      </c>
      <c r="DT343" s="2" t="n">
        <v>100</v>
      </c>
      <c r="DU343" s="2" t="n">
        <v>4.71</v>
      </c>
      <c r="DV343" s="2" t="n">
        <v>0</v>
      </c>
      <c r="DW343" s="2" t="n">
        <v>100</v>
      </c>
      <c r="DX343" s="2" t="n">
        <v>4.71</v>
      </c>
      <c r="DY343" s="2" t="n">
        <v>0</v>
      </c>
      <c r="DZ343" s="2" t="n">
        <v>100</v>
      </c>
      <c r="EA343" s="2" t="n">
        <v>4.71</v>
      </c>
      <c r="EB343" s="2" t="n">
        <v>0</v>
      </c>
      <c r="EC343" s="2" t="n">
        <v>100</v>
      </c>
      <c r="ED343" s="2" t="n">
        <v>4.71</v>
      </c>
      <c r="EE343" s="2" t="n">
        <v>0</v>
      </c>
      <c r="EF343" s="2" t="n">
        <v>100</v>
      </c>
      <c r="EG343" s="2" t="n">
        <v>4.71</v>
      </c>
      <c r="EH343" s="2" t="n">
        <v>0</v>
      </c>
      <c r="EI343" s="2" t="n">
        <v>100</v>
      </c>
      <c r="EJ343" s="2" t="n">
        <v>4.71</v>
      </c>
      <c r="EK343" s="2" t="n">
        <v>0</v>
      </c>
      <c r="EL343" s="2" t="n">
        <v>100</v>
      </c>
      <c r="EM343" s="2" t="n">
        <v>4.71</v>
      </c>
      <c r="EN343" s="2" t="n">
        <v>0</v>
      </c>
      <c r="EO343" s="2" t="n">
        <v>100</v>
      </c>
      <c r="EP343" s="2" t="n">
        <v>4.71</v>
      </c>
      <c r="EQ343" s="2" t="n">
        <v>0</v>
      </c>
      <c r="ER343" s="2" t="n">
        <v>100</v>
      </c>
      <c r="ES343" s="2" t="n">
        <v>4.71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4.71</v>
      </c>
      <c r="BB344" s="2" t="n">
        <v>0</v>
      </c>
      <c r="BC344" s="2" t="n">
        <v>14.82</v>
      </c>
      <c r="BD344" s="2" t="n">
        <v>4.71</v>
      </c>
      <c r="BE344" s="2" t="n">
        <v>0</v>
      </c>
      <c r="BF344" s="2" t="n">
        <v>20.19</v>
      </c>
      <c r="BG344" s="2" t="n">
        <v>4.71</v>
      </c>
      <c r="BH344" s="2" t="n">
        <v>0</v>
      </c>
      <c r="BI344" s="2" t="n">
        <v>25.29</v>
      </c>
      <c r="BJ344" s="2" t="n">
        <v>4.71</v>
      </c>
      <c r="BK344" s="2" t="n">
        <v>0</v>
      </c>
      <c r="BL344" s="2" t="n">
        <v>29.8</v>
      </c>
      <c r="BM344" s="2" t="n">
        <v>4.71</v>
      </c>
      <c r="BN344" s="2" t="n">
        <v>0</v>
      </c>
      <c r="BO344" s="2" t="n">
        <v>36.05</v>
      </c>
      <c r="BP344" s="2" t="n">
        <v>4.71</v>
      </c>
      <c r="BQ344" s="2" t="n">
        <v>0</v>
      </c>
      <c r="BR344" s="2" t="n">
        <v>40.96</v>
      </c>
      <c r="BS344" s="2" t="n">
        <v>4.71</v>
      </c>
      <c r="BT344" s="2" t="n">
        <v>0</v>
      </c>
      <c r="BU344" s="2" t="n">
        <v>46.13</v>
      </c>
      <c r="BV344" s="2" t="n">
        <v>4.71</v>
      </c>
      <c r="BW344" s="2" t="n">
        <v>0</v>
      </c>
      <c r="BX344" s="2" t="n">
        <v>52.15</v>
      </c>
      <c r="BY344" s="2" t="n">
        <v>4.71</v>
      </c>
      <c r="BZ344" s="2" t="n">
        <v>0</v>
      </c>
      <c r="CA344" s="2" t="n">
        <v>58.09</v>
      </c>
      <c r="CB344" s="2" t="n">
        <v>4.71</v>
      </c>
      <c r="CC344" s="2" t="n">
        <v>0</v>
      </c>
      <c r="CD344" s="2" t="n">
        <v>64.66</v>
      </c>
      <c r="CE344" s="2" t="n">
        <v>4.71</v>
      </c>
      <c r="CF344" s="2" t="n">
        <v>0</v>
      </c>
      <c r="CG344" s="2" t="n">
        <v>70.45</v>
      </c>
      <c r="CH344" s="2" t="n">
        <v>4.71</v>
      </c>
      <c r="CI344" s="2" t="n">
        <v>0</v>
      </c>
      <c r="CJ344" s="2" t="n">
        <v>76.94</v>
      </c>
      <c r="CK344" s="2" t="n">
        <v>4.71</v>
      </c>
      <c r="CL344" s="2" t="n">
        <v>0</v>
      </c>
      <c r="CM344" s="2" t="n">
        <v>82.63</v>
      </c>
      <c r="CN344" s="2" t="n">
        <v>4.71</v>
      </c>
      <c r="CO344" s="2" t="n">
        <v>0</v>
      </c>
      <c r="CP344" s="2" t="n">
        <v>88.36</v>
      </c>
      <c r="CQ344" s="2" t="n">
        <v>4.71</v>
      </c>
      <c r="CR344" s="2" t="n">
        <v>0</v>
      </c>
      <c r="CS344" s="2" t="n">
        <v>93.31</v>
      </c>
      <c r="CT344" s="2" t="n">
        <v>4.71</v>
      </c>
      <c r="CU344" s="2" t="n">
        <v>0</v>
      </c>
      <c r="CV344" s="2" t="n">
        <v>96.62</v>
      </c>
      <c r="CW344" s="2" t="n">
        <v>4.71</v>
      </c>
      <c r="CX344" s="2" t="n">
        <v>0</v>
      </c>
      <c r="CY344" s="2" t="n">
        <v>99.08</v>
      </c>
      <c r="CZ344" s="2" t="n">
        <v>4.71</v>
      </c>
      <c r="DA344" s="2" t="n">
        <v>0</v>
      </c>
      <c r="DB344" s="2" t="n">
        <v>100</v>
      </c>
      <c r="DC344" s="2" t="n">
        <v>4.71</v>
      </c>
      <c r="DD344" s="2" t="n">
        <v>0</v>
      </c>
      <c r="DE344" s="2" t="n">
        <v>100</v>
      </c>
      <c r="DF344" s="2" t="n">
        <v>4.71</v>
      </c>
      <c r="DG344" s="2" t="n">
        <v>0</v>
      </c>
      <c r="DH344" s="2" t="n">
        <v>100</v>
      </c>
      <c r="DI344" s="2" t="n">
        <v>4.71</v>
      </c>
      <c r="DJ344" s="2" t="n">
        <v>0</v>
      </c>
      <c r="DK344" s="2" t="n">
        <v>100</v>
      </c>
      <c r="DL344" s="2" t="n">
        <v>4.71</v>
      </c>
      <c r="DM344" s="2" t="n">
        <v>0</v>
      </c>
      <c r="DN344" s="2" t="n">
        <v>100</v>
      </c>
      <c r="DO344" s="2" t="n">
        <v>4.71</v>
      </c>
      <c r="DP344" s="2" t="n">
        <v>0</v>
      </c>
      <c r="DQ344" s="2" t="n">
        <v>100</v>
      </c>
      <c r="DR344" s="2" t="n">
        <v>4.71</v>
      </c>
      <c r="DS344" s="2" t="n">
        <v>0</v>
      </c>
      <c r="DT344" s="2" t="n">
        <v>100</v>
      </c>
      <c r="DU344" s="2" t="n">
        <v>4.71</v>
      </c>
      <c r="DV344" s="2" t="n">
        <v>0</v>
      </c>
      <c r="DW344" s="2" t="n">
        <v>100</v>
      </c>
      <c r="DX344" s="2" t="n">
        <v>4.71</v>
      </c>
      <c r="DY344" s="2" t="n">
        <v>0</v>
      </c>
      <c r="DZ344" s="2" t="n">
        <v>100</v>
      </c>
      <c r="EA344" s="2" t="n">
        <v>4.71</v>
      </c>
      <c r="EB344" s="2" t="n">
        <v>0</v>
      </c>
      <c r="EC344" s="2" t="n">
        <v>100</v>
      </c>
      <c r="ED344" s="2" t="n">
        <v>4.71</v>
      </c>
      <c r="EE344" s="2" t="n">
        <v>0</v>
      </c>
      <c r="EF344" s="2" t="n">
        <v>100</v>
      </c>
      <c r="EG344" s="2" t="n">
        <v>4.71</v>
      </c>
      <c r="EH344" s="2" t="n">
        <v>0</v>
      </c>
      <c r="EI344" s="2" t="n">
        <v>100</v>
      </c>
      <c r="EJ344" s="2" t="n">
        <v>4.71</v>
      </c>
      <c r="EK344" s="2" t="n">
        <v>0</v>
      </c>
      <c r="EL344" s="2" t="n">
        <v>100</v>
      </c>
      <c r="EM344" s="2" t="n">
        <v>4.71</v>
      </c>
      <c r="EN344" s="2" t="n">
        <v>0</v>
      </c>
      <c r="EO344" s="2" t="n">
        <v>100</v>
      </c>
      <c r="EP344" s="2" t="n">
        <v>4.71</v>
      </c>
      <c r="EQ344" s="2" t="n">
        <v>0</v>
      </c>
      <c r="ER344" s="2" t="n">
        <v>100</v>
      </c>
      <c r="ES344" s="2" t="n">
        <v>4.71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4.71</v>
      </c>
      <c r="BB345" s="2" t="n">
        <v>0</v>
      </c>
      <c r="BC345" s="2" t="n">
        <v>14.82</v>
      </c>
      <c r="BD345" s="2" t="n">
        <v>4.71</v>
      </c>
      <c r="BE345" s="2" t="n">
        <v>0</v>
      </c>
      <c r="BF345" s="2" t="n">
        <v>20.19</v>
      </c>
      <c r="BG345" s="2" t="n">
        <v>4.71</v>
      </c>
      <c r="BH345" s="2" t="n">
        <v>0</v>
      </c>
      <c r="BI345" s="2" t="n">
        <v>25.29</v>
      </c>
      <c r="BJ345" s="2" t="n">
        <v>4.71</v>
      </c>
      <c r="BK345" s="2" t="n">
        <v>0</v>
      </c>
      <c r="BL345" s="2" t="n">
        <v>29.8</v>
      </c>
      <c r="BM345" s="2" t="n">
        <v>4.71</v>
      </c>
      <c r="BN345" s="2" t="n">
        <v>0</v>
      </c>
      <c r="BO345" s="2" t="n">
        <v>36.05</v>
      </c>
      <c r="BP345" s="2" t="n">
        <v>4.71</v>
      </c>
      <c r="BQ345" s="2" t="n">
        <v>0</v>
      </c>
      <c r="BR345" s="2" t="n">
        <v>40.96</v>
      </c>
      <c r="BS345" s="2" t="n">
        <v>4.71</v>
      </c>
      <c r="BT345" s="2" t="n">
        <v>0</v>
      </c>
      <c r="BU345" s="2" t="n">
        <v>46.13</v>
      </c>
      <c r="BV345" s="2" t="n">
        <v>4.71</v>
      </c>
      <c r="BW345" s="2" t="n">
        <v>0</v>
      </c>
      <c r="BX345" s="2" t="n">
        <v>52.15</v>
      </c>
      <c r="BY345" s="2" t="n">
        <v>4.71</v>
      </c>
      <c r="BZ345" s="2" t="n">
        <v>0</v>
      </c>
      <c r="CA345" s="2" t="n">
        <v>58.09</v>
      </c>
      <c r="CB345" s="2" t="n">
        <v>4.71</v>
      </c>
      <c r="CC345" s="2" t="n">
        <v>0</v>
      </c>
      <c r="CD345" s="2" t="n">
        <v>64.66</v>
      </c>
      <c r="CE345" s="2" t="n">
        <v>4.71</v>
      </c>
      <c r="CF345" s="2" t="n">
        <v>0</v>
      </c>
      <c r="CG345" s="2" t="n">
        <v>70.45</v>
      </c>
      <c r="CH345" s="2" t="n">
        <v>4.71</v>
      </c>
      <c r="CI345" s="2" t="n">
        <v>0</v>
      </c>
      <c r="CJ345" s="2" t="n">
        <v>76.94</v>
      </c>
      <c r="CK345" s="2" t="n">
        <v>4.71</v>
      </c>
      <c r="CL345" s="2" t="n">
        <v>0</v>
      </c>
      <c r="CM345" s="2" t="n">
        <v>82.63</v>
      </c>
      <c r="CN345" s="2" t="n">
        <v>4.71</v>
      </c>
      <c r="CO345" s="2" t="n">
        <v>0</v>
      </c>
      <c r="CP345" s="2" t="n">
        <v>88.36</v>
      </c>
      <c r="CQ345" s="2" t="n">
        <v>4.71</v>
      </c>
      <c r="CR345" s="2" t="n">
        <v>0</v>
      </c>
      <c r="CS345" s="2" t="n">
        <v>93.31</v>
      </c>
      <c r="CT345" s="2" t="n">
        <v>4.71</v>
      </c>
      <c r="CU345" s="2" t="n">
        <v>0</v>
      </c>
      <c r="CV345" s="2" t="n">
        <v>96.62</v>
      </c>
      <c r="CW345" s="2" t="n">
        <v>4.71</v>
      </c>
      <c r="CX345" s="2" t="n">
        <v>0</v>
      </c>
      <c r="CY345" s="2" t="n">
        <v>99.08</v>
      </c>
      <c r="CZ345" s="2" t="n">
        <v>4.71</v>
      </c>
      <c r="DA345" s="2" t="n">
        <v>0</v>
      </c>
      <c r="DB345" s="2" t="n">
        <v>100</v>
      </c>
      <c r="DC345" s="2" t="n">
        <v>4.71</v>
      </c>
      <c r="DD345" s="2" t="n">
        <v>0</v>
      </c>
      <c r="DE345" s="2" t="n">
        <v>100</v>
      </c>
      <c r="DF345" s="2" t="n">
        <v>4.71</v>
      </c>
      <c r="DG345" s="2" t="n">
        <v>0</v>
      </c>
      <c r="DH345" s="2" t="n">
        <v>100</v>
      </c>
      <c r="DI345" s="2" t="n">
        <v>4.71</v>
      </c>
      <c r="DJ345" s="2" t="n">
        <v>0</v>
      </c>
      <c r="DK345" s="2" t="n">
        <v>100</v>
      </c>
      <c r="DL345" s="2" t="n">
        <v>4.71</v>
      </c>
      <c r="DM345" s="2" t="n">
        <v>0</v>
      </c>
      <c r="DN345" s="2" t="n">
        <v>100</v>
      </c>
      <c r="DO345" s="2" t="n">
        <v>4.71</v>
      </c>
      <c r="DP345" s="2" t="n">
        <v>0</v>
      </c>
      <c r="DQ345" s="2" t="n">
        <v>100</v>
      </c>
      <c r="DR345" s="2" t="n">
        <v>4.71</v>
      </c>
      <c r="DS345" s="2" t="n">
        <v>0</v>
      </c>
      <c r="DT345" s="2" t="n">
        <v>100</v>
      </c>
      <c r="DU345" s="2" t="n">
        <v>4.71</v>
      </c>
      <c r="DV345" s="2" t="n">
        <v>0</v>
      </c>
      <c r="DW345" s="2" t="n">
        <v>100</v>
      </c>
      <c r="DX345" s="2" t="n">
        <v>4.71</v>
      </c>
      <c r="DY345" s="2" t="n">
        <v>0</v>
      </c>
      <c r="DZ345" s="2" t="n">
        <v>100</v>
      </c>
      <c r="EA345" s="2" t="n">
        <v>4.71</v>
      </c>
      <c r="EB345" s="2" t="n">
        <v>0</v>
      </c>
      <c r="EC345" s="2" t="n">
        <v>100</v>
      </c>
      <c r="ED345" s="2" t="n">
        <v>4.71</v>
      </c>
      <c r="EE345" s="2" t="n">
        <v>0</v>
      </c>
      <c r="EF345" s="2" t="n">
        <v>100</v>
      </c>
      <c r="EG345" s="2" t="n">
        <v>4.71</v>
      </c>
      <c r="EH345" s="2" t="n">
        <v>0</v>
      </c>
      <c r="EI345" s="2" t="n">
        <v>100</v>
      </c>
      <c r="EJ345" s="2" t="n">
        <v>4.71</v>
      </c>
      <c r="EK345" s="2" t="n">
        <v>0</v>
      </c>
      <c r="EL345" s="2" t="n">
        <v>100</v>
      </c>
      <c r="EM345" s="2" t="n">
        <v>4.71</v>
      </c>
      <c r="EN345" s="2" t="n">
        <v>0</v>
      </c>
      <c r="EO345" s="2" t="n">
        <v>100</v>
      </c>
      <c r="EP345" s="2" t="n">
        <v>4.71</v>
      </c>
      <c r="EQ345" s="2" t="n">
        <v>0</v>
      </c>
      <c r="ER345" s="2" t="n">
        <v>100</v>
      </c>
      <c r="ES345" s="2" t="n">
        <v>4.71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4.71</v>
      </c>
      <c r="BB346" s="2" t="n">
        <v>0</v>
      </c>
      <c r="BC346" s="2" t="n">
        <v>14.82</v>
      </c>
      <c r="BD346" s="2" t="n">
        <v>4.71</v>
      </c>
      <c r="BE346" s="2" t="n">
        <v>0</v>
      </c>
      <c r="BF346" s="2" t="n">
        <v>20.19</v>
      </c>
      <c r="BG346" s="2" t="n">
        <v>4.71</v>
      </c>
      <c r="BH346" s="2" t="n">
        <v>0</v>
      </c>
      <c r="BI346" s="2" t="n">
        <v>25.29</v>
      </c>
      <c r="BJ346" s="2" t="n">
        <v>4.71</v>
      </c>
      <c r="BK346" s="2" t="n">
        <v>0</v>
      </c>
      <c r="BL346" s="2" t="n">
        <v>29.8</v>
      </c>
      <c r="BM346" s="2" t="n">
        <v>4.71</v>
      </c>
      <c r="BN346" s="2" t="n">
        <v>0</v>
      </c>
      <c r="BO346" s="2" t="n">
        <v>36.05</v>
      </c>
      <c r="BP346" s="2" t="n">
        <v>4.71</v>
      </c>
      <c r="BQ346" s="2" t="n">
        <v>0</v>
      </c>
      <c r="BR346" s="2" t="n">
        <v>40.96</v>
      </c>
      <c r="BS346" s="2" t="n">
        <v>4.71</v>
      </c>
      <c r="BT346" s="2" t="n">
        <v>0</v>
      </c>
      <c r="BU346" s="2" t="n">
        <v>46.13</v>
      </c>
      <c r="BV346" s="2" t="n">
        <v>4.71</v>
      </c>
      <c r="BW346" s="2" t="n">
        <v>0</v>
      </c>
      <c r="BX346" s="2" t="n">
        <v>52.15</v>
      </c>
      <c r="BY346" s="2" t="n">
        <v>4.71</v>
      </c>
      <c r="BZ346" s="2" t="n">
        <v>0</v>
      </c>
      <c r="CA346" s="2" t="n">
        <v>58.09</v>
      </c>
      <c r="CB346" s="2" t="n">
        <v>4.71</v>
      </c>
      <c r="CC346" s="2" t="n">
        <v>0</v>
      </c>
      <c r="CD346" s="2" t="n">
        <v>64.66</v>
      </c>
      <c r="CE346" s="2" t="n">
        <v>4.71</v>
      </c>
      <c r="CF346" s="2" t="n">
        <v>0</v>
      </c>
      <c r="CG346" s="2" t="n">
        <v>70.45</v>
      </c>
      <c r="CH346" s="2" t="n">
        <v>4.71</v>
      </c>
      <c r="CI346" s="2" t="n">
        <v>0</v>
      </c>
      <c r="CJ346" s="2" t="n">
        <v>76.94</v>
      </c>
      <c r="CK346" s="2" t="n">
        <v>4.71</v>
      </c>
      <c r="CL346" s="2" t="n">
        <v>0</v>
      </c>
      <c r="CM346" s="2" t="n">
        <v>82.63</v>
      </c>
      <c r="CN346" s="2" t="n">
        <v>4.71</v>
      </c>
      <c r="CO346" s="2" t="n">
        <v>0</v>
      </c>
      <c r="CP346" s="2" t="n">
        <v>88.36</v>
      </c>
      <c r="CQ346" s="2" t="n">
        <v>4.71</v>
      </c>
      <c r="CR346" s="2" t="n">
        <v>0</v>
      </c>
      <c r="CS346" s="2" t="n">
        <v>93.31</v>
      </c>
      <c r="CT346" s="2" t="n">
        <v>4.71</v>
      </c>
      <c r="CU346" s="2" t="n">
        <v>0</v>
      </c>
      <c r="CV346" s="2" t="n">
        <v>96.62</v>
      </c>
      <c r="CW346" s="2" t="n">
        <v>4.71</v>
      </c>
      <c r="CX346" s="2" t="n">
        <v>0</v>
      </c>
      <c r="CY346" s="2" t="n">
        <v>99.08</v>
      </c>
      <c r="CZ346" s="2" t="n">
        <v>4.71</v>
      </c>
      <c r="DA346" s="2" t="n">
        <v>0</v>
      </c>
      <c r="DB346" s="2" t="n">
        <v>100</v>
      </c>
      <c r="DC346" s="2" t="n">
        <v>4.71</v>
      </c>
      <c r="DD346" s="2" t="n">
        <v>0</v>
      </c>
      <c r="DE346" s="2" t="n">
        <v>100</v>
      </c>
      <c r="DF346" s="2" t="n">
        <v>4.71</v>
      </c>
      <c r="DG346" s="2" t="n">
        <v>0</v>
      </c>
      <c r="DH346" s="2" t="n">
        <v>100</v>
      </c>
      <c r="DI346" s="2" t="n">
        <v>4.71</v>
      </c>
      <c r="DJ346" s="2" t="n">
        <v>0</v>
      </c>
      <c r="DK346" s="2" t="n">
        <v>100</v>
      </c>
      <c r="DL346" s="2" t="n">
        <v>4.71</v>
      </c>
      <c r="DM346" s="2" t="n">
        <v>0</v>
      </c>
      <c r="DN346" s="2" t="n">
        <v>100</v>
      </c>
      <c r="DO346" s="2" t="n">
        <v>4.71</v>
      </c>
      <c r="DP346" s="2" t="n">
        <v>0</v>
      </c>
      <c r="DQ346" s="2" t="n">
        <v>100</v>
      </c>
      <c r="DR346" s="2" t="n">
        <v>4.71</v>
      </c>
      <c r="DS346" s="2" t="n">
        <v>0</v>
      </c>
      <c r="DT346" s="2" t="n">
        <v>100</v>
      </c>
      <c r="DU346" s="2" t="n">
        <v>4.71</v>
      </c>
      <c r="DV346" s="2" t="n">
        <v>0</v>
      </c>
      <c r="DW346" s="2" t="n">
        <v>100</v>
      </c>
      <c r="DX346" s="2" t="n">
        <v>4.71</v>
      </c>
      <c r="DY346" s="2" t="n">
        <v>0</v>
      </c>
      <c r="DZ346" s="2" t="n">
        <v>100</v>
      </c>
      <c r="EA346" s="2" t="n">
        <v>4.71</v>
      </c>
      <c r="EB346" s="2" t="n">
        <v>0</v>
      </c>
      <c r="EC346" s="2" t="n">
        <v>100</v>
      </c>
      <c r="ED346" s="2" t="n">
        <v>4.71</v>
      </c>
      <c r="EE346" s="2" t="n">
        <v>0</v>
      </c>
      <c r="EF346" s="2" t="n">
        <v>100</v>
      </c>
      <c r="EG346" s="2" t="n">
        <v>4.71</v>
      </c>
      <c r="EH346" s="2" t="n">
        <v>0</v>
      </c>
      <c r="EI346" s="2" t="n">
        <v>100</v>
      </c>
      <c r="EJ346" s="2" t="n">
        <v>4.71</v>
      </c>
      <c r="EK346" s="2" t="n">
        <v>0</v>
      </c>
      <c r="EL346" s="2" t="n">
        <v>100</v>
      </c>
      <c r="EM346" s="2" t="n">
        <v>4.71</v>
      </c>
      <c r="EN346" s="2" t="n">
        <v>0</v>
      </c>
      <c r="EO346" s="2" t="n">
        <v>100</v>
      </c>
      <c r="EP346" s="2" t="n">
        <v>4.71</v>
      </c>
      <c r="EQ346" s="2" t="n">
        <v>0</v>
      </c>
      <c r="ER346" s="2" t="n">
        <v>100</v>
      </c>
      <c r="ES346" s="2" t="n">
        <v>4.71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4.71</v>
      </c>
      <c r="BB347" s="2" t="n">
        <v>0</v>
      </c>
      <c r="BC347" s="2" t="n">
        <v>14.82</v>
      </c>
      <c r="BD347" s="2" t="n">
        <v>4.71</v>
      </c>
      <c r="BE347" s="2" t="n">
        <v>0</v>
      </c>
      <c r="BF347" s="2" t="n">
        <v>20.19</v>
      </c>
      <c r="BG347" s="2" t="n">
        <v>4.71</v>
      </c>
      <c r="BH347" s="2" t="n">
        <v>0</v>
      </c>
      <c r="BI347" s="2" t="n">
        <v>25.29</v>
      </c>
      <c r="BJ347" s="2" t="n">
        <v>4.71</v>
      </c>
      <c r="BK347" s="2" t="n">
        <v>0</v>
      </c>
      <c r="BL347" s="2" t="n">
        <v>29.8</v>
      </c>
      <c r="BM347" s="2" t="n">
        <v>4.71</v>
      </c>
      <c r="BN347" s="2" t="n">
        <v>0</v>
      </c>
      <c r="BO347" s="2" t="n">
        <v>36.05</v>
      </c>
      <c r="BP347" s="2" t="n">
        <v>4.71</v>
      </c>
      <c r="BQ347" s="2" t="n">
        <v>0</v>
      </c>
      <c r="BR347" s="2" t="n">
        <v>40.96</v>
      </c>
      <c r="BS347" s="2" t="n">
        <v>4.71</v>
      </c>
      <c r="BT347" s="2" t="n">
        <v>0</v>
      </c>
      <c r="BU347" s="2" t="n">
        <v>46.13</v>
      </c>
      <c r="BV347" s="2" t="n">
        <v>4.71</v>
      </c>
      <c r="BW347" s="2" t="n">
        <v>0</v>
      </c>
      <c r="BX347" s="2" t="n">
        <v>52.15</v>
      </c>
      <c r="BY347" s="2" t="n">
        <v>4.71</v>
      </c>
      <c r="BZ347" s="2" t="n">
        <v>0</v>
      </c>
      <c r="CA347" s="2" t="n">
        <v>58.09</v>
      </c>
      <c r="CB347" s="2" t="n">
        <v>4.71</v>
      </c>
      <c r="CC347" s="2" t="n">
        <v>0</v>
      </c>
      <c r="CD347" s="2" t="n">
        <v>64.66</v>
      </c>
      <c r="CE347" s="2" t="n">
        <v>4.71</v>
      </c>
      <c r="CF347" s="2" t="n">
        <v>0</v>
      </c>
      <c r="CG347" s="2" t="n">
        <v>70.45</v>
      </c>
      <c r="CH347" s="2" t="n">
        <v>4.71</v>
      </c>
      <c r="CI347" s="2" t="n">
        <v>0</v>
      </c>
      <c r="CJ347" s="2" t="n">
        <v>76.94</v>
      </c>
      <c r="CK347" s="2" t="n">
        <v>4.71</v>
      </c>
      <c r="CL347" s="2" t="n">
        <v>0</v>
      </c>
      <c r="CM347" s="2" t="n">
        <v>82.63</v>
      </c>
      <c r="CN347" s="2" t="n">
        <v>4.71</v>
      </c>
      <c r="CO347" s="2" t="n">
        <v>0</v>
      </c>
      <c r="CP347" s="2" t="n">
        <v>88.36</v>
      </c>
      <c r="CQ347" s="2" t="n">
        <v>4.71</v>
      </c>
      <c r="CR347" s="2" t="n">
        <v>0</v>
      </c>
      <c r="CS347" s="2" t="n">
        <v>93.31</v>
      </c>
      <c r="CT347" s="2" t="n">
        <v>4.71</v>
      </c>
      <c r="CU347" s="2" t="n">
        <v>0</v>
      </c>
      <c r="CV347" s="2" t="n">
        <v>96.62</v>
      </c>
      <c r="CW347" s="2" t="n">
        <v>4.71</v>
      </c>
      <c r="CX347" s="2" t="n">
        <v>0</v>
      </c>
      <c r="CY347" s="2" t="n">
        <v>99.08</v>
      </c>
      <c r="CZ347" s="2" t="n">
        <v>4.71</v>
      </c>
      <c r="DA347" s="2" t="n">
        <v>0</v>
      </c>
      <c r="DB347" s="2" t="n">
        <v>100</v>
      </c>
      <c r="DC347" s="2" t="n">
        <v>4.71</v>
      </c>
      <c r="DD347" s="2" t="n">
        <v>0</v>
      </c>
      <c r="DE347" s="2" t="n">
        <v>100</v>
      </c>
      <c r="DF347" s="2" t="n">
        <v>4.71</v>
      </c>
      <c r="DG347" s="2" t="n">
        <v>0</v>
      </c>
      <c r="DH347" s="2" t="n">
        <v>100</v>
      </c>
      <c r="DI347" s="2" t="n">
        <v>4.71</v>
      </c>
      <c r="DJ347" s="2" t="n">
        <v>0</v>
      </c>
      <c r="DK347" s="2" t="n">
        <v>100</v>
      </c>
      <c r="DL347" s="2" t="n">
        <v>4.71</v>
      </c>
      <c r="DM347" s="2" t="n">
        <v>0</v>
      </c>
      <c r="DN347" s="2" t="n">
        <v>100</v>
      </c>
      <c r="DO347" s="2" t="n">
        <v>4.71</v>
      </c>
      <c r="DP347" s="2" t="n">
        <v>0</v>
      </c>
      <c r="DQ347" s="2" t="n">
        <v>100</v>
      </c>
      <c r="DR347" s="2" t="n">
        <v>4.71</v>
      </c>
      <c r="DS347" s="2" t="n">
        <v>0</v>
      </c>
      <c r="DT347" s="2" t="n">
        <v>100</v>
      </c>
      <c r="DU347" s="2" t="n">
        <v>4.71</v>
      </c>
      <c r="DV347" s="2" t="n">
        <v>0</v>
      </c>
      <c r="DW347" s="2" t="n">
        <v>100</v>
      </c>
      <c r="DX347" s="2" t="n">
        <v>4.71</v>
      </c>
      <c r="DY347" s="2" t="n">
        <v>0</v>
      </c>
      <c r="DZ347" s="2" t="n">
        <v>100</v>
      </c>
      <c r="EA347" s="2" t="n">
        <v>4.71</v>
      </c>
      <c r="EB347" s="2" t="n">
        <v>0</v>
      </c>
      <c r="EC347" s="2" t="n">
        <v>100</v>
      </c>
      <c r="ED347" s="2" t="n">
        <v>4.71</v>
      </c>
      <c r="EE347" s="2" t="n">
        <v>0</v>
      </c>
      <c r="EF347" s="2" t="n">
        <v>100</v>
      </c>
      <c r="EG347" s="2" t="n">
        <v>4.71</v>
      </c>
      <c r="EH347" s="2" t="n">
        <v>0</v>
      </c>
      <c r="EI347" s="2" t="n">
        <v>100</v>
      </c>
      <c r="EJ347" s="2" t="n">
        <v>4.71</v>
      </c>
      <c r="EK347" s="2" t="n">
        <v>0</v>
      </c>
      <c r="EL347" s="2" t="n">
        <v>100</v>
      </c>
      <c r="EM347" s="2" t="n">
        <v>4.71</v>
      </c>
      <c r="EN347" s="2" t="n">
        <v>0</v>
      </c>
      <c r="EO347" s="2" t="n">
        <v>100</v>
      </c>
      <c r="EP347" s="2" t="n">
        <v>4.71</v>
      </c>
      <c r="EQ347" s="2" t="n">
        <v>0</v>
      </c>
      <c r="ER347" s="2" t="n">
        <v>100</v>
      </c>
      <c r="ES347" s="2" t="n">
        <v>4.71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4.71</v>
      </c>
      <c r="BB348" s="2" t="n">
        <v>0</v>
      </c>
      <c r="BC348" s="2" t="n">
        <v>14.82</v>
      </c>
      <c r="BD348" s="2" t="n">
        <v>4.71</v>
      </c>
      <c r="BE348" s="2" t="n">
        <v>0</v>
      </c>
      <c r="BF348" s="2" t="n">
        <v>20.19</v>
      </c>
      <c r="BG348" s="2" t="n">
        <v>4.71</v>
      </c>
      <c r="BH348" s="2" t="n">
        <v>0</v>
      </c>
      <c r="BI348" s="2" t="n">
        <v>25.29</v>
      </c>
      <c r="BJ348" s="2" t="n">
        <v>4.71</v>
      </c>
      <c r="BK348" s="2" t="n">
        <v>0</v>
      </c>
      <c r="BL348" s="2" t="n">
        <v>29.8</v>
      </c>
      <c r="BM348" s="2" t="n">
        <v>4.71</v>
      </c>
      <c r="BN348" s="2" t="n">
        <v>0</v>
      </c>
      <c r="BO348" s="2" t="n">
        <v>36.05</v>
      </c>
      <c r="BP348" s="2" t="n">
        <v>4.71</v>
      </c>
      <c r="BQ348" s="2" t="n">
        <v>0</v>
      </c>
      <c r="BR348" s="2" t="n">
        <v>40.96</v>
      </c>
      <c r="BS348" s="2" t="n">
        <v>4.71</v>
      </c>
      <c r="BT348" s="2" t="n">
        <v>0</v>
      </c>
      <c r="BU348" s="2" t="n">
        <v>46.13</v>
      </c>
      <c r="BV348" s="2" t="n">
        <v>4.71</v>
      </c>
      <c r="BW348" s="2" t="n">
        <v>0</v>
      </c>
      <c r="BX348" s="2" t="n">
        <v>52.15</v>
      </c>
      <c r="BY348" s="2" t="n">
        <v>4.71</v>
      </c>
      <c r="BZ348" s="2" t="n">
        <v>0</v>
      </c>
      <c r="CA348" s="2" t="n">
        <v>58.09</v>
      </c>
      <c r="CB348" s="2" t="n">
        <v>4.71</v>
      </c>
      <c r="CC348" s="2" t="n">
        <v>0</v>
      </c>
      <c r="CD348" s="2" t="n">
        <v>64.66</v>
      </c>
      <c r="CE348" s="2" t="n">
        <v>4.71</v>
      </c>
      <c r="CF348" s="2" t="n">
        <v>0</v>
      </c>
      <c r="CG348" s="2" t="n">
        <v>70.45</v>
      </c>
      <c r="CH348" s="2" t="n">
        <v>4.71</v>
      </c>
      <c r="CI348" s="2" t="n">
        <v>0</v>
      </c>
      <c r="CJ348" s="2" t="n">
        <v>76.94</v>
      </c>
      <c r="CK348" s="2" t="n">
        <v>4.71</v>
      </c>
      <c r="CL348" s="2" t="n">
        <v>0</v>
      </c>
      <c r="CM348" s="2" t="n">
        <v>82.63</v>
      </c>
      <c r="CN348" s="2" t="n">
        <v>4.71</v>
      </c>
      <c r="CO348" s="2" t="n">
        <v>0</v>
      </c>
      <c r="CP348" s="2" t="n">
        <v>88.36</v>
      </c>
      <c r="CQ348" s="2" t="n">
        <v>4.71</v>
      </c>
      <c r="CR348" s="2" t="n">
        <v>0</v>
      </c>
      <c r="CS348" s="2" t="n">
        <v>93.31</v>
      </c>
      <c r="CT348" s="2" t="n">
        <v>4.71</v>
      </c>
      <c r="CU348" s="2" t="n">
        <v>0</v>
      </c>
      <c r="CV348" s="2" t="n">
        <v>96.62</v>
      </c>
      <c r="CW348" s="2" t="n">
        <v>4.71</v>
      </c>
      <c r="CX348" s="2" t="n">
        <v>0</v>
      </c>
      <c r="CY348" s="2" t="n">
        <v>99.08</v>
      </c>
      <c r="CZ348" s="2" t="n">
        <v>4.71</v>
      </c>
      <c r="DA348" s="2" t="n">
        <v>0</v>
      </c>
      <c r="DB348" s="2" t="n">
        <v>100</v>
      </c>
      <c r="DC348" s="2" t="n">
        <v>4.71</v>
      </c>
      <c r="DD348" s="2" t="n">
        <v>0</v>
      </c>
      <c r="DE348" s="2" t="n">
        <v>100</v>
      </c>
      <c r="DF348" s="2" t="n">
        <v>4.71</v>
      </c>
      <c r="DG348" s="2" t="n">
        <v>0</v>
      </c>
      <c r="DH348" s="2" t="n">
        <v>100</v>
      </c>
      <c r="DI348" s="2" t="n">
        <v>4.71</v>
      </c>
      <c r="DJ348" s="2" t="n">
        <v>0</v>
      </c>
      <c r="DK348" s="2" t="n">
        <v>100</v>
      </c>
      <c r="DL348" s="2" t="n">
        <v>4.71</v>
      </c>
      <c r="DM348" s="2" t="n">
        <v>0</v>
      </c>
      <c r="DN348" s="2" t="n">
        <v>100</v>
      </c>
      <c r="DO348" s="2" t="n">
        <v>4.71</v>
      </c>
      <c r="DP348" s="2" t="n">
        <v>0</v>
      </c>
      <c r="DQ348" s="2" t="n">
        <v>100</v>
      </c>
      <c r="DR348" s="2" t="n">
        <v>4.71</v>
      </c>
      <c r="DS348" s="2" t="n">
        <v>0</v>
      </c>
      <c r="DT348" s="2" t="n">
        <v>100</v>
      </c>
      <c r="DU348" s="2" t="n">
        <v>4.71</v>
      </c>
      <c r="DV348" s="2" t="n">
        <v>0</v>
      </c>
      <c r="DW348" s="2" t="n">
        <v>100</v>
      </c>
      <c r="DX348" s="2" t="n">
        <v>4.71</v>
      </c>
      <c r="DY348" s="2" t="n">
        <v>0</v>
      </c>
      <c r="DZ348" s="2" t="n">
        <v>100</v>
      </c>
      <c r="EA348" s="2" t="n">
        <v>4.71</v>
      </c>
      <c r="EB348" s="2" t="n">
        <v>0</v>
      </c>
      <c r="EC348" s="2" t="n">
        <v>100</v>
      </c>
      <c r="ED348" s="2" t="n">
        <v>4.71</v>
      </c>
      <c r="EE348" s="2" t="n">
        <v>0</v>
      </c>
      <c r="EF348" s="2" t="n">
        <v>100</v>
      </c>
      <c r="EG348" s="2" t="n">
        <v>4.71</v>
      </c>
      <c r="EH348" s="2" t="n">
        <v>0</v>
      </c>
      <c r="EI348" s="2" t="n">
        <v>100</v>
      </c>
      <c r="EJ348" s="2" t="n">
        <v>4.71</v>
      </c>
      <c r="EK348" s="2" t="n">
        <v>0</v>
      </c>
      <c r="EL348" s="2" t="n">
        <v>100</v>
      </c>
      <c r="EM348" s="2" t="n">
        <v>4.71</v>
      </c>
      <c r="EN348" s="2" t="n">
        <v>0</v>
      </c>
      <c r="EO348" s="2" t="n">
        <v>100</v>
      </c>
      <c r="EP348" s="2" t="n">
        <v>4.71</v>
      </c>
      <c r="EQ348" s="2" t="n">
        <v>0</v>
      </c>
      <c r="ER348" s="2" t="n">
        <v>100</v>
      </c>
      <c r="ES348" s="2" t="n">
        <v>4.71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4.71</v>
      </c>
      <c r="BB349" s="2" t="n">
        <v>0</v>
      </c>
      <c r="BC349" s="2" t="n">
        <v>14.82</v>
      </c>
      <c r="BD349" s="2" t="n">
        <v>4.71</v>
      </c>
      <c r="BE349" s="2" t="n">
        <v>0</v>
      </c>
      <c r="BF349" s="2" t="n">
        <v>20.19</v>
      </c>
      <c r="BG349" s="2" t="n">
        <v>4.71</v>
      </c>
      <c r="BH349" s="2" t="n">
        <v>0</v>
      </c>
      <c r="BI349" s="2" t="n">
        <v>25.29</v>
      </c>
      <c r="BJ349" s="2" t="n">
        <v>4.71</v>
      </c>
      <c r="BK349" s="2" t="n">
        <v>0</v>
      </c>
      <c r="BL349" s="2" t="n">
        <v>29.8</v>
      </c>
      <c r="BM349" s="2" t="n">
        <v>4.71</v>
      </c>
      <c r="BN349" s="2" t="n">
        <v>0</v>
      </c>
      <c r="BO349" s="2" t="n">
        <v>36.05</v>
      </c>
      <c r="BP349" s="2" t="n">
        <v>4.71</v>
      </c>
      <c r="BQ349" s="2" t="n">
        <v>0</v>
      </c>
      <c r="BR349" s="2" t="n">
        <v>40.96</v>
      </c>
      <c r="BS349" s="2" t="n">
        <v>4.71</v>
      </c>
      <c r="BT349" s="2" t="n">
        <v>0</v>
      </c>
      <c r="BU349" s="2" t="n">
        <v>46.13</v>
      </c>
      <c r="BV349" s="2" t="n">
        <v>4.71</v>
      </c>
      <c r="BW349" s="2" t="n">
        <v>0</v>
      </c>
      <c r="BX349" s="2" t="n">
        <v>52.15</v>
      </c>
      <c r="BY349" s="2" t="n">
        <v>4.71</v>
      </c>
      <c r="BZ349" s="2" t="n">
        <v>0</v>
      </c>
      <c r="CA349" s="2" t="n">
        <v>58.09</v>
      </c>
      <c r="CB349" s="2" t="n">
        <v>4.71</v>
      </c>
      <c r="CC349" s="2" t="n">
        <v>0</v>
      </c>
      <c r="CD349" s="2" t="n">
        <v>64.66</v>
      </c>
      <c r="CE349" s="2" t="n">
        <v>4.71</v>
      </c>
      <c r="CF349" s="2" t="n">
        <v>0</v>
      </c>
      <c r="CG349" s="2" t="n">
        <v>70.45</v>
      </c>
      <c r="CH349" s="2" t="n">
        <v>4.71</v>
      </c>
      <c r="CI349" s="2" t="n">
        <v>0</v>
      </c>
      <c r="CJ349" s="2" t="n">
        <v>76.94</v>
      </c>
      <c r="CK349" s="2" t="n">
        <v>4.71</v>
      </c>
      <c r="CL349" s="2" t="n">
        <v>0</v>
      </c>
      <c r="CM349" s="2" t="n">
        <v>82.63</v>
      </c>
      <c r="CN349" s="2" t="n">
        <v>4.71</v>
      </c>
      <c r="CO349" s="2" t="n">
        <v>0</v>
      </c>
      <c r="CP349" s="2" t="n">
        <v>88.36</v>
      </c>
      <c r="CQ349" s="2" t="n">
        <v>4.71</v>
      </c>
      <c r="CR349" s="2" t="n">
        <v>0</v>
      </c>
      <c r="CS349" s="2" t="n">
        <v>93.31</v>
      </c>
      <c r="CT349" s="2" t="n">
        <v>4.71</v>
      </c>
      <c r="CU349" s="2" t="n">
        <v>0</v>
      </c>
      <c r="CV349" s="2" t="n">
        <v>96.62</v>
      </c>
      <c r="CW349" s="2" t="n">
        <v>4.71</v>
      </c>
      <c r="CX349" s="2" t="n">
        <v>0</v>
      </c>
      <c r="CY349" s="2" t="n">
        <v>99.08</v>
      </c>
      <c r="CZ349" s="2" t="n">
        <v>4.71</v>
      </c>
      <c r="DA349" s="2" t="n">
        <v>0</v>
      </c>
      <c r="DB349" s="2" t="n">
        <v>100</v>
      </c>
      <c r="DC349" s="2" t="n">
        <v>4.71</v>
      </c>
      <c r="DD349" s="2" t="n">
        <v>0</v>
      </c>
      <c r="DE349" s="2" t="n">
        <v>100</v>
      </c>
      <c r="DF349" s="2" t="n">
        <v>4.71</v>
      </c>
      <c r="DG349" s="2" t="n">
        <v>0</v>
      </c>
      <c r="DH349" s="2" t="n">
        <v>100</v>
      </c>
      <c r="DI349" s="2" t="n">
        <v>4.71</v>
      </c>
      <c r="DJ349" s="2" t="n">
        <v>0</v>
      </c>
      <c r="DK349" s="2" t="n">
        <v>100</v>
      </c>
      <c r="DL349" s="2" t="n">
        <v>4.71</v>
      </c>
      <c r="DM349" s="2" t="n">
        <v>0</v>
      </c>
      <c r="DN349" s="2" t="n">
        <v>100</v>
      </c>
      <c r="DO349" s="2" t="n">
        <v>4.71</v>
      </c>
      <c r="DP349" s="2" t="n">
        <v>0</v>
      </c>
      <c r="DQ349" s="2" t="n">
        <v>100</v>
      </c>
      <c r="DR349" s="2" t="n">
        <v>4.71</v>
      </c>
      <c r="DS349" s="2" t="n">
        <v>0</v>
      </c>
      <c r="DT349" s="2" t="n">
        <v>100</v>
      </c>
      <c r="DU349" s="2" t="n">
        <v>4.71</v>
      </c>
      <c r="DV349" s="2" t="n">
        <v>0</v>
      </c>
      <c r="DW349" s="2" t="n">
        <v>100</v>
      </c>
      <c r="DX349" s="2" t="n">
        <v>4.71</v>
      </c>
      <c r="DY349" s="2" t="n">
        <v>0</v>
      </c>
      <c r="DZ349" s="2" t="n">
        <v>100</v>
      </c>
      <c r="EA349" s="2" t="n">
        <v>4.71</v>
      </c>
      <c r="EB349" s="2" t="n">
        <v>0</v>
      </c>
      <c r="EC349" s="2" t="n">
        <v>100</v>
      </c>
      <c r="ED349" s="2" t="n">
        <v>4.71</v>
      </c>
      <c r="EE349" s="2" t="n">
        <v>0</v>
      </c>
      <c r="EF349" s="2" t="n">
        <v>100</v>
      </c>
      <c r="EG349" s="2" t="n">
        <v>4.71</v>
      </c>
      <c r="EH349" s="2" t="n">
        <v>0</v>
      </c>
      <c r="EI349" s="2" t="n">
        <v>100</v>
      </c>
      <c r="EJ349" s="2" t="n">
        <v>4.71</v>
      </c>
      <c r="EK349" s="2" t="n">
        <v>0</v>
      </c>
      <c r="EL349" s="2" t="n">
        <v>100</v>
      </c>
      <c r="EM349" s="2" t="n">
        <v>4.71</v>
      </c>
      <c r="EN349" s="2" t="n">
        <v>0</v>
      </c>
      <c r="EO349" s="2" t="n">
        <v>100</v>
      </c>
      <c r="EP349" s="2" t="n">
        <v>4.71</v>
      </c>
      <c r="EQ349" s="2" t="n">
        <v>0</v>
      </c>
      <c r="ER349" s="2" t="n">
        <v>100</v>
      </c>
      <c r="ES349" s="2" t="n">
        <v>4.71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4.71</v>
      </c>
      <c r="BB350" s="2" t="n">
        <v>0</v>
      </c>
      <c r="BC350" s="2" t="n">
        <v>14.82</v>
      </c>
      <c r="BD350" s="2" t="n">
        <v>4.71</v>
      </c>
      <c r="BE350" s="2" t="n">
        <v>0</v>
      </c>
      <c r="BF350" s="2" t="n">
        <v>20.19</v>
      </c>
      <c r="BG350" s="2" t="n">
        <v>4.71</v>
      </c>
      <c r="BH350" s="2" t="n">
        <v>0</v>
      </c>
      <c r="BI350" s="2" t="n">
        <v>25.29</v>
      </c>
      <c r="BJ350" s="2" t="n">
        <v>4.71</v>
      </c>
      <c r="BK350" s="2" t="n">
        <v>0</v>
      </c>
      <c r="BL350" s="2" t="n">
        <v>29.8</v>
      </c>
      <c r="BM350" s="2" t="n">
        <v>4.71</v>
      </c>
      <c r="BN350" s="2" t="n">
        <v>0</v>
      </c>
      <c r="BO350" s="2" t="n">
        <v>36.05</v>
      </c>
      <c r="BP350" s="2" t="n">
        <v>4.71</v>
      </c>
      <c r="BQ350" s="2" t="n">
        <v>0</v>
      </c>
      <c r="BR350" s="2" t="n">
        <v>40.96</v>
      </c>
      <c r="BS350" s="2" t="n">
        <v>4.71</v>
      </c>
      <c r="BT350" s="2" t="n">
        <v>0</v>
      </c>
      <c r="BU350" s="2" t="n">
        <v>46.13</v>
      </c>
      <c r="BV350" s="2" t="n">
        <v>4.71</v>
      </c>
      <c r="BW350" s="2" t="n">
        <v>0</v>
      </c>
      <c r="BX350" s="2" t="n">
        <v>52.15</v>
      </c>
      <c r="BY350" s="2" t="n">
        <v>4.71</v>
      </c>
      <c r="BZ350" s="2" t="n">
        <v>0</v>
      </c>
      <c r="CA350" s="2" t="n">
        <v>58.09</v>
      </c>
      <c r="CB350" s="2" t="n">
        <v>4.71</v>
      </c>
      <c r="CC350" s="2" t="n">
        <v>0</v>
      </c>
      <c r="CD350" s="2" t="n">
        <v>64.66</v>
      </c>
      <c r="CE350" s="2" t="n">
        <v>4.71</v>
      </c>
      <c r="CF350" s="2" t="n">
        <v>0</v>
      </c>
      <c r="CG350" s="2" t="n">
        <v>70.45</v>
      </c>
      <c r="CH350" s="2" t="n">
        <v>4.71</v>
      </c>
      <c r="CI350" s="2" t="n">
        <v>0</v>
      </c>
      <c r="CJ350" s="2" t="n">
        <v>76.94</v>
      </c>
      <c r="CK350" s="2" t="n">
        <v>4.71</v>
      </c>
      <c r="CL350" s="2" t="n">
        <v>0</v>
      </c>
      <c r="CM350" s="2" t="n">
        <v>82.63</v>
      </c>
      <c r="CN350" s="2" t="n">
        <v>4.71</v>
      </c>
      <c r="CO350" s="2" t="n">
        <v>0</v>
      </c>
      <c r="CP350" s="2" t="n">
        <v>88.36</v>
      </c>
      <c r="CQ350" s="2" t="n">
        <v>4.71</v>
      </c>
      <c r="CR350" s="2" t="n">
        <v>0</v>
      </c>
      <c r="CS350" s="2" t="n">
        <v>93.31</v>
      </c>
      <c r="CT350" s="2" t="n">
        <v>4.71</v>
      </c>
      <c r="CU350" s="2" t="n">
        <v>0</v>
      </c>
      <c r="CV350" s="2" t="n">
        <v>96.62</v>
      </c>
      <c r="CW350" s="2" t="n">
        <v>4.71</v>
      </c>
      <c r="CX350" s="2" t="n">
        <v>0</v>
      </c>
      <c r="CY350" s="2" t="n">
        <v>99.08</v>
      </c>
      <c r="CZ350" s="2" t="n">
        <v>4.71</v>
      </c>
      <c r="DA350" s="2" t="n">
        <v>0</v>
      </c>
      <c r="DB350" s="2" t="n">
        <v>100</v>
      </c>
      <c r="DC350" s="2" t="n">
        <v>4.71</v>
      </c>
      <c r="DD350" s="2" t="n">
        <v>0</v>
      </c>
      <c r="DE350" s="2" t="n">
        <v>100</v>
      </c>
      <c r="DF350" s="2" t="n">
        <v>4.71</v>
      </c>
      <c r="DG350" s="2" t="n">
        <v>0</v>
      </c>
      <c r="DH350" s="2" t="n">
        <v>100</v>
      </c>
      <c r="DI350" s="2" t="n">
        <v>4.71</v>
      </c>
      <c r="DJ350" s="2" t="n">
        <v>0</v>
      </c>
      <c r="DK350" s="2" t="n">
        <v>100</v>
      </c>
      <c r="DL350" s="2" t="n">
        <v>4.71</v>
      </c>
      <c r="DM350" s="2" t="n">
        <v>0</v>
      </c>
      <c r="DN350" s="2" t="n">
        <v>100</v>
      </c>
      <c r="DO350" s="2" t="n">
        <v>4.71</v>
      </c>
      <c r="DP350" s="2" t="n">
        <v>0</v>
      </c>
      <c r="DQ350" s="2" t="n">
        <v>100</v>
      </c>
      <c r="DR350" s="2" t="n">
        <v>4.71</v>
      </c>
      <c r="DS350" s="2" t="n">
        <v>0</v>
      </c>
      <c r="DT350" s="2" t="n">
        <v>100</v>
      </c>
      <c r="DU350" s="2" t="n">
        <v>4.71</v>
      </c>
      <c r="DV350" s="2" t="n">
        <v>0</v>
      </c>
      <c r="DW350" s="2" t="n">
        <v>100</v>
      </c>
      <c r="DX350" s="2" t="n">
        <v>4.71</v>
      </c>
      <c r="DY350" s="2" t="n">
        <v>0</v>
      </c>
      <c r="DZ350" s="2" t="n">
        <v>100</v>
      </c>
      <c r="EA350" s="2" t="n">
        <v>4.71</v>
      </c>
      <c r="EB350" s="2" t="n">
        <v>0</v>
      </c>
      <c r="EC350" s="2" t="n">
        <v>100</v>
      </c>
      <c r="ED350" s="2" t="n">
        <v>4.71</v>
      </c>
      <c r="EE350" s="2" t="n">
        <v>0</v>
      </c>
      <c r="EF350" s="2" t="n">
        <v>100</v>
      </c>
      <c r="EG350" s="2" t="n">
        <v>4.71</v>
      </c>
      <c r="EH350" s="2" t="n">
        <v>0</v>
      </c>
      <c r="EI350" s="2" t="n">
        <v>100</v>
      </c>
      <c r="EJ350" s="2" t="n">
        <v>4.71</v>
      </c>
      <c r="EK350" s="2" t="n">
        <v>0</v>
      </c>
      <c r="EL350" s="2" t="n">
        <v>100</v>
      </c>
      <c r="EM350" s="2" t="n">
        <v>4.71</v>
      </c>
      <c r="EN350" s="2" t="n">
        <v>0</v>
      </c>
      <c r="EO350" s="2" t="n">
        <v>100</v>
      </c>
      <c r="EP350" s="2" t="n">
        <v>4.71</v>
      </c>
      <c r="EQ350" s="2" t="n">
        <v>0</v>
      </c>
      <c r="ER350" s="2" t="n">
        <v>100</v>
      </c>
      <c r="ES350" s="2" t="n">
        <v>4.71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4.71</v>
      </c>
      <c r="BB351" s="2" t="n">
        <v>0</v>
      </c>
      <c r="BC351" s="2" t="n">
        <v>14.82</v>
      </c>
      <c r="BD351" s="2" t="n">
        <v>4.71</v>
      </c>
      <c r="BE351" s="2" t="n">
        <v>0</v>
      </c>
      <c r="BF351" s="2" t="n">
        <v>20.19</v>
      </c>
      <c r="BG351" s="2" t="n">
        <v>4.71</v>
      </c>
      <c r="BH351" s="2" t="n">
        <v>0</v>
      </c>
      <c r="BI351" s="2" t="n">
        <v>25.29</v>
      </c>
      <c r="BJ351" s="2" t="n">
        <v>4.71</v>
      </c>
      <c r="BK351" s="2" t="n">
        <v>0</v>
      </c>
      <c r="BL351" s="2" t="n">
        <v>29.8</v>
      </c>
      <c r="BM351" s="2" t="n">
        <v>4.71</v>
      </c>
      <c r="BN351" s="2" t="n">
        <v>0</v>
      </c>
      <c r="BO351" s="2" t="n">
        <v>36.05</v>
      </c>
      <c r="BP351" s="2" t="n">
        <v>4.71</v>
      </c>
      <c r="BQ351" s="2" t="n">
        <v>0</v>
      </c>
      <c r="BR351" s="2" t="n">
        <v>40.96</v>
      </c>
      <c r="BS351" s="2" t="n">
        <v>4.71</v>
      </c>
      <c r="BT351" s="2" t="n">
        <v>0</v>
      </c>
      <c r="BU351" s="2" t="n">
        <v>46.13</v>
      </c>
      <c r="BV351" s="2" t="n">
        <v>4.71</v>
      </c>
      <c r="BW351" s="2" t="n">
        <v>0</v>
      </c>
      <c r="BX351" s="2" t="n">
        <v>52.15</v>
      </c>
      <c r="BY351" s="2" t="n">
        <v>4.71</v>
      </c>
      <c r="BZ351" s="2" t="n">
        <v>0</v>
      </c>
      <c r="CA351" s="2" t="n">
        <v>58.09</v>
      </c>
      <c r="CB351" s="2" t="n">
        <v>4.71</v>
      </c>
      <c r="CC351" s="2" t="n">
        <v>0</v>
      </c>
      <c r="CD351" s="2" t="n">
        <v>64.66</v>
      </c>
      <c r="CE351" s="2" t="n">
        <v>4.71</v>
      </c>
      <c r="CF351" s="2" t="n">
        <v>0</v>
      </c>
      <c r="CG351" s="2" t="n">
        <v>70.45</v>
      </c>
      <c r="CH351" s="2" t="n">
        <v>4.71</v>
      </c>
      <c r="CI351" s="2" t="n">
        <v>0</v>
      </c>
      <c r="CJ351" s="2" t="n">
        <v>76.94</v>
      </c>
      <c r="CK351" s="2" t="n">
        <v>4.71</v>
      </c>
      <c r="CL351" s="2" t="n">
        <v>0</v>
      </c>
      <c r="CM351" s="2" t="n">
        <v>82.63</v>
      </c>
      <c r="CN351" s="2" t="n">
        <v>4.71</v>
      </c>
      <c r="CO351" s="2" t="n">
        <v>0</v>
      </c>
      <c r="CP351" s="2" t="n">
        <v>88.36</v>
      </c>
      <c r="CQ351" s="2" t="n">
        <v>4.71</v>
      </c>
      <c r="CR351" s="2" t="n">
        <v>0</v>
      </c>
      <c r="CS351" s="2" t="n">
        <v>93.31</v>
      </c>
      <c r="CT351" s="2" t="n">
        <v>4.71</v>
      </c>
      <c r="CU351" s="2" t="n">
        <v>0</v>
      </c>
      <c r="CV351" s="2" t="n">
        <v>96.62</v>
      </c>
      <c r="CW351" s="2" t="n">
        <v>4.71</v>
      </c>
      <c r="CX351" s="2" t="n">
        <v>0</v>
      </c>
      <c r="CY351" s="2" t="n">
        <v>99.08</v>
      </c>
      <c r="CZ351" s="2" t="n">
        <v>4.71</v>
      </c>
      <c r="DA351" s="2" t="n">
        <v>0</v>
      </c>
      <c r="DB351" s="2" t="n">
        <v>100</v>
      </c>
      <c r="DC351" s="2" t="n">
        <v>4.71</v>
      </c>
      <c r="DD351" s="2" t="n">
        <v>0</v>
      </c>
      <c r="DE351" s="2" t="n">
        <v>100</v>
      </c>
      <c r="DF351" s="2" t="n">
        <v>4.71</v>
      </c>
      <c r="DG351" s="2" t="n">
        <v>0</v>
      </c>
      <c r="DH351" s="2" t="n">
        <v>100</v>
      </c>
      <c r="DI351" s="2" t="n">
        <v>4.71</v>
      </c>
      <c r="DJ351" s="2" t="n">
        <v>0</v>
      </c>
      <c r="DK351" s="2" t="n">
        <v>100</v>
      </c>
      <c r="DL351" s="2" t="n">
        <v>4.71</v>
      </c>
      <c r="DM351" s="2" t="n">
        <v>0</v>
      </c>
      <c r="DN351" s="2" t="n">
        <v>100</v>
      </c>
      <c r="DO351" s="2" t="n">
        <v>4.71</v>
      </c>
      <c r="DP351" s="2" t="n">
        <v>0</v>
      </c>
      <c r="DQ351" s="2" t="n">
        <v>100</v>
      </c>
      <c r="DR351" s="2" t="n">
        <v>4.71</v>
      </c>
      <c r="DS351" s="2" t="n">
        <v>0</v>
      </c>
      <c r="DT351" s="2" t="n">
        <v>100</v>
      </c>
      <c r="DU351" s="2" t="n">
        <v>4.71</v>
      </c>
      <c r="DV351" s="2" t="n">
        <v>0</v>
      </c>
      <c r="DW351" s="2" t="n">
        <v>100</v>
      </c>
      <c r="DX351" s="2" t="n">
        <v>4.71</v>
      </c>
      <c r="DY351" s="2" t="n">
        <v>0</v>
      </c>
      <c r="DZ351" s="2" t="n">
        <v>100</v>
      </c>
      <c r="EA351" s="2" t="n">
        <v>4.71</v>
      </c>
      <c r="EB351" s="2" t="n">
        <v>0</v>
      </c>
      <c r="EC351" s="2" t="n">
        <v>100</v>
      </c>
      <c r="ED351" s="2" t="n">
        <v>4.71</v>
      </c>
      <c r="EE351" s="2" t="n">
        <v>0</v>
      </c>
      <c r="EF351" s="2" t="n">
        <v>100</v>
      </c>
      <c r="EG351" s="2" t="n">
        <v>4.71</v>
      </c>
      <c r="EH351" s="2" t="n">
        <v>0</v>
      </c>
      <c r="EI351" s="2" t="n">
        <v>100</v>
      </c>
      <c r="EJ351" s="2" t="n">
        <v>4.71</v>
      </c>
      <c r="EK351" s="2" t="n">
        <v>0</v>
      </c>
      <c r="EL351" s="2" t="n">
        <v>100</v>
      </c>
      <c r="EM351" s="2" t="n">
        <v>4.71</v>
      </c>
      <c r="EN351" s="2" t="n">
        <v>0</v>
      </c>
      <c r="EO351" s="2" t="n">
        <v>100</v>
      </c>
      <c r="EP351" s="2" t="n">
        <v>4.71</v>
      </c>
      <c r="EQ351" s="2" t="n">
        <v>0</v>
      </c>
      <c r="ER351" s="2" t="n">
        <v>100</v>
      </c>
      <c r="ES351" s="2" t="n">
        <v>4.71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4.71</v>
      </c>
      <c r="BB352" s="2" t="n">
        <v>0</v>
      </c>
      <c r="BC352" s="2" t="n">
        <v>14.82</v>
      </c>
      <c r="BD352" s="2" t="n">
        <v>4.71</v>
      </c>
      <c r="BE352" s="2" t="n">
        <v>0</v>
      </c>
      <c r="BF352" s="2" t="n">
        <v>20.19</v>
      </c>
      <c r="BG352" s="2" t="n">
        <v>4.71</v>
      </c>
      <c r="BH352" s="2" t="n">
        <v>0</v>
      </c>
      <c r="BI352" s="2" t="n">
        <v>25.29</v>
      </c>
      <c r="BJ352" s="2" t="n">
        <v>4.71</v>
      </c>
      <c r="BK352" s="2" t="n">
        <v>0</v>
      </c>
      <c r="BL352" s="2" t="n">
        <v>29.8</v>
      </c>
      <c r="BM352" s="2" t="n">
        <v>4.71</v>
      </c>
      <c r="BN352" s="2" t="n">
        <v>0</v>
      </c>
      <c r="BO352" s="2" t="n">
        <v>36.05</v>
      </c>
      <c r="BP352" s="2" t="n">
        <v>4.71</v>
      </c>
      <c r="BQ352" s="2" t="n">
        <v>0</v>
      </c>
      <c r="BR352" s="2" t="n">
        <v>40.96</v>
      </c>
      <c r="BS352" s="2" t="n">
        <v>4.71</v>
      </c>
      <c r="BT352" s="2" t="n">
        <v>0</v>
      </c>
      <c r="BU352" s="2" t="n">
        <v>46.13</v>
      </c>
      <c r="BV352" s="2" t="n">
        <v>4.71</v>
      </c>
      <c r="BW352" s="2" t="n">
        <v>0</v>
      </c>
      <c r="BX352" s="2" t="n">
        <v>52.15</v>
      </c>
      <c r="BY352" s="2" t="n">
        <v>4.71</v>
      </c>
      <c r="BZ352" s="2" t="n">
        <v>0</v>
      </c>
      <c r="CA352" s="2" t="n">
        <v>58.09</v>
      </c>
      <c r="CB352" s="2" t="n">
        <v>4.71</v>
      </c>
      <c r="CC352" s="2" t="n">
        <v>0</v>
      </c>
      <c r="CD352" s="2" t="n">
        <v>64.66</v>
      </c>
      <c r="CE352" s="2" t="n">
        <v>4.71</v>
      </c>
      <c r="CF352" s="2" t="n">
        <v>0</v>
      </c>
      <c r="CG352" s="2" t="n">
        <v>70.45</v>
      </c>
      <c r="CH352" s="2" t="n">
        <v>4.71</v>
      </c>
      <c r="CI352" s="2" t="n">
        <v>0</v>
      </c>
      <c r="CJ352" s="2" t="n">
        <v>76.94</v>
      </c>
      <c r="CK352" s="2" t="n">
        <v>4.71</v>
      </c>
      <c r="CL352" s="2" t="n">
        <v>0</v>
      </c>
      <c r="CM352" s="2" t="n">
        <v>82.63</v>
      </c>
      <c r="CN352" s="2" t="n">
        <v>4.71</v>
      </c>
      <c r="CO352" s="2" t="n">
        <v>0</v>
      </c>
      <c r="CP352" s="2" t="n">
        <v>88.36</v>
      </c>
      <c r="CQ352" s="2" t="n">
        <v>4.71</v>
      </c>
      <c r="CR352" s="2" t="n">
        <v>0</v>
      </c>
      <c r="CS352" s="2" t="n">
        <v>93.31</v>
      </c>
      <c r="CT352" s="2" t="n">
        <v>4.71</v>
      </c>
      <c r="CU352" s="2" t="n">
        <v>0</v>
      </c>
      <c r="CV352" s="2" t="n">
        <v>96.62</v>
      </c>
      <c r="CW352" s="2" t="n">
        <v>4.71</v>
      </c>
      <c r="CX352" s="2" t="n">
        <v>0</v>
      </c>
      <c r="CY352" s="2" t="n">
        <v>99.08</v>
      </c>
      <c r="CZ352" s="2" t="n">
        <v>4.71</v>
      </c>
      <c r="DA352" s="2" t="n">
        <v>0</v>
      </c>
      <c r="DB352" s="2" t="n">
        <v>100</v>
      </c>
      <c r="DC352" s="2" t="n">
        <v>4.71</v>
      </c>
      <c r="DD352" s="2" t="n">
        <v>0</v>
      </c>
      <c r="DE352" s="2" t="n">
        <v>100</v>
      </c>
      <c r="DF352" s="2" t="n">
        <v>4.71</v>
      </c>
      <c r="DG352" s="2" t="n">
        <v>0</v>
      </c>
      <c r="DH352" s="2" t="n">
        <v>100</v>
      </c>
      <c r="DI352" s="2" t="n">
        <v>4.71</v>
      </c>
      <c r="DJ352" s="2" t="n">
        <v>0</v>
      </c>
      <c r="DK352" s="2" t="n">
        <v>100</v>
      </c>
      <c r="DL352" s="2" t="n">
        <v>4.71</v>
      </c>
      <c r="DM352" s="2" t="n">
        <v>0</v>
      </c>
      <c r="DN352" s="2" t="n">
        <v>100</v>
      </c>
      <c r="DO352" s="2" t="n">
        <v>4.71</v>
      </c>
      <c r="DP352" s="2" t="n">
        <v>0</v>
      </c>
      <c r="DQ352" s="2" t="n">
        <v>100</v>
      </c>
      <c r="DR352" s="2" t="n">
        <v>4.71</v>
      </c>
      <c r="DS352" s="2" t="n">
        <v>0</v>
      </c>
      <c r="DT352" s="2" t="n">
        <v>100</v>
      </c>
      <c r="DU352" s="2" t="n">
        <v>4.71</v>
      </c>
      <c r="DV352" s="2" t="n">
        <v>0</v>
      </c>
      <c r="DW352" s="2" t="n">
        <v>100</v>
      </c>
      <c r="DX352" s="2" t="n">
        <v>4.71</v>
      </c>
      <c r="DY352" s="2" t="n">
        <v>0</v>
      </c>
      <c r="DZ352" s="2" t="n">
        <v>100</v>
      </c>
      <c r="EA352" s="2" t="n">
        <v>4.71</v>
      </c>
      <c r="EB352" s="2" t="n">
        <v>0</v>
      </c>
      <c r="EC352" s="2" t="n">
        <v>100</v>
      </c>
      <c r="ED352" s="2" t="n">
        <v>4.71</v>
      </c>
      <c r="EE352" s="2" t="n">
        <v>0</v>
      </c>
      <c r="EF352" s="2" t="n">
        <v>100</v>
      </c>
      <c r="EG352" s="2" t="n">
        <v>4.71</v>
      </c>
      <c r="EH352" s="2" t="n">
        <v>0</v>
      </c>
      <c r="EI352" s="2" t="n">
        <v>100</v>
      </c>
      <c r="EJ352" s="2" t="n">
        <v>4.71</v>
      </c>
      <c r="EK352" s="2" t="n">
        <v>0</v>
      </c>
      <c r="EL352" s="2" t="n">
        <v>100</v>
      </c>
      <c r="EM352" s="2" t="n">
        <v>4.71</v>
      </c>
      <c r="EN352" s="2" t="n">
        <v>0</v>
      </c>
      <c r="EO352" s="2" t="n">
        <v>100</v>
      </c>
      <c r="EP352" s="2" t="n">
        <v>4.71</v>
      </c>
      <c r="EQ352" s="2" t="n">
        <v>0</v>
      </c>
      <c r="ER352" s="2" t="n">
        <v>100</v>
      </c>
      <c r="ES352" s="2" t="n">
        <v>4.71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4.71</v>
      </c>
      <c r="BB353" s="2" t="n">
        <v>0</v>
      </c>
      <c r="BC353" s="2" t="n">
        <v>14.82</v>
      </c>
      <c r="BD353" s="2" t="n">
        <v>4.71</v>
      </c>
      <c r="BE353" s="2" t="n">
        <v>0</v>
      </c>
      <c r="BF353" s="2" t="n">
        <v>20.19</v>
      </c>
      <c r="BG353" s="2" t="n">
        <v>4.71</v>
      </c>
      <c r="BH353" s="2" t="n">
        <v>0</v>
      </c>
      <c r="BI353" s="2" t="n">
        <v>25.29</v>
      </c>
      <c r="BJ353" s="2" t="n">
        <v>4.71</v>
      </c>
      <c r="BK353" s="2" t="n">
        <v>0</v>
      </c>
      <c r="BL353" s="2" t="n">
        <v>29.8</v>
      </c>
      <c r="BM353" s="2" t="n">
        <v>4.71</v>
      </c>
      <c r="BN353" s="2" t="n">
        <v>0</v>
      </c>
      <c r="BO353" s="2" t="n">
        <v>36.05</v>
      </c>
      <c r="BP353" s="2" t="n">
        <v>4.71</v>
      </c>
      <c r="BQ353" s="2" t="n">
        <v>0</v>
      </c>
      <c r="BR353" s="2" t="n">
        <v>40.96</v>
      </c>
      <c r="BS353" s="2" t="n">
        <v>4.71</v>
      </c>
      <c r="BT353" s="2" t="n">
        <v>0</v>
      </c>
      <c r="BU353" s="2" t="n">
        <v>46.13</v>
      </c>
      <c r="BV353" s="2" t="n">
        <v>4.71</v>
      </c>
      <c r="BW353" s="2" t="n">
        <v>0</v>
      </c>
      <c r="BX353" s="2" t="n">
        <v>52.15</v>
      </c>
      <c r="BY353" s="2" t="n">
        <v>4.71</v>
      </c>
      <c r="BZ353" s="2" t="n">
        <v>0</v>
      </c>
      <c r="CA353" s="2" t="n">
        <v>58.09</v>
      </c>
      <c r="CB353" s="2" t="n">
        <v>4.71</v>
      </c>
      <c r="CC353" s="2" t="n">
        <v>0</v>
      </c>
      <c r="CD353" s="2" t="n">
        <v>64.66</v>
      </c>
      <c r="CE353" s="2" t="n">
        <v>4.71</v>
      </c>
      <c r="CF353" s="2" t="n">
        <v>0</v>
      </c>
      <c r="CG353" s="2" t="n">
        <v>70.45</v>
      </c>
      <c r="CH353" s="2" t="n">
        <v>4.71</v>
      </c>
      <c r="CI353" s="2" t="n">
        <v>0</v>
      </c>
      <c r="CJ353" s="2" t="n">
        <v>76.94</v>
      </c>
      <c r="CK353" s="2" t="n">
        <v>4.71</v>
      </c>
      <c r="CL353" s="2" t="n">
        <v>0</v>
      </c>
      <c r="CM353" s="2" t="n">
        <v>82.63</v>
      </c>
      <c r="CN353" s="2" t="n">
        <v>4.71</v>
      </c>
      <c r="CO353" s="2" t="n">
        <v>0</v>
      </c>
      <c r="CP353" s="2" t="n">
        <v>88.36</v>
      </c>
      <c r="CQ353" s="2" t="n">
        <v>4.71</v>
      </c>
      <c r="CR353" s="2" t="n">
        <v>0</v>
      </c>
      <c r="CS353" s="2" t="n">
        <v>93.31</v>
      </c>
      <c r="CT353" s="2" t="n">
        <v>4.71</v>
      </c>
      <c r="CU353" s="2" t="n">
        <v>0</v>
      </c>
      <c r="CV353" s="2" t="n">
        <v>96.62</v>
      </c>
      <c r="CW353" s="2" t="n">
        <v>4.71</v>
      </c>
      <c r="CX353" s="2" t="n">
        <v>0</v>
      </c>
      <c r="CY353" s="2" t="n">
        <v>99.08</v>
      </c>
      <c r="CZ353" s="2" t="n">
        <v>4.71</v>
      </c>
      <c r="DA353" s="2" t="n">
        <v>0</v>
      </c>
      <c r="DB353" s="2" t="n">
        <v>100</v>
      </c>
      <c r="DC353" s="2" t="n">
        <v>4.71</v>
      </c>
      <c r="DD353" s="2" t="n">
        <v>0</v>
      </c>
      <c r="DE353" s="2" t="n">
        <v>100</v>
      </c>
      <c r="DF353" s="2" t="n">
        <v>4.71</v>
      </c>
      <c r="DG353" s="2" t="n">
        <v>0</v>
      </c>
      <c r="DH353" s="2" t="n">
        <v>100</v>
      </c>
      <c r="DI353" s="2" t="n">
        <v>4.71</v>
      </c>
      <c r="DJ353" s="2" t="n">
        <v>0</v>
      </c>
      <c r="DK353" s="2" t="n">
        <v>100</v>
      </c>
      <c r="DL353" s="2" t="n">
        <v>4.71</v>
      </c>
      <c r="DM353" s="2" t="n">
        <v>0</v>
      </c>
      <c r="DN353" s="2" t="n">
        <v>100</v>
      </c>
      <c r="DO353" s="2" t="n">
        <v>4.71</v>
      </c>
      <c r="DP353" s="2" t="n">
        <v>0</v>
      </c>
      <c r="DQ353" s="2" t="n">
        <v>100</v>
      </c>
      <c r="DR353" s="2" t="n">
        <v>4.71</v>
      </c>
      <c r="DS353" s="2" t="n">
        <v>0</v>
      </c>
      <c r="DT353" s="2" t="n">
        <v>100</v>
      </c>
      <c r="DU353" s="2" t="n">
        <v>4.71</v>
      </c>
      <c r="DV353" s="2" t="n">
        <v>0</v>
      </c>
      <c r="DW353" s="2" t="n">
        <v>100</v>
      </c>
      <c r="DX353" s="2" t="n">
        <v>4.71</v>
      </c>
      <c r="DY353" s="2" t="n">
        <v>0</v>
      </c>
      <c r="DZ353" s="2" t="n">
        <v>100</v>
      </c>
      <c r="EA353" s="2" t="n">
        <v>4.71</v>
      </c>
      <c r="EB353" s="2" t="n">
        <v>0</v>
      </c>
      <c r="EC353" s="2" t="n">
        <v>100</v>
      </c>
      <c r="ED353" s="2" t="n">
        <v>4.71</v>
      </c>
      <c r="EE353" s="2" t="n">
        <v>0</v>
      </c>
      <c r="EF353" s="2" t="n">
        <v>100</v>
      </c>
      <c r="EG353" s="2" t="n">
        <v>4.71</v>
      </c>
      <c r="EH353" s="2" t="n">
        <v>0</v>
      </c>
      <c r="EI353" s="2" t="n">
        <v>100</v>
      </c>
      <c r="EJ353" s="2" t="n">
        <v>4.71</v>
      </c>
      <c r="EK353" s="2" t="n">
        <v>0</v>
      </c>
      <c r="EL353" s="2" t="n">
        <v>100</v>
      </c>
      <c r="EM353" s="2" t="n">
        <v>4.71</v>
      </c>
      <c r="EN353" s="2" t="n">
        <v>0</v>
      </c>
      <c r="EO353" s="2" t="n">
        <v>100</v>
      </c>
      <c r="EP353" s="2" t="n">
        <v>4.71</v>
      </c>
      <c r="EQ353" s="2" t="n">
        <v>0</v>
      </c>
      <c r="ER353" s="2" t="n">
        <v>100</v>
      </c>
      <c r="ES353" s="2" t="n">
        <v>4.71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4.71</v>
      </c>
      <c r="BB354" s="2" t="n">
        <v>0</v>
      </c>
      <c r="BC354" s="2" t="n">
        <v>14.82</v>
      </c>
      <c r="BD354" s="2" t="n">
        <v>4.71</v>
      </c>
      <c r="BE354" s="2" t="n">
        <v>0</v>
      </c>
      <c r="BF354" s="2" t="n">
        <v>20.19</v>
      </c>
      <c r="BG354" s="2" t="n">
        <v>4.71</v>
      </c>
      <c r="BH354" s="2" t="n">
        <v>0</v>
      </c>
      <c r="BI354" s="2" t="n">
        <v>25.29</v>
      </c>
      <c r="BJ354" s="2" t="n">
        <v>4.71</v>
      </c>
      <c r="BK354" s="2" t="n">
        <v>0</v>
      </c>
      <c r="BL354" s="2" t="n">
        <v>29.8</v>
      </c>
      <c r="BM354" s="2" t="n">
        <v>4.71</v>
      </c>
      <c r="BN354" s="2" t="n">
        <v>0</v>
      </c>
      <c r="BO354" s="2" t="n">
        <v>36.05</v>
      </c>
      <c r="BP354" s="2" t="n">
        <v>4.71</v>
      </c>
      <c r="BQ354" s="2" t="n">
        <v>0</v>
      </c>
      <c r="BR354" s="2" t="n">
        <v>40.96</v>
      </c>
      <c r="BS354" s="2" t="n">
        <v>4.71</v>
      </c>
      <c r="BT354" s="2" t="n">
        <v>0</v>
      </c>
      <c r="BU354" s="2" t="n">
        <v>46.13</v>
      </c>
      <c r="BV354" s="2" t="n">
        <v>4.71</v>
      </c>
      <c r="BW354" s="2" t="n">
        <v>0</v>
      </c>
      <c r="BX354" s="2" t="n">
        <v>52.15</v>
      </c>
      <c r="BY354" s="2" t="n">
        <v>4.71</v>
      </c>
      <c r="BZ354" s="2" t="n">
        <v>0</v>
      </c>
      <c r="CA354" s="2" t="n">
        <v>58.09</v>
      </c>
      <c r="CB354" s="2" t="n">
        <v>4.71</v>
      </c>
      <c r="CC354" s="2" t="n">
        <v>0</v>
      </c>
      <c r="CD354" s="2" t="n">
        <v>64.66</v>
      </c>
      <c r="CE354" s="2" t="n">
        <v>4.71</v>
      </c>
      <c r="CF354" s="2" t="n">
        <v>0</v>
      </c>
      <c r="CG354" s="2" t="n">
        <v>70.45</v>
      </c>
      <c r="CH354" s="2" t="n">
        <v>4.71</v>
      </c>
      <c r="CI354" s="2" t="n">
        <v>0</v>
      </c>
      <c r="CJ354" s="2" t="n">
        <v>76.94</v>
      </c>
      <c r="CK354" s="2" t="n">
        <v>4.71</v>
      </c>
      <c r="CL354" s="2" t="n">
        <v>0</v>
      </c>
      <c r="CM354" s="2" t="n">
        <v>82.63</v>
      </c>
      <c r="CN354" s="2" t="n">
        <v>4.71</v>
      </c>
      <c r="CO354" s="2" t="n">
        <v>0</v>
      </c>
      <c r="CP354" s="2" t="n">
        <v>88.36</v>
      </c>
      <c r="CQ354" s="2" t="n">
        <v>4.71</v>
      </c>
      <c r="CR354" s="2" t="n">
        <v>0</v>
      </c>
      <c r="CS354" s="2" t="n">
        <v>93.31</v>
      </c>
      <c r="CT354" s="2" t="n">
        <v>4.71</v>
      </c>
      <c r="CU354" s="2" t="n">
        <v>0</v>
      </c>
      <c r="CV354" s="2" t="n">
        <v>96.62</v>
      </c>
      <c r="CW354" s="2" t="n">
        <v>4.71</v>
      </c>
      <c r="CX354" s="2" t="n">
        <v>0</v>
      </c>
      <c r="CY354" s="2" t="n">
        <v>99.08</v>
      </c>
      <c r="CZ354" s="2" t="n">
        <v>4.71</v>
      </c>
      <c r="DA354" s="2" t="n">
        <v>0</v>
      </c>
      <c r="DB354" s="2" t="n">
        <v>100</v>
      </c>
      <c r="DC354" s="2" t="n">
        <v>4.71</v>
      </c>
      <c r="DD354" s="2" t="n">
        <v>0</v>
      </c>
      <c r="DE354" s="2" t="n">
        <v>100</v>
      </c>
      <c r="DF354" s="2" t="n">
        <v>4.71</v>
      </c>
      <c r="DG354" s="2" t="n">
        <v>0</v>
      </c>
      <c r="DH354" s="2" t="n">
        <v>100</v>
      </c>
      <c r="DI354" s="2" t="n">
        <v>4.71</v>
      </c>
      <c r="DJ354" s="2" t="n">
        <v>0</v>
      </c>
      <c r="DK354" s="2" t="n">
        <v>100</v>
      </c>
      <c r="DL354" s="2" t="n">
        <v>4.71</v>
      </c>
      <c r="DM354" s="2" t="n">
        <v>0</v>
      </c>
      <c r="DN354" s="2" t="n">
        <v>100</v>
      </c>
      <c r="DO354" s="2" t="n">
        <v>4.71</v>
      </c>
      <c r="DP354" s="2" t="n">
        <v>0</v>
      </c>
      <c r="DQ354" s="2" t="n">
        <v>100</v>
      </c>
      <c r="DR354" s="2" t="n">
        <v>4.71</v>
      </c>
      <c r="DS354" s="2" t="n">
        <v>0</v>
      </c>
      <c r="DT354" s="2" t="n">
        <v>100</v>
      </c>
      <c r="DU354" s="2" t="n">
        <v>4.71</v>
      </c>
      <c r="DV354" s="2" t="n">
        <v>0</v>
      </c>
      <c r="DW354" s="2" t="n">
        <v>100</v>
      </c>
      <c r="DX354" s="2" t="n">
        <v>4.71</v>
      </c>
      <c r="DY354" s="2" t="n">
        <v>0</v>
      </c>
      <c r="DZ354" s="2" t="n">
        <v>100</v>
      </c>
      <c r="EA354" s="2" t="n">
        <v>4.71</v>
      </c>
      <c r="EB354" s="2" t="n">
        <v>0</v>
      </c>
      <c r="EC354" s="2" t="n">
        <v>100</v>
      </c>
      <c r="ED354" s="2" t="n">
        <v>4.71</v>
      </c>
      <c r="EE354" s="2" t="n">
        <v>0</v>
      </c>
      <c r="EF354" s="2" t="n">
        <v>100</v>
      </c>
      <c r="EG354" s="2" t="n">
        <v>4.71</v>
      </c>
      <c r="EH354" s="2" t="n">
        <v>0</v>
      </c>
      <c r="EI354" s="2" t="n">
        <v>100</v>
      </c>
      <c r="EJ354" s="2" t="n">
        <v>4.71</v>
      </c>
      <c r="EK354" s="2" t="n">
        <v>0</v>
      </c>
      <c r="EL354" s="2" t="n">
        <v>100</v>
      </c>
      <c r="EM354" s="2" t="n">
        <v>4.71</v>
      </c>
      <c r="EN354" s="2" t="n">
        <v>0</v>
      </c>
      <c r="EO354" s="2" t="n">
        <v>100</v>
      </c>
      <c r="EP354" s="2" t="n">
        <v>4.71</v>
      </c>
      <c r="EQ354" s="2" t="n">
        <v>0</v>
      </c>
      <c r="ER354" s="2" t="n">
        <v>100</v>
      </c>
      <c r="ES354" s="2" t="n">
        <v>4.71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4.71</v>
      </c>
      <c r="BB355" s="2" t="n">
        <v>0</v>
      </c>
      <c r="BC355" s="2" t="n">
        <v>14.82</v>
      </c>
      <c r="BD355" s="2" t="n">
        <v>4.71</v>
      </c>
      <c r="BE355" s="2" t="n">
        <v>0</v>
      </c>
      <c r="BF355" s="2" t="n">
        <v>20.19</v>
      </c>
      <c r="BG355" s="2" t="n">
        <v>4.71</v>
      </c>
      <c r="BH355" s="2" t="n">
        <v>0</v>
      </c>
      <c r="BI355" s="2" t="n">
        <v>25.29</v>
      </c>
      <c r="BJ355" s="2" t="n">
        <v>4.71</v>
      </c>
      <c r="BK355" s="2" t="n">
        <v>0</v>
      </c>
      <c r="BL355" s="2" t="n">
        <v>29.8</v>
      </c>
      <c r="BM355" s="2" t="n">
        <v>4.71</v>
      </c>
      <c r="BN355" s="2" t="n">
        <v>0</v>
      </c>
      <c r="BO355" s="2" t="n">
        <v>36.05</v>
      </c>
      <c r="BP355" s="2" t="n">
        <v>4.71</v>
      </c>
      <c r="BQ355" s="2" t="n">
        <v>0</v>
      </c>
      <c r="BR355" s="2" t="n">
        <v>40.96</v>
      </c>
      <c r="BS355" s="2" t="n">
        <v>4.71</v>
      </c>
      <c r="BT355" s="2" t="n">
        <v>0</v>
      </c>
      <c r="BU355" s="2" t="n">
        <v>46.13</v>
      </c>
      <c r="BV355" s="2" t="n">
        <v>4.71</v>
      </c>
      <c r="BW355" s="2" t="n">
        <v>0</v>
      </c>
      <c r="BX355" s="2" t="n">
        <v>52.15</v>
      </c>
      <c r="BY355" s="2" t="n">
        <v>4.71</v>
      </c>
      <c r="BZ355" s="2" t="n">
        <v>0</v>
      </c>
      <c r="CA355" s="2" t="n">
        <v>58.09</v>
      </c>
      <c r="CB355" s="2" t="n">
        <v>4.71</v>
      </c>
      <c r="CC355" s="2" t="n">
        <v>0</v>
      </c>
      <c r="CD355" s="2" t="n">
        <v>64.66</v>
      </c>
      <c r="CE355" s="2" t="n">
        <v>4.71</v>
      </c>
      <c r="CF355" s="2" t="n">
        <v>0</v>
      </c>
      <c r="CG355" s="2" t="n">
        <v>70.45</v>
      </c>
      <c r="CH355" s="2" t="n">
        <v>4.71</v>
      </c>
      <c r="CI355" s="2" t="n">
        <v>0</v>
      </c>
      <c r="CJ355" s="2" t="n">
        <v>76.94</v>
      </c>
      <c r="CK355" s="2" t="n">
        <v>4.71</v>
      </c>
      <c r="CL355" s="2" t="n">
        <v>0</v>
      </c>
      <c r="CM355" s="2" t="n">
        <v>82.63</v>
      </c>
      <c r="CN355" s="2" t="n">
        <v>4.71</v>
      </c>
      <c r="CO355" s="2" t="n">
        <v>0</v>
      </c>
      <c r="CP355" s="2" t="n">
        <v>88.36</v>
      </c>
      <c r="CQ355" s="2" t="n">
        <v>4.71</v>
      </c>
      <c r="CR355" s="2" t="n">
        <v>0</v>
      </c>
      <c r="CS355" s="2" t="n">
        <v>93.31</v>
      </c>
      <c r="CT355" s="2" t="n">
        <v>4.71</v>
      </c>
      <c r="CU355" s="2" t="n">
        <v>0</v>
      </c>
      <c r="CV355" s="2" t="n">
        <v>96.62</v>
      </c>
      <c r="CW355" s="2" t="n">
        <v>4.71</v>
      </c>
      <c r="CX355" s="2" t="n">
        <v>0</v>
      </c>
      <c r="CY355" s="2" t="n">
        <v>99.08</v>
      </c>
      <c r="CZ355" s="2" t="n">
        <v>4.71</v>
      </c>
      <c r="DA355" s="2" t="n">
        <v>0</v>
      </c>
      <c r="DB355" s="2" t="n">
        <v>100</v>
      </c>
      <c r="DC355" s="2" t="n">
        <v>4.71</v>
      </c>
      <c r="DD355" s="2" t="n">
        <v>0</v>
      </c>
      <c r="DE355" s="2" t="n">
        <v>100</v>
      </c>
      <c r="DF355" s="2" t="n">
        <v>4.71</v>
      </c>
      <c r="DG355" s="2" t="n">
        <v>0</v>
      </c>
      <c r="DH355" s="2" t="n">
        <v>100</v>
      </c>
      <c r="DI355" s="2" t="n">
        <v>4.71</v>
      </c>
      <c r="DJ355" s="2" t="n">
        <v>0</v>
      </c>
      <c r="DK355" s="2" t="n">
        <v>100</v>
      </c>
      <c r="DL355" s="2" t="n">
        <v>4.71</v>
      </c>
      <c r="DM355" s="2" t="n">
        <v>0</v>
      </c>
      <c r="DN355" s="2" t="n">
        <v>100</v>
      </c>
      <c r="DO355" s="2" t="n">
        <v>4.71</v>
      </c>
      <c r="DP355" s="2" t="n">
        <v>0</v>
      </c>
      <c r="DQ355" s="2" t="n">
        <v>100</v>
      </c>
      <c r="DR355" s="2" t="n">
        <v>4.71</v>
      </c>
      <c r="DS355" s="2" t="n">
        <v>0</v>
      </c>
      <c r="DT355" s="2" t="n">
        <v>100</v>
      </c>
      <c r="DU355" s="2" t="n">
        <v>4.71</v>
      </c>
      <c r="DV355" s="2" t="n">
        <v>0</v>
      </c>
      <c r="DW355" s="2" t="n">
        <v>100</v>
      </c>
      <c r="DX355" s="2" t="n">
        <v>4.71</v>
      </c>
      <c r="DY355" s="2" t="n">
        <v>0</v>
      </c>
      <c r="DZ355" s="2" t="n">
        <v>100</v>
      </c>
      <c r="EA355" s="2" t="n">
        <v>4.71</v>
      </c>
      <c r="EB355" s="2" t="n">
        <v>0</v>
      </c>
      <c r="EC355" s="2" t="n">
        <v>100</v>
      </c>
      <c r="ED355" s="2" t="n">
        <v>4.71</v>
      </c>
      <c r="EE355" s="2" t="n">
        <v>0</v>
      </c>
      <c r="EF355" s="2" t="n">
        <v>100</v>
      </c>
      <c r="EG355" s="2" t="n">
        <v>4.71</v>
      </c>
      <c r="EH355" s="2" t="n">
        <v>0</v>
      </c>
      <c r="EI355" s="2" t="n">
        <v>100</v>
      </c>
      <c r="EJ355" s="2" t="n">
        <v>4.71</v>
      </c>
      <c r="EK355" s="2" t="n">
        <v>0</v>
      </c>
      <c r="EL355" s="2" t="n">
        <v>100</v>
      </c>
      <c r="EM355" s="2" t="n">
        <v>4.71</v>
      </c>
      <c r="EN355" s="2" t="n">
        <v>0</v>
      </c>
      <c r="EO355" s="2" t="n">
        <v>100</v>
      </c>
      <c r="EP355" s="2" t="n">
        <v>4.71</v>
      </c>
      <c r="EQ355" s="2" t="n">
        <v>0</v>
      </c>
      <c r="ER355" s="2" t="n">
        <v>100</v>
      </c>
      <c r="ES355" s="2" t="n">
        <v>4.71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4.71</v>
      </c>
      <c r="BB356" s="2" t="n">
        <v>0</v>
      </c>
      <c r="BC356" s="2" t="n">
        <v>14.82</v>
      </c>
      <c r="BD356" s="2" t="n">
        <v>4.71</v>
      </c>
      <c r="BE356" s="2" t="n">
        <v>0</v>
      </c>
      <c r="BF356" s="2" t="n">
        <v>20.19</v>
      </c>
      <c r="BG356" s="2" t="n">
        <v>4.71</v>
      </c>
      <c r="BH356" s="2" t="n">
        <v>0</v>
      </c>
      <c r="BI356" s="2" t="n">
        <v>25.29</v>
      </c>
      <c r="BJ356" s="2" t="n">
        <v>4.71</v>
      </c>
      <c r="BK356" s="2" t="n">
        <v>0</v>
      </c>
      <c r="BL356" s="2" t="n">
        <v>29.8</v>
      </c>
      <c r="BM356" s="2" t="n">
        <v>4.71</v>
      </c>
      <c r="BN356" s="2" t="n">
        <v>0</v>
      </c>
      <c r="BO356" s="2" t="n">
        <v>36.05</v>
      </c>
      <c r="BP356" s="2" t="n">
        <v>4.71</v>
      </c>
      <c r="BQ356" s="2" t="n">
        <v>0</v>
      </c>
      <c r="BR356" s="2" t="n">
        <v>40.96</v>
      </c>
      <c r="BS356" s="2" t="n">
        <v>4.71</v>
      </c>
      <c r="BT356" s="2" t="n">
        <v>0</v>
      </c>
      <c r="BU356" s="2" t="n">
        <v>46.13</v>
      </c>
      <c r="BV356" s="2" t="n">
        <v>4.71</v>
      </c>
      <c r="BW356" s="2" t="n">
        <v>0</v>
      </c>
      <c r="BX356" s="2" t="n">
        <v>52.15</v>
      </c>
      <c r="BY356" s="2" t="n">
        <v>4.71</v>
      </c>
      <c r="BZ356" s="2" t="n">
        <v>0</v>
      </c>
      <c r="CA356" s="2" t="n">
        <v>58.09</v>
      </c>
      <c r="CB356" s="2" t="n">
        <v>4.71</v>
      </c>
      <c r="CC356" s="2" t="n">
        <v>0</v>
      </c>
      <c r="CD356" s="2" t="n">
        <v>64.66</v>
      </c>
      <c r="CE356" s="2" t="n">
        <v>4.71</v>
      </c>
      <c r="CF356" s="2" t="n">
        <v>0</v>
      </c>
      <c r="CG356" s="2" t="n">
        <v>70.45</v>
      </c>
      <c r="CH356" s="2" t="n">
        <v>4.71</v>
      </c>
      <c r="CI356" s="2" t="n">
        <v>0</v>
      </c>
      <c r="CJ356" s="2" t="n">
        <v>76.94</v>
      </c>
      <c r="CK356" s="2" t="n">
        <v>4.71</v>
      </c>
      <c r="CL356" s="2" t="n">
        <v>0</v>
      </c>
      <c r="CM356" s="2" t="n">
        <v>82.63</v>
      </c>
      <c r="CN356" s="2" t="n">
        <v>4.71</v>
      </c>
      <c r="CO356" s="2" t="n">
        <v>0</v>
      </c>
      <c r="CP356" s="2" t="n">
        <v>88.36</v>
      </c>
      <c r="CQ356" s="2" t="n">
        <v>4.71</v>
      </c>
      <c r="CR356" s="2" t="n">
        <v>0</v>
      </c>
      <c r="CS356" s="2" t="n">
        <v>93.31</v>
      </c>
      <c r="CT356" s="2" t="n">
        <v>4.71</v>
      </c>
      <c r="CU356" s="2" t="n">
        <v>0</v>
      </c>
      <c r="CV356" s="2" t="n">
        <v>96.62</v>
      </c>
      <c r="CW356" s="2" t="n">
        <v>4.71</v>
      </c>
      <c r="CX356" s="2" t="n">
        <v>0</v>
      </c>
      <c r="CY356" s="2" t="n">
        <v>99.08</v>
      </c>
      <c r="CZ356" s="2" t="n">
        <v>4.71</v>
      </c>
      <c r="DA356" s="2" t="n">
        <v>0</v>
      </c>
      <c r="DB356" s="2" t="n">
        <v>100</v>
      </c>
      <c r="DC356" s="2" t="n">
        <v>4.71</v>
      </c>
      <c r="DD356" s="2" t="n">
        <v>0</v>
      </c>
      <c r="DE356" s="2" t="n">
        <v>100</v>
      </c>
      <c r="DF356" s="2" t="n">
        <v>4.71</v>
      </c>
      <c r="DG356" s="2" t="n">
        <v>0</v>
      </c>
      <c r="DH356" s="2" t="n">
        <v>100</v>
      </c>
      <c r="DI356" s="2" t="n">
        <v>4.71</v>
      </c>
      <c r="DJ356" s="2" t="n">
        <v>0</v>
      </c>
      <c r="DK356" s="2" t="n">
        <v>100</v>
      </c>
      <c r="DL356" s="2" t="n">
        <v>4.71</v>
      </c>
      <c r="DM356" s="2" t="n">
        <v>0</v>
      </c>
      <c r="DN356" s="2" t="n">
        <v>100</v>
      </c>
      <c r="DO356" s="2" t="n">
        <v>4.71</v>
      </c>
      <c r="DP356" s="2" t="n">
        <v>0</v>
      </c>
      <c r="DQ356" s="2" t="n">
        <v>100</v>
      </c>
      <c r="DR356" s="2" t="n">
        <v>4.71</v>
      </c>
      <c r="DS356" s="2" t="n">
        <v>0</v>
      </c>
      <c r="DT356" s="2" t="n">
        <v>100</v>
      </c>
      <c r="DU356" s="2" t="n">
        <v>4.71</v>
      </c>
      <c r="DV356" s="2" t="n">
        <v>0</v>
      </c>
      <c r="DW356" s="2" t="n">
        <v>100</v>
      </c>
      <c r="DX356" s="2" t="n">
        <v>4.71</v>
      </c>
      <c r="DY356" s="2" t="n">
        <v>0</v>
      </c>
      <c r="DZ356" s="2" t="n">
        <v>100</v>
      </c>
      <c r="EA356" s="2" t="n">
        <v>4.71</v>
      </c>
      <c r="EB356" s="2" t="n">
        <v>0</v>
      </c>
      <c r="EC356" s="2" t="n">
        <v>100</v>
      </c>
      <c r="ED356" s="2" t="n">
        <v>4.71</v>
      </c>
      <c r="EE356" s="2" t="n">
        <v>0</v>
      </c>
      <c r="EF356" s="2" t="n">
        <v>100</v>
      </c>
      <c r="EG356" s="2" t="n">
        <v>4.71</v>
      </c>
      <c r="EH356" s="2" t="n">
        <v>0</v>
      </c>
      <c r="EI356" s="2" t="n">
        <v>100</v>
      </c>
      <c r="EJ356" s="2" t="n">
        <v>4.71</v>
      </c>
      <c r="EK356" s="2" t="n">
        <v>0</v>
      </c>
      <c r="EL356" s="2" t="n">
        <v>100</v>
      </c>
      <c r="EM356" s="2" t="n">
        <v>4.71</v>
      </c>
      <c r="EN356" s="2" t="n">
        <v>0</v>
      </c>
      <c r="EO356" s="2" t="n">
        <v>100</v>
      </c>
      <c r="EP356" s="2" t="n">
        <v>4.71</v>
      </c>
      <c r="EQ356" s="2" t="n">
        <v>0</v>
      </c>
      <c r="ER356" s="2" t="n">
        <v>100</v>
      </c>
      <c r="ES356" s="2" t="n">
        <v>4.71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3.24</v>
      </c>
      <c r="BY357" s="2" t="n">
        <v>0</v>
      </c>
      <c r="BZ357" s="2" t="n">
        <v>7.06</v>
      </c>
      <c r="CA357" s="2" t="n">
        <v>6.74</v>
      </c>
      <c r="CB357" s="2" t="n">
        <v>0</v>
      </c>
      <c r="CC357" s="2" t="n">
        <v>12.73</v>
      </c>
      <c r="CD357" s="2" t="n">
        <v>13.33</v>
      </c>
      <c r="CE357" s="2" t="n">
        <v>0</v>
      </c>
      <c r="CF357" s="2" t="n">
        <v>18.14</v>
      </c>
      <c r="CG357" s="2" t="n">
        <v>19.46</v>
      </c>
      <c r="CH357" s="2" t="n">
        <v>0</v>
      </c>
      <c r="CI357" s="2" t="n">
        <v>26.41</v>
      </c>
      <c r="CJ357" s="2" t="n">
        <v>28.1</v>
      </c>
      <c r="CK357" s="2" t="n">
        <v>0</v>
      </c>
      <c r="CL357" s="2" t="n">
        <v>35.87</v>
      </c>
      <c r="CM357" s="2" t="n">
        <v>37.03</v>
      </c>
      <c r="CN357" s="2" t="n">
        <v>0</v>
      </c>
      <c r="CO357" s="2" t="n">
        <v>46.32</v>
      </c>
      <c r="CP357" s="2" t="n">
        <v>47.07</v>
      </c>
      <c r="CQ357" s="2" t="n">
        <v>0</v>
      </c>
      <c r="CR357" s="2" t="n">
        <v>56.8</v>
      </c>
      <c r="CS357" s="2" t="n">
        <v>57.84</v>
      </c>
      <c r="CT357" s="2" t="n">
        <v>0</v>
      </c>
      <c r="CU357" s="2" t="n">
        <v>64.19</v>
      </c>
      <c r="CV357" s="2" t="n">
        <v>65.51000000000001</v>
      </c>
      <c r="CW357" s="2" t="n">
        <v>0</v>
      </c>
      <c r="CX357" s="2" t="n">
        <v>72.45</v>
      </c>
      <c r="CY357" s="2" t="n">
        <v>73.72</v>
      </c>
      <c r="CZ357" s="2" t="n">
        <v>0</v>
      </c>
      <c r="DA357" s="2" t="n">
        <v>81.13</v>
      </c>
      <c r="DB357" s="2" t="n">
        <v>80.59999999999999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8.41</v>
      </c>
      <c r="BY358" s="2" t="n">
        <v>0</v>
      </c>
      <c r="BZ358" s="2" t="n">
        <v>18.31</v>
      </c>
      <c r="CA358" s="2" t="n">
        <v>17.48</v>
      </c>
      <c r="CB358" s="2" t="n">
        <v>0</v>
      </c>
      <c r="CC358" s="2" t="n">
        <v>33.02</v>
      </c>
      <c r="CD358" s="2" t="n">
        <v>34.57</v>
      </c>
      <c r="CE358" s="2" t="n">
        <v>0</v>
      </c>
      <c r="CF358" s="2" t="n">
        <v>42.74</v>
      </c>
      <c r="CG358" s="2" t="n">
        <v>44.19</v>
      </c>
      <c r="CH358" s="2" t="n">
        <v>0</v>
      </c>
      <c r="CI358" s="2" t="n">
        <v>52.53</v>
      </c>
      <c r="CJ358" s="2" t="n">
        <v>54.06</v>
      </c>
      <c r="CK358" s="2" t="n">
        <v>0</v>
      </c>
      <c r="CL358" s="2" t="n">
        <v>61.5</v>
      </c>
      <c r="CM358" s="2" t="n">
        <v>63.15</v>
      </c>
      <c r="CN358" s="2" t="n">
        <v>0</v>
      </c>
      <c r="CO358" s="2" t="n">
        <v>69.90000000000001</v>
      </c>
      <c r="CP358" s="2" t="n">
        <v>71.5</v>
      </c>
      <c r="CQ358" s="2" t="n">
        <v>0</v>
      </c>
      <c r="CR358" s="2" t="n">
        <v>78.81</v>
      </c>
      <c r="CS358" s="2" t="n">
        <v>80.44</v>
      </c>
      <c r="CT358" s="2" t="n">
        <v>0</v>
      </c>
      <c r="CU358" s="2" t="n">
        <v>85.27</v>
      </c>
      <c r="CV358" s="2" t="n">
        <v>87.01000000000001</v>
      </c>
      <c r="CW358" s="2" t="n">
        <v>0</v>
      </c>
      <c r="CX358" s="2" t="n">
        <v>93.92</v>
      </c>
      <c r="CY358" s="2" t="n">
        <v>95.19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8.41</v>
      </c>
      <c r="BY359" s="2" t="n">
        <v>0</v>
      </c>
      <c r="BZ359" s="2" t="n">
        <v>18.31</v>
      </c>
      <c r="CA359" s="2" t="n">
        <v>17.48</v>
      </c>
      <c r="CB359" s="2" t="n">
        <v>0</v>
      </c>
      <c r="CC359" s="2" t="n">
        <v>33.02</v>
      </c>
      <c r="CD359" s="2" t="n">
        <v>34.57</v>
      </c>
      <c r="CE359" s="2" t="n">
        <v>0</v>
      </c>
      <c r="CF359" s="2" t="n">
        <v>42.74</v>
      </c>
      <c r="CG359" s="2" t="n">
        <v>44.19</v>
      </c>
      <c r="CH359" s="2" t="n">
        <v>0</v>
      </c>
      <c r="CI359" s="2" t="n">
        <v>52.53</v>
      </c>
      <c r="CJ359" s="2" t="n">
        <v>54.06</v>
      </c>
      <c r="CK359" s="2" t="n">
        <v>0</v>
      </c>
      <c r="CL359" s="2" t="n">
        <v>61.5</v>
      </c>
      <c r="CM359" s="2" t="n">
        <v>63.15</v>
      </c>
      <c r="CN359" s="2" t="n">
        <v>0</v>
      </c>
      <c r="CO359" s="2" t="n">
        <v>69.90000000000001</v>
      </c>
      <c r="CP359" s="2" t="n">
        <v>71.5</v>
      </c>
      <c r="CQ359" s="2" t="n">
        <v>0</v>
      </c>
      <c r="CR359" s="2" t="n">
        <v>78.81</v>
      </c>
      <c r="CS359" s="2" t="n">
        <v>80.44</v>
      </c>
      <c r="CT359" s="2" t="n">
        <v>0</v>
      </c>
      <c r="CU359" s="2" t="n">
        <v>85.27</v>
      </c>
      <c r="CV359" s="2" t="n">
        <v>87.01000000000001</v>
      </c>
      <c r="CW359" s="2" t="n">
        <v>0</v>
      </c>
      <c r="CX359" s="2" t="n">
        <v>93.92</v>
      </c>
      <c r="CY359" s="2" t="n">
        <v>95.19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8.41</v>
      </c>
      <c r="BY360" s="2" t="n">
        <v>0</v>
      </c>
      <c r="BZ360" s="2" t="n">
        <v>18.31</v>
      </c>
      <c r="CA360" s="2" t="n">
        <v>17.48</v>
      </c>
      <c r="CB360" s="2" t="n">
        <v>0</v>
      </c>
      <c r="CC360" s="2" t="n">
        <v>33.02</v>
      </c>
      <c r="CD360" s="2" t="n">
        <v>34.57</v>
      </c>
      <c r="CE360" s="2" t="n">
        <v>0</v>
      </c>
      <c r="CF360" s="2" t="n">
        <v>42.74</v>
      </c>
      <c r="CG360" s="2" t="n">
        <v>44.19</v>
      </c>
      <c r="CH360" s="2" t="n">
        <v>0</v>
      </c>
      <c r="CI360" s="2" t="n">
        <v>52.53</v>
      </c>
      <c r="CJ360" s="2" t="n">
        <v>54.06</v>
      </c>
      <c r="CK360" s="2" t="n">
        <v>0</v>
      </c>
      <c r="CL360" s="2" t="n">
        <v>61.5</v>
      </c>
      <c r="CM360" s="2" t="n">
        <v>63.15</v>
      </c>
      <c r="CN360" s="2" t="n">
        <v>0</v>
      </c>
      <c r="CO360" s="2" t="n">
        <v>69.90000000000001</v>
      </c>
      <c r="CP360" s="2" t="n">
        <v>71.5</v>
      </c>
      <c r="CQ360" s="2" t="n">
        <v>0</v>
      </c>
      <c r="CR360" s="2" t="n">
        <v>78.81</v>
      </c>
      <c r="CS360" s="2" t="n">
        <v>80.44</v>
      </c>
      <c r="CT360" s="2" t="n">
        <v>0</v>
      </c>
      <c r="CU360" s="2" t="n">
        <v>85.27</v>
      </c>
      <c r="CV360" s="2" t="n">
        <v>87.01000000000001</v>
      </c>
      <c r="CW360" s="2" t="n">
        <v>0</v>
      </c>
      <c r="CX360" s="2" t="n">
        <v>93.92</v>
      </c>
      <c r="CY360" s="2" t="n">
        <v>95.19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8.41</v>
      </c>
      <c r="BY361" s="2" t="n">
        <v>0</v>
      </c>
      <c r="BZ361" s="2" t="n">
        <v>18.31</v>
      </c>
      <c r="CA361" s="2" t="n">
        <v>17.48</v>
      </c>
      <c r="CB361" s="2" t="n">
        <v>0</v>
      </c>
      <c r="CC361" s="2" t="n">
        <v>33.02</v>
      </c>
      <c r="CD361" s="2" t="n">
        <v>34.57</v>
      </c>
      <c r="CE361" s="2" t="n">
        <v>0</v>
      </c>
      <c r="CF361" s="2" t="n">
        <v>42.74</v>
      </c>
      <c r="CG361" s="2" t="n">
        <v>44.19</v>
      </c>
      <c r="CH361" s="2" t="n">
        <v>0</v>
      </c>
      <c r="CI361" s="2" t="n">
        <v>52.53</v>
      </c>
      <c r="CJ361" s="2" t="n">
        <v>54.06</v>
      </c>
      <c r="CK361" s="2" t="n">
        <v>0</v>
      </c>
      <c r="CL361" s="2" t="n">
        <v>61.5</v>
      </c>
      <c r="CM361" s="2" t="n">
        <v>63.15</v>
      </c>
      <c r="CN361" s="2" t="n">
        <v>0</v>
      </c>
      <c r="CO361" s="2" t="n">
        <v>69.90000000000001</v>
      </c>
      <c r="CP361" s="2" t="n">
        <v>71.5</v>
      </c>
      <c r="CQ361" s="2" t="n">
        <v>0</v>
      </c>
      <c r="CR361" s="2" t="n">
        <v>78.81</v>
      </c>
      <c r="CS361" s="2" t="n">
        <v>80.44</v>
      </c>
      <c r="CT361" s="2" t="n">
        <v>0</v>
      </c>
      <c r="CU361" s="2" t="n">
        <v>85.27</v>
      </c>
      <c r="CV361" s="2" t="n">
        <v>87.01000000000001</v>
      </c>
      <c r="CW361" s="2" t="n">
        <v>0</v>
      </c>
      <c r="CX361" s="2" t="n">
        <v>93.92</v>
      </c>
      <c r="CY361" s="2" t="n">
        <v>95.19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8.41</v>
      </c>
      <c r="BY362" s="2" t="n">
        <v>0</v>
      </c>
      <c r="BZ362" s="2" t="n">
        <v>18.31</v>
      </c>
      <c r="CA362" s="2" t="n">
        <v>17.48</v>
      </c>
      <c r="CB362" s="2" t="n">
        <v>0</v>
      </c>
      <c r="CC362" s="2" t="n">
        <v>33.02</v>
      </c>
      <c r="CD362" s="2" t="n">
        <v>34.57</v>
      </c>
      <c r="CE362" s="2" t="n">
        <v>0</v>
      </c>
      <c r="CF362" s="2" t="n">
        <v>42.74</v>
      </c>
      <c r="CG362" s="2" t="n">
        <v>44.19</v>
      </c>
      <c r="CH362" s="2" t="n">
        <v>0</v>
      </c>
      <c r="CI362" s="2" t="n">
        <v>52.53</v>
      </c>
      <c r="CJ362" s="2" t="n">
        <v>54.06</v>
      </c>
      <c r="CK362" s="2" t="n">
        <v>0</v>
      </c>
      <c r="CL362" s="2" t="n">
        <v>61.5</v>
      </c>
      <c r="CM362" s="2" t="n">
        <v>63.15</v>
      </c>
      <c r="CN362" s="2" t="n">
        <v>0</v>
      </c>
      <c r="CO362" s="2" t="n">
        <v>69.90000000000001</v>
      </c>
      <c r="CP362" s="2" t="n">
        <v>71.5</v>
      </c>
      <c r="CQ362" s="2" t="n">
        <v>0</v>
      </c>
      <c r="CR362" s="2" t="n">
        <v>78.81</v>
      </c>
      <c r="CS362" s="2" t="n">
        <v>80.44</v>
      </c>
      <c r="CT362" s="2" t="n">
        <v>0</v>
      </c>
      <c r="CU362" s="2" t="n">
        <v>85.27</v>
      </c>
      <c r="CV362" s="2" t="n">
        <v>87.01000000000001</v>
      </c>
      <c r="CW362" s="2" t="n">
        <v>0</v>
      </c>
      <c r="CX362" s="2" t="n">
        <v>93.92</v>
      </c>
      <c r="CY362" s="2" t="n">
        <v>95.19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8.41</v>
      </c>
      <c r="BY363" s="2" t="n">
        <v>0</v>
      </c>
      <c r="BZ363" s="2" t="n">
        <v>18.31</v>
      </c>
      <c r="CA363" s="2" t="n">
        <v>17.48</v>
      </c>
      <c r="CB363" s="2" t="n">
        <v>0</v>
      </c>
      <c r="CC363" s="2" t="n">
        <v>33.02</v>
      </c>
      <c r="CD363" s="2" t="n">
        <v>34.57</v>
      </c>
      <c r="CE363" s="2" t="n">
        <v>0</v>
      </c>
      <c r="CF363" s="2" t="n">
        <v>42.74</v>
      </c>
      <c r="CG363" s="2" t="n">
        <v>44.19</v>
      </c>
      <c r="CH363" s="2" t="n">
        <v>0</v>
      </c>
      <c r="CI363" s="2" t="n">
        <v>52.53</v>
      </c>
      <c r="CJ363" s="2" t="n">
        <v>54.06</v>
      </c>
      <c r="CK363" s="2" t="n">
        <v>0</v>
      </c>
      <c r="CL363" s="2" t="n">
        <v>61.5</v>
      </c>
      <c r="CM363" s="2" t="n">
        <v>63.15</v>
      </c>
      <c r="CN363" s="2" t="n">
        <v>0</v>
      </c>
      <c r="CO363" s="2" t="n">
        <v>69.90000000000001</v>
      </c>
      <c r="CP363" s="2" t="n">
        <v>71.5</v>
      </c>
      <c r="CQ363" s="2" t="n">
        <v>0</v>
      </c>
      <c r="CR363" s="2" t="n">
        <v>78.81</v>
      </c>
      <c r="CS363" s="2" t="n">
        <v>80.44</v>
      </c>
      <c r="CT363" s="2" t="n">
        <v>0</v>
      </c>
      <c r="CU363" s="2" t="n">
        <v>85.27</v>
      </c>
      <c r="CV363" s="2" t="n">
        <v>87.01000000000001</v>
      </c>
      <c r="CW363" s="2" t="n">
        <v>0</v>
      </c>
      <c r="CX363" s="2" t="n">
        <v>93.92</v>
      </c>
      <c r="CY363" s="2" t="n">
        <v>95.19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8.41</v>
      </c>
      <c r="BY364" s="2" t="n">
        <v>0</v>
      </c>
      <c r="BZ364" s="2" t="n">
        <v>18.31</v>
      </c>
      <c r="CA364" s="2" t="n">
        <v>17.48</v>
      </c>
      <c r="CB364" s="2" t="n">
        <v>0</v>
      </c>
      <c r="CC364" s="2" t="n">
        <v>33.02</v>
      </c>
      <c r="CD364" s="2" t="n">
        <v>34.57</v>
      </c>
      <c r="CE364" s="2" t="n">
        <v>0</v>
      </c>
      <c r="CF364" s="2" t="n">
        <v>42.74</v>
      </c>
      <c r="CG364" s="2" t="n">
        <v>44.19</v>
      </c>
      <c r="CH364" s="2" t="n">
        <v>0</v>
      </c>
      <c r="CI364" s="2" t="n">
        <v>52.53</v>
      </c>
      <c r="CJ364" s="2" t="n">
        <v>54.06</v>
      </c>
      <c r="CK364" s="2" t="n">
        <v>0</v>
      </c>
      <c r="CL364" s="2" t="n">
        <v>61.5</v>
      </c>
      <c r="CM364" s="2" t="n">
        <v>63.15</v>
      </c>
      <c r="CN364" s="2" t="n">
        <v>0</v>
      </c>
      <c r="CO364" s="2" t="n">
        <v>69.90000000000001</v>
      </c>
      <c r="CP364" s="2" t="n">
        <v>71.5</v>
      </c>
      <c r="CQ364" s="2" t="n">
        <v>0</v>
      </c>
      <c r="CR364" s="2" t="n">
        <v>78.81</v>
      </c>
      <c r="CS364" s="2" t="n">
        <v>80.44</v>
      </c>
      <c r="CT364" s="2" t="n">
        <v>0</v>
      </c>
      <c r="CU364" s="2" t="n">
        <v>85.27</v>
      </c>
      <c r="CV364" s="2" t="n">
        <v>87.01000000000001</v>
      </c>
      <c r="CW364" s="2" t="n">
        <v>0</v>
      </c>
      <c r="CX364" s="2" t="n">
        <v>93.92</v>
      </c>
      <c r="CY364" s="2" t="n">
        <v>95.19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8.41</v>
      </c>
      <c r="BY365" s="2" t="n">
        <v>0</v>
      </c>
      <c r="BZ365" s="2" t="n">
        <v>18.31</v>
      </c>
      <c r="CA365" s="2" t="n">
        <v>17.48</v>
      </c>
      <c r="CB365" s="2" t="n">
        <v>0</v>
      </c>
      <c r="CC365" s="2" t="n">
        <v>33.02</v>
      </c>
      <c r="CD365" s="2" t="n">
        <v>34.57</v>
      </c>
      <c r="CE365" s="2" t="n">
        <v>0</v>
      </c>
      <c r="CF365" s="2" t="n">
        <v>42.74</v>
      </c>
      <c r="CG365" s="2" t="n">
        <v>44.19</v>
      </c>
      <c r="CH365" s="2" t="n">
        <v>0</v>
      </c>
      <c r="CI365" s="2" t="n">
        <v>52.53</v>
      </c>
      <c r="CJ365" s="2" t="n">
        <v>54.06</v>
      </c>
      <c r="CK365" s="2" t="n">
        <v>0</v>
      </c>
      <c r="CL365" s="2" t="n">
        <v>61.5</v>
      </c>
      <c r="CM365" s="2" t="n">
        <v>63.15</v>
      </c>
      <c r="CN365" s="2" t="n">
        <v>0</v>
      </c>
      <c r="CO365" s="2" t="n">
        <v>69.90000000000001</v>
      </c>
      <c r="CP365" s="2" t="n">
        <v>71.5</v>
      </c>
      <c r="CQ365" s="2" t="n">
        <v>0</v>
      </c>
      <c r="CR365" s="2" t="n">
        <v>78.81</v>
      </c>
      <c r="CS365" s="2" t="n">
        <v>80.44</v>
      </c>
      <c r="CT365" s="2" t="n">
        <v>0</v>
      </c>
      <c r="CU365" s="2" t="n">
        <v>85.27</v>
      </c>
      <c r="CV365" s="2" t="n">
        <v>87.01000000000001</v>
      </c>
      <c r="CW365" s="2" t="n">
        <v>0</v>
      </c>
      <c r="CX365" s="2" t="n">
        <v>93.92</v>
      </c>
      <c r="CY365" s="2" t="n">
        <v>95.19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8.41</v>
      </c>
      <c r="BY366" s="2" t="n">
        <v>0</v>
      </c>
      <c r="BZ366" s="2" t="n">
        <v>18.31</v>
      </c>
      <c r="CA366" s="2" t="n">
        <v>17.48</v>
      </c>
      <c r="CB366" s="2" t="n">
        <v>0</v>
      </c>
      <c r="CC366" s="2" t="n">
        <v>33.02</v>
      </c>
      <c r="CD366" s="2" t="n">
        <v>34.57</v>
      </c>
      <c r="CE366" s="2" t="n">
        <v>0</v>
      </c>
      <c r="CF366" s="2" t="n">
        <v>42.74</v>
      </c>
      <c r="CG366" s="2" t="n">
        <v>44.19</v>
      </c>
      <c r="CH366" s="2" t="n">
        <v>0</v>
      </c>
      <c r="CI366" s="2" t="n">
        <v>52.53</v>
      </c>
      <c r="CJ366" s="2" t="n">
        <v>54.06</v>
      </c>
      <c r="CK366" s="2" t="n">
        <v>0</v>
      </c>
      <c r="CL366" s="2" t="n">
        <v>61.5</v>
      </c>
      <c r="CM366" s="2" t="n">
        <v>63.15</v>
      </c>
      <c r="CN366" s="2" t="n">
        <v>0</v>
      </c>
      <c r="CO366" s="2" t="n">
        <v>69.90000000000001</v>
      </c>
      <c r="CP366" s="2" t="n">
        <v>71.5</v>
      </c>
      <c r="CQ366" s="2" t="n">
        <v>0</v>
      </c>
      <c r="CR366" s="2" t="n">
        <v>78.81</v>
      </c>
      <c r="CS366" s="2" t="n">
        <v>80.44</v>
      </c>
      <c r="CT366" s="2" t="n">
        <v>0</v>
      </c>
      <c r="CU366" s="2" t="n">
        <v>85.27</v>
      </c>
      <c r="CV366" s="2" t="n">
        <v>87.01000000000001</v>
      </c>
      <c r="CW366" s="2" t="n">
        <v>0</v>
      </c>
      <c r="CX366" s="2" t="n">
        <v>93.92</v>
      </c>
      <c r="CY366" s="2" t="n">
        <v>95.19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8.41</v>
      </c>
      <c r="BY367" s="2" t="n">
        <v>0</v>
      </c>
      <c r="BZ367" s="2" t="n">
        <v>18.31</v>
      </c>
      <c r="CA367" s="2" t="n">
        <v>17.48</v>
      </c>
      <c r="CB367" s="2" t="n">
        <v>0</v>
      </c>
      <c r="CC367" s="2" t="n">
        <v>33.02</v>
      </c>
      <c r="CD367" s="2" t="n">
        <v>34.57</v>
      </c>
      <c r="CE367" s="2" t="n">
        <v>0</v>
      </c>
      <c r="CF367" s="2" t="n">
        <v>42.74</v>
      </c>
      <c r="CG367" s="2" t="n">
        <v>44.19</v>
      </c>
      <c r="CH367" s="2" t="n">
        <v>0</v>
      </c>
      <c r="CI367" s="2" t="n">
        <v>52.53</v>
      </c>
      <c r="CJ367" s="2" t="n">
        <v>54.06</v>
      </c>
      <c r="CK367" s="2" t="n">
        <v>0</v>
      </c>
      <c r="CL367" s="2" t="n">
        <v>61.5</v>
      </c>
      <c r="CM367" s="2" t="n">
        <v>63.15</v>
      </c>
      <c r="CN367" s="2" t="n">
        <v>0</v>
      </c>
      <c r="CO367" s="2" t="n">
        <v>69.90000000000001</v>
      </c>
      <c r="CP367" s="2" t="n">
        <v>71.5</v>
      </c>
      <c r="CQ367" s="2" t="n">
        <v>0</v>
      </c>
      <c r="CR367" s="2" t="n">
        <v>78.81</v>
      </c>
      <c r="CS367" s="2" t="n">
        <v>80.44</v>
      </c>
      <c r="CT367" s="2" t="n">
        <v>0</v>
      </c>
      <c r="CU367" s="2" t="n">
        <v>85.27</v>
      </c>
      <c r="CV367" s="2" t="n">
        <v>87.01000000000001</v>
      </c>
      <c r="CW367" s="2" t="n">
        <v>0</v>
      </c>
      <c r="CX367" s="2" t="n">
        <v>93.92</v>
      </c>
      <c r="CY367" s="2" t="n">
        <v>95.19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8.41</v>
      </c>
      <c r="BY368" s="2" t="n">
        <v>0</v>
      </c>
      <c r="BZ368" s="2" t="n">
        <v>18.31</v>
      </c>
      <c r="CA368" s="2" t="n">
        <v>17.48</v>
      </c>
      <c r="CB368" s="2" t="n">
        <v>0</v>
      </c>
      <c r="CC368" s="2" t="n">
        <v>33.02</v>
      </c>
      <c r="CD368" s="2" t="n">
        <v>34.57</v>
      </c>
      <c r="CE368" s="2" t="n">
        <v>0</v>
      </c>
      <c r="CF368" s="2" t="n">
        <v>42.74</v>
      </c>
      <c r="CG368" s="2" t="n">
        <v>44.19</v>
      </c>
      <c r="CH368" s="2" t="n">
        <v>0</v>
      </c>
      <c r="CI368" s="2" t="n">
        <v>52.53</v>
      </c>
      <c r="CJ368" s="2" t="n">
        <v>54.06</v>
      </c>
      <c r="CK368" s="2" t="n">
        <v>0</v>
      </c>
      <c r="CL368" s="2" t="n">
        <v>61.5</v>
      </c>
      <c r="CM368" s="2" t="n">
        <v>63.15</v>
      </c>
      <c r="CN368" s="2" t="n">
        <v>0</v>
      </c>
      <c r="CO368" s="2" t="n">
        <v>69.90000000000001</v>
      </c>
      <c r="CP368" s="2" t="n">
        <v>71.5</v>
      </c>
      <c r="CQ368" s="2" t="n">
        <v>0</v>
      </c>
      <c r="CR368" s="2" t="n">
        <v>78.81</v>
      </c>
      <c r="CS368" s="2" t="n">
        <v>80.44</v>
      </c>
      <c r="CT368" s="2" t="n">
        <v>0</v>
      </c>
      <c r="CU368" s="2" t="n">
        <v>85.27</v>
      </c>
      <c r="CV368" s="2" t="n">
        <v>87.01000000000001</v>
      </c>
      <c r="CW368" s="2" t="n">
        <v>0</v>
      </c>
      <c r="CX368" s="2" t="n">
        <v>93.92</v>
      </c>
      <c r="CY368" s="2" t="n">
        <v>95.19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8.41</v>
      </c>
      <c r="BY369" s="2" t="n">
        <v>0</v>
      </c>
      <c r="BZ369" s="2" t="n">
        <v>18.31</v>
      </c>
      <c r="CA369" s="2" t="n">
        <v>17.48</v>
      </c>
      <c r="CB369" s="2" t="n">
        <v>0</v>
      </c>
      <c r="CC369" s="2" t="n">
        <v>33.02</v>
      </c>
      <c r="CD369" s="2" t="n">
        <v>34.57</v>
      </c>
      <c r="CE369" s="2" t="n">
        <v>0</v>
      </c>
      <c r="CF369" s="2" t="n">
        <v>42.74</v>
      </c>
      <c r="CG369" s="2" t="n">
        <v>44.19</v>
      </c>
      <c r="CH369" s="2" t="n">
        <v>0</v>
      </c>
      <c r="CI369" s="2" t="n">
        <v>52.53</v>
      </c>
      <c r="CJ369" s="2" t="n">
        <v>54.06</v>
      </c>
      <c r="CK369" s="2" t="n">
        <v>0</v>
      </c>
      <c r="CL369" s="2" t="n">
        <v>61.5</v>
      </c>
      <c r="CM369" s="2" t="n">
        <v>63.15</v>
      </c>
      <c r="CN369" s="2" t="n">
        <v>0</v>
      </c>
      <c r="CO369" s="2" t="n">
        <v>69.90000000000001</v>
      </c>
      <c r="CP369" s="2" t="n">
        <v>71.5</v>
      </c>
      <c r="CQ369" s="2" t="n">
        <v>0</v>
      </c>
      <c r="CR369" s="2" t="n">
        <v>78.81</v>
      </c>
      <c r="CS369" s="2" t="n">
        <v>80.44</v>
      </c>
      <c r="CT369" s="2" t="n">
        <v>0</v>
      </c>
      <c r="CU369" s="2" t="n">
        <v>85.27</v>
      </c>
      <c r="CV369" s="2" t="n">
        <v>87.01000000000001</v>
      </c>
      <c r="CW369" s="2" t="n">
        <v>0</v>
      </c>
      <c r="CX369" s="2" t="n">
        <v>93.92</v>
      </c>
      <c r="CY369" s="2" t="n">
        <v>95.19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8.41</v>
      </c>
      <c r="BY370" s="2" t="n">
        <v>0</v>
      </c>
      <c r="BZ370" s="2" t="n">
        <v>18.31</v>
      </c>
      <c r="CA370" s="2" t="n">
        <v>17.48</v>
      </c>
      <c r="CB370" s="2" t="n">
        <v>0</v>
      </c>
      <c r="CC370" s="2" t="n">
        <v>33.02</v>
      </c>
      <c r="CD370" s="2" t="n">
        <v>34.57</v>
      </c>
      <c r="CE370" s="2" t="n">
        <v>0</v>
      </c>
      <c r="CF370" s="2" t="n">
        <v>42.74</v>
      </c>
      <c r="CG370" s="2" t="n">
        <v>44.19</v>
      </c>
      <c r="CH370" s="2" t="n">
        <v>0</v>
      </c>
      <c r="CI370" s="2" t="n">
        <v>52.53</v>
      </c>
      <c r="CJ370" s="2" t="n">
        <v>54.06</v>
      </c>
      <c r="CK370" s="2" t="n">
        <v>0</v>
      </c>
      <c r="CL370" s="2" t="n">
        <v>61.5</v>
      </c>
      <c r="CM370" s="2" t="n">
        <v>63.15</v>
      </c>
      <c r="CN370" s="2" t="n">
        <v>0</v>
      </c>
      <c r="CO370" s="2" t="n">
        <v>69.90000000000001</v>
      </c>
      <c r="CP370" s="2" t="n">
        <v>71.5</v>
      </c>
      <c r="CQ370" s="2" t="n">
        <v>0</v>
      </c>
      <c r="CR370" s="2" t="n">
        <v>78.81</v>
      </c>
      <c r="CS370" s="2" t="n">
        <v>80.44</v>
      </c>
      <c r="CT370" s="2" t="n">
        <v>0</v>
      </c>
      <c r="CU370" s="2" t="n">
        <v>85.27</v>
      </c>
      <c r="CV370" s="2" t="n">
        <v>87.01000000000001</v>
      </c>
      <c r="CW370" s="2" t="n">
        <v>0</v>
      </c>
      <c r="CX370" s="2" t="n">
        <v>93.92</v>
      </c>
      <c r="CY370" s="2" t="n">
        <v>95.19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8.41</v>
      </c>
      <c r="BY371" s="2" t="n">
        <v>0</v>
      </c>
      <c r="BZ371" s="2" t="n">
        <v>18.31</v>
      </c>
      <c r="CA371" s="2" t="n">
        <v>17.48</v>
      </c>
      <c r="CB371" s="2" t="n">
        <v>0</v>
      </c>
      <c r="CC371" s="2" t="n">
        <v>33.02</v>
      </c>
      <c r="CD371" s="2" t="n">
        <v>34.57</v>
      </c>
      <c r="CE371" s="2" t="n">
        <v>0</v>
      </c>
      <c r="CF371" s="2" t="n">
        <v>42.74</v>
      </c>
      <c r="CG371" s="2" t="n">
        <v>44.19</v>
      </c>
      <c r="CH371" s="2" t="n">
        <v>0</v>
      </c>
      <c r="CI371" s="2" t="n">
        <v>52.53</v>
      </c>
      <c r="CJ371" s="2" t="n">
        <v>54.06</v>
      </c>
      <c r="CK371" s="2" t="n">
        <v>0</v>
      </c>
      <c r="CL371" s="2" t="n">
        <v>61.5</v>
      </c>
      <c r="CM371" s="2" t="n">
        <v>63.15</v>
      </c>
      <c r="CN371" s="2" t="n">
        <v>0</v>
      </c>
      <c r="CO371" s="2" t="n">
        <v>69.90000000000001</v>
      </c>
      <c r="CP371" s="2" t="n">
        <v>71.5</v>
      </c>
      <c r="CQ371" s="2" t="n">
        <v>0</v>
      </c>
      <c r="CR371" s="2" t="n">
        <v>78.81</v>
      </c>
      <c r="CS371" s="2" t="n">
        <v>80.44</v>
      </c>
      <c r="CT371" s="2" t="n">
        <v>0</v>
      </c>
      <c r="CU371" s="2" t="n">
        <v>85.27</v>
      </c>
      <c r="CV371" s="2" t="n">
        <v>87.01000000000001</v>
      </c>
      <c r="CW371" s="2" t="n">
        <v>0</v>
      </c>
      <c r="CX371" s="2" t="n">
        <v>93.92</v>
      </c>
      <c r="CY371" s="2" t="n">
        <v>95.19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8.41</v>
      </c>
      <c r="BY372" s="2" t="n">
        <v>0</v>
      </c>
      <c r="BZ372" s="2" t="n">
        <v>18.31</v>
      </c>
      <c r="CA372" s="2" t="n">
        <v>17.48</v>
      </c>
      <c r="CB372" s="2" t="n">
        <v>0</v>
      </c>
      <c r="CC372" s="2" t="n">
        <v>33.02</v>
      </c>
      <c r="CD372" s="2" t="n">
        <v>34.57</v>
      </c>
      <c r="CE372" s="2" t="n">
        <v>0</v>
      </c>
      <c r="CF372" s="2" t="n">
        <v>42.74</v>
      </c>
      <c r="CG372" s="2" t="n">
        <v>44.19</v>
      </c>
      <c r="CH372" s="2" t="n">
        <v>0</v>
      </c>
      <c r="CI372" s="2" t="n">
        <v>52.53</v>
      </c>
      <c r="CJ372" s="2" t="n">
        <v>54.06</v>
      </c>
      <c r="CK372" s="2" t="n">
        <v>0</v>
      </c>
      <c r="CL372" s="2" t="n">
        <v>61.5</v>
      </c>
      <c r="CM372" s="2" t="n">
        <v>63.15</v>
      </c>
      <c r="CN372" s="2" t="n">
        <v>0</v>
      </c>
      <c r="CO372" s="2" t="n">
        <v>69.90000000000001</v>
      </c>
      <c r="CP372" s="2" t="n">
        <v>71.5</v>
      </c>
      <c r="CQ372" s="2" t="n">
        <v>0</v>
      </c>
      <c r="CR372" s="2" t="n">
        <v>78.81</v>
      </c>
      <c r="CS372" s="2" t="n">
        <v>80.44</v>
      </c>
      <c r="CT372" s="2" t="n">
        <v>0</v>
      </c>
      <c r="CU372" s="2" t="n">
        <v>85.27</v>
      </c>
      <c r="CV372" s="2" t="n">
        <v>87.01000000000001</v>
      </c>
      <c r="CW372" s="2" t="n">
        <v>0</v>
      </c>
      <c r="CX372" s="2" t="n">
        <v>93.92</v>
      </c>
      <c r="CY372" s="2" t="n">
        <v>95.19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8.41</v>
      </c>
      <c r="BY373" s="2" t="n">
        <v>0</v>
      </c>
      <c r="BZ373" s="2" t="n">
        <v>18.31</v>
      </c>
      <c r="CA373" s="2" t="n">
        <v>17.48</v>
      </c>
      <c r="CB373" s="2" t="n">
        <v>0</v>
      </c>
      <c r="CC373" s="2" t="n">
        <v>33.02</v>
      </c>
      <c r="CD373" s="2" t="n">
        <v>34.57</v>
      </c>
      <c r="CE373" s="2" t="n">
        <v>0</v>
      </c>
      <c r="CF373" s="2" t="n">
        <v>42.74</v>
      </c>
      <c r="CG373" s="2" t="n">
        <v>44.19</v>
      </c>
      <c r="CH373" s="2" t="n">
        <v>0</v>
      </c>
      <c r="CI373" s="2" t="n">
        <v>52.53</v>
      </c>
      <c r="CJ373" s="2" t="n">
        <v>54.06</v>
      </c>
      <c r="CK373" s="2" t="n">
        <v>0</v>
      </c>
      <c r="CL373" s="2" t="n">
        <v>61.5</v>
      </c>
      <c r="CM373" s="2" t="n">
        <v>63.15</v>
      </c>
      <c r="CN373" s="2" t="n">
        <v>0</v>
      </c>
      <c r="CO373" s="2" t="n">
        <v>69.90000000000001</v>
      </c>
      <c r="CP373" s="2" t="n">
        <v>71.5</v>
      </c>
      <c r="CQ373" s="2" t="n">
        <v>0</v>
      </c>
      <c r="CR373" s="2" t="n">
        <v>78.81</v>
      </c>
      <c r="CS373" s="2" t="n">
        <v>80.44</v>
      </c>
      <c r="CT373" s="2" t="n">
        <v>0</v>
      </c>
      <c r="CU373" s="2" t="n">
        <v>85.27</v>
      </c>
      <c r="CV373" s="2" t="n">
        <v>87.01000000000001</v>
      </c>
      <c r="CW373" s="2" t="n">
        <v>0</v>
      </c>
      <c r="CX373" s="2" t="n">
        <v>93.92</v>
      </c>
      <c r="CY373" s="2" t="n">
        <v>95.19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8.41</v>
      </c>
      <c r="BY374" s="2" t="n">
        <v>0</v>
      </c>
      <c r="BZ374" s="2" t="n">
        <v>18.31</v>
      </c>
      <c r="CA374" s="2" t="n">
        <v>17.48</v>
      </c>
      <c r="CB374" s="2" t="n">
        <v>0</v>
      </c>
      <c r="CC374" s="2" t="n">
        <v>33.02</v>
      </c>
      <c r="CD374" s="2" t="n">
        <v>34.57</v>
      </c>
      <c r="CE374" s="2" t="n">
        <v>0</v>
      </c>
      <c r="CF374" s="2" t="n">
        <v>42.74</v>
      </c>
      <c r="CG374" s="2" t="n">
        <v>44.19</v>
      </c>
      <c r="CH374" s="2" t="n">
        <v>0</v>
      </c>
      <c r="CI374" s="2" t="n">
        <v>52.53</v>
      </c>
      <c r="CJ374" s="2" t="n">
        <v>54.06</v>
      </c>
      <c r="CK374" s="2" t="n">
        <v>0</v>
      </c>
      <c r="CL374" s="2" t="n">
        <v>61.5</v>
      </c>
      <c r="CM374" s="2" t="n">
        <v>63.15</v>
      </c>
      <c r="CN374" s="2" t="n">
        <v>0</v>
      </c>
      <c r="CO374" s="2" t="n">
        <v>69.90000000000001</v>
      </c>
      <c r="CP374" s="2" t="n">
        <v>71.5</v>
      </c>
      <c r="CQ374" s="2" t="n">
        <v>0</v>
      </c>
      <c r="CR374" s="2" t="n">
        <v>78.81</v>
      </c>
      <c r="CS374" s="2" t="n">
        <v>80.44</v>
      </c>
      <c r="CT374" s="2" t="n">
        <v>0</v>
      </c>
      <c r="CU374" s="2" t="n">
        <v>85.27</v>
      </c>
      <c r="CV374" s="2" t="n">
        <v>87.01000000000001</v>
      </c>
      <c r="CW374" s="2" t="n">
        <v>0</v>
      </c>
      <c r="CX374" s="2" t="n">
        <v>93.92</v>
      </c>
      <c r="CY374" s="2" t="n">
        <v>95.19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8.41</v>
      </c>
      <c r="BY375" s="2" t="n">
        <v>0</v>
      </c>
      <c r="BZ375" s="2" t="n">
        <v>18.31</v>
      </c>
      <c r="CA375" s="2" t="n">
        <v>17.48</v>
      </c>
      <c r="CB375" s="2" t="n">
        <v>0</v>
      </c>
      <c r="CC375" s="2" t="n">
        <v>33.02</v>
      </c>
      <c r="CD375" s="2" t="n">
        <v>34.57</v>
      </c>
      <c r="CE375" s="2" t="n">
        <v>0</v>
      </c>
      <c r="CF375" s="2" t="n">
        <v>42.74</v>
      </c>
      <c r="CG375" s="2" t="n">
        <v>44.19</v>
      </c>
      <c r="CH375" s="2" t="n">
        <v>0</v>
      </c>
      <c r="CI375" s="2" t="n">
        <v>52.53</v>
      </c>
      <c r="CJ375" s="2" t="n">
        <v>54.06</v>
      </c>
      <c r="CK375" s="2" t="n">
        <v>0</v>
      </c>
      <c r="CL375" s="2" t="n">
        <v>61.5</v>
      </c>
      <c r="CM375" s="2" t="n">
        <v>63.15</v>
      </c>
      <c r="CN375" s="2" t="n">
        <v>0</v>
      </c>
      <c r="CO375" s="2" t="n">
        <v>69.90000000000001</v>
      </c>
      <c r="CP375" s="2" t="n">
        <v>71.5</v>
      </c>
      <c r="CQ375" s="2" t="n">
        <v>0</v>
      </c>
      <c r="CR375" s="2" t="n">
        <v>78.81</v>
      </c>
      <c r="CS375" s="2" t="n">
        <v>80.44</v>
      </c>
      <c r="CT375" s="2" t="n">
        <v>0</v>
      </c>
      <c r="CU375" s="2" t="n">
        <v>85.27</v>
      </c>
      <c r="CV375" s="2" t="n">
        <v>87.01000000000001</v>
      </c>
      <c r="CW375" s="2" t="n">
        <v>0</v>
      </c>
      <c r="CX375" s="2" t="n">
        <v>93.92</v>
      </c>
      <c r="CY375" s="2" t="n">
        <v>95.19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8.41</v>
      </c>
      <c r="BY376" s="2" t="n">
        <v>0</v>
      </c>
      <c r="BZ376" s="2" t="n">
        <v>18.31</v>
      </c>
      <c r="CA376" s="2" t="n">
        <v>17.48</v>
      </c>
      <c r="CB376" s="2" t="n">
        <v>0</v>
      </c>
      <c r="CC376" s="2" t="n">
        <v>33.02</v>
      </c>
      <c r="CD376" s="2" t="n">
        <v>34.57</v>
      </c>
      <c r="CE376" s="2" t="n">
        <v>0</v>
      </c>
      <c r="CF376" s="2" t="n">
        <v>42.74</v>
      </c>
      <c r="CG376" s="2" t="n">
        <v>44.19</v>
      </c>
      <c r="CH376" s="2" t="n">
        <v>0</v>
      </c>
      <c r="CI376" s="2" t="n">
        <v>52.53</v>
      </c>
      <c r="CJ376" s="2" t="n">
        <v>54.06</v>
      </c>
      <c r="CK376" s="2" t="n">
        <v>0</v>
      </c>
      <c r="CL376" s="2" t="n">
        <v>61.5</v>
      </c>
      <c r="CM376" s="2" t="n">
        <v>63.15</v>
      </c>
      <c r="CN376" s="2" t="n">
        <v>0</v>
      </c>
      <c r="CO376" s="2" t="n">
        <v>69.90000000000001</v>
      </c>
      <c r="CP376" s="2" t="n">
        <v>71.5</v>
      </c>
      <c r="CQ376" s="2" t="n">
        <v>0</v>
      </c>
      <c r="CR376" s="2" t="n">
        <v>78.81</v>
      </c>
      <c r="CS376" s="2" t="n">
        <v>80.44</v>
      </c>
      <c r="CT376" s="2" t="n">
        <v>0</v>
      </c>
      <c r="CU376" s="2" t="n">
        <v>85.27</v>
      </c>
      <c r="CV376" s="2" t="n">
        <v>87.01000000000001</v>
      </c>
      <c r="CW376" s="2" t="n">
        <v>0</v>
      </c>
      <c r="CX376" s="2" t="n">
        <v>93.92</v>
      </c>
      <c r="CY376" s="2" t="n">
        <v>95.19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8.41</v>
      </c>
      <c r="BY377" s="2" t="n">
        <v>0</v>
      </c>
      <c r="BZ377" s="2" t="n">
        <v>18.31</v>
      </c>
      <c r="CA377" s="2" t="n">
        <v>17.48</v>
      </c>
      <c r="CB377" s="2" t="n">
        <v>0</v>
      </c>
      <c r="CC377" s="2" t="n">
        <v>33.02</v>
      </c>
      <c r="CD377" s="2" t="n">
        <v>34.57</v>
      </c>
      <c r="CE377" s="2" t="n">
        <v>0</v>
      </c>
      <c r="CF377" s="2" t="n">
        <v>42.74</v>
      </c>
      <c r="CG377" s="2" t="n">
        <v>44.19</v>
      </c>
      <c r="CH377" s="2" t="n">
        <v>0</v>
      </c>
      <c r="CI377" s="2" t="n">
        <v>52.53</v>
      </c>
      <c r="CJ377" s="2" t="n">
        <v>54.06</v>
      </c>
      <c r="CK377" s="2" t="n">
        <v>0</v>
      </c>
      <c r="CL377" s="2" t="n">
        <v>61.5</v>
      </c>
      <c r="CM377" s="2" t="n">
        <v>63.15</v>
      </c>
      <c r="CN377" s="2" t="n">
        <v>0</v>
      </c>
      <c r="CO377" s="2" t="n">
        <v>69.90000000000001</v>
      </c>
      <c r="CP377" s="2" t="n">
        <v>71.5</v>
      </c>
      <c r="CQ377" s="2" t="n">
        <v>0</v>
      </c>
      <c r="CR377" s="2" t="n">
        <v>78.81</v>
      </c>
      <c r="CS377" s="2" t="n">
        <v>80.44</v>
      </c>
      <c r="CT377" s="2" t="n">
        <v>0</v>
      </c>
      <c r="CU377" s="2" t="n">
        <v>85.27</v>
      </c>
      <c r="CV377" s="2" t="n">
        <v>87.01000000000001</v>
      </c>
      <c r="CW377" s="2" t="n">
        <v>0</v>
      </c>
      <c r="CX377" s="2" t="n">
        <v>93.92</v>
      </c>
      <c r="CY377" s="2" t="n">
        <v>95.19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8.41</v>
      </c>
      <c r="BY378" s="2" t="n">
        <v>0</v>
      </c>
      <c r="BZ378" s="2" t="n">
        <v>18.31</v>
      </c>
      <c r="CA378" s="2" t="n">
        <v>17.48</v>
      </c>
      <c r="CB378" s="2" t="n">
        <v>0</v>
      </c>
      <c r="CC378" s="2" t="n">
        <v>33.02</v>
      </c>
      <c r="CD378" s="2" t="n">
        <v>34.57</v>
      </c>
      <c r="CE378" s="2" t="n">
        <v>0</v>
      </c>
      <c r="CF378" s="2" t="n">
        <v>42.74</v>
      </c>
      <c r="CG378" s="2" t="n">
        <v>44.19</v>
      </c>
      <c r="CH378" s="2" t="n">
        <v>0</v>
      </c>
      <c r="CI378" s="2" t="n">
        <v>52.53</v>
      </c>
      <c r="CJ378" s="2" t="n">
        <v>54.06</v>
      </c>
      <c r="CK378" s="2" t="n">
        <v>0</v>
      </c>
      <c r="CL378" s="2" t="n">
        <v>61.5</v>
      </c>
      <c r="CM378" s="2" t="n">
        <v>63.15</v>
      </c>
      <c r="CN378" s="2" t="n">
        <v>0</v>
      </c>
      <c r="CO378" s="2" t="n">
        <v>69.90000000000001</v>
      </c>
      <c r="CP378" s="2" t="n">
        <v>71.5</v>
      </c>
      <c r="CQ378" s="2" t="n">
        <v>0</v>
      </c>
      <c r="CR378" s="2" t="n">
        <v>78.81</v>
      </c>
      <c r="CS378" s="2" t="n">
        <v>80.44</v>
      </c>
      <c r="CT378" s="2" t="n">
        <v>0</v>
      </c>
      <c r="CU378" s="2" t="n">
        <v>85.27</v>
      </c>
      <c r="CV378" s="2" t="n">
        <v>87.01000000000001</v>
      </c>
      <c r="CW378" s="2" t="n">
        <v>0</v>
      </c>
      <c r="CX378" s="2" t="n">
        <v>93.92</v>
      </c>
      <c r="CY378" s="2" t="n">
        <v>95.19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8.41</v>
      </c>
      <c r="BY379" s="2" t="n">
        <v>0</v>
      </c>
      <c r="BZ379" s="2" t="n">
        <v>18.31</v>
      </c>
      <c r="CA379" s="2" t="n">
        <v>17.48</v>
      </c>
      <c r="CB379" s="2" t="n">
        <v>0</v>
      </c>
      <c r="CC379" s="2" t="n">
        <v>33.02</v>
      </c>
      <c r="CD379" s="2" t="n">
        <v>34.57</v>
      </c>
      <c r="CE379" s="2" t="n">
        <v>0</v>
      </c>
      <c r="CF379" s="2" t="n">
        <v>42.74</v>
      </c>
      <c r="CG379" s="2" t="n">
        <v>44.19</v>
      </c>
      <c r="CH379" s="2" t="n">
        <v>0</v>
      </c>
      <c r="CI379" s="2" t="n">
        <v>52.53</v>
      </c>
      <c r="CJ379" s="2" t="n">
        <v>54.06</v>
      </c>
      <c r="CK379" s="2" t="n">
        <v>0</v>
      </c>
      <c r="CL379" s="2" t="n">
        <v>61.5</v>
      </c>
      <c r="CM379" s="2" t="n">
        <v>63.15</v>
      </c>
      <c r="CN379" s="2" t="n">
        <v>0</v>
      </c>
      <c r="CO379" s="2" t="n">
        <v>69.90000000000001</v>
      </c>
      <c r="CP379" s="2" t="n">
        <v>71.5</v>
      </c>
      <c r="CQ379" s="2" t="n">
        <v>0</v>
      </c>
      <c r="CR379" s="2" t="n">
        <v>78.81</v>
      </c>
      <c r="CS379" s="2" t="n">
        <v>80.44</v>
      </c>
      <c r="CT379" s="2" t="n">
        <v>0</v>
      </c>
      <c r="CU379" s="2" t="n">
        <v>85.27</v>
      </c>
      <c r="CV379" s="2" t="n">
        <v>87.01000000000001</v>
      </c>
      <c r="CW379" s="2" t="n">
        <v>0</v>
      </c>
      <c r="CX379" s="2" t="n">
        <v>93.92</v>
      </c>
      <c r="CY379" s="2" t="n">
        <v>95.19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8.41</v>
      </c>
      <c r="BY380" s="2" t="n">
        <v>0</v>
      </c>
      <c r="BZ380" s="2" t="n">
        <v>18.31</v>
      </c>
      <c r="CA380" s="2" t="n">
        <v>17.48</v>
      </c>
      <c r="CB380" s="2" t="n">
        <v>0</v>
      </c>
      <c r="CC380" s="2" t="n">
        <v>33.02</v>
      </c>
      <c r="CD380" s="2" t="n">
        <v>34.57</v>
      </c>
      <c r="CE380" s="2" t="n">
        <v>0</v>
      </c>
      <c r="CF380" s="2" t="n">
        <v>42.74</v>
      </c>
      <c r="CG380" s="2" t="n">
        <v>44.19</v>
      </c>
      <c r="CH380" s="2" t="n">
        <v>0</v>
      </c>
      <c r="CI380" s="2" t="n">
        <v>52.53</v>
      </c>
      <c r="CJ380" s="2" t="n">
        <v>54.06</v>
      </c>
      <c r="CK380" s="2" t="n">
        <v>0</v>
      </c>
      <c r="CL380" s="2" t="n">
        <v>61.5</v>
      </c>
      <c r="CM380" s="2" t="n">
        <v>63.15</v>
      </c>
      <c r="CN380" s="2" t="n">
        <v>0</v>
      </c>
      <c r="CO380" s="2" t="n">
        <v>69.90000000000001</v>
      </c>
      <c r="CP380" s="2" t="n">
        <v>71.5</v>
      </c>
      <c r="CQ380" s="2" t="n">
        <v>0</v>
      </c>
      <c r="CR380" s="2" t="n">
        <v>78.81</v>
      </c>
      <c r="CS380" s="2" t="n">
        <v>80.44</v>
      </c>
      <c r="CT380" s="2" t="n">
        <v>0</v>
      </c>
      <c r="CU380" s="2" t="n">
        <v>85.27</v>
      </c>
      <c r="CV380" s="2" t="n">
        <v>87.01000000000001</v>
      </c>
      <c r="CW380" s="2" t="n">
        <v>0</v>
      </c>
      <c r="CX380" s="2" t="n">
        <v>93.92</v>
      </c>
      <c r="CY380" s="2" t="n">
        <v>95.19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8.41</v>
      </c>
      <c r="BY381" s="2" t="n">
        <v>0</v>
      </c>
      <c r="BZ381" s="2" t="n">
        <v>18.31</v>
      </c>
      <c r="CA381" s="2" t="n">
        <v>17.48</v>
      </c>
      <c r="CB381" s="2" t="n">
        <v>0</v>
      </c>
      <c r="CC381" s="2" t="n">
        <v>33.02</v>
      </c>
      <c r="CD381" s="2" t="n">
        <v>34.57</v>
      </c>
      <c r="CE381" s="2" t="n">
        <v>0</v>
      </c>
      <c r="CF381" s="2" t="n">
        <v>42.74</v>
      </c>
      <c r="CG381" s="2" t="n">
        <v>44.19</v>
      </c>
      <c r="CH381" s="2" t="n">
        <v>0</v>
      </c>
      <c r="CI381" s="2" t="n">
        <v>52.53</v>
      </c>
      <c r="CJ381" s="2" t="n">
        <v>54.06</v>
      </c>
      <c r="CK381" s="2" t="n">
        <v>0</v>
      </c>
      <c r="CL381" s="2" t="n">
        <v>61.5</v>
      </c>
      <c r="CM381" s="2" t="n">
        <v>63.15</v>
      </c>
      <c r="CN381" s="2" t="n">
        <v>0</v>
      </c>
      <c r="CO381" s="2" t="n">
        <v>69.90000000000001</v>
      </c>
      <c r="CP381" s="2" t="n">
        <v>71.5</v>
      </c>
      <c r="CQ381" s="2" t="n">
        <v>0</v>
      </c>
      <c r="CR381" s="2" t="n">
        <v>78.81</v>
      </c>
      <c r="CS381" s="2" t="n">
        <v>80.44</v>
      </c>
      <c r="CT381" s="2" t="n">
        <v>0</v>
      </c>
      <c r="CU381" s="2" t="n">
        <v>85.27</v>
      </c>
      <c r="CV381" s="2" t="n">
        <v>87.01000000000001</v>
      </c>
      <c r="CW381" s="2" t="n">
        <v>0</v>
      </c>
      <c r="CX381" s="2" t="n">
        <v>93.92</v>
      </c>
      <c r="CY381" s="2" t="n">
        <v>95.19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8.41</v>
      </c>
      <c r="BY382" s="2" t="n">
        <v>0</v>
      </c>
      <c r="BZ382" s="2" t="n">
        <v>18.31</v>
      </c>
      <c r="CA382" s="2" t="n">
        <v>17.48</v>
      </c>
      <c r="CB382" s="2" t="n">
        <v>0</v>
      </c>
      <c r="CC382" s="2" t="n">
        <v>33.02</v>
      </c>
      <c r="CD382" s="2" t="n">
        <v>34.57</v>
      </c>
      <c r="CE382" s="2" t="n">
        <v>0</v>
      </c>
      <c r="CF382" s="2" t="n">
        <v>42.74</v>
      </c>
      <c r="CG382" s="2" t="n">
        <v>44.19</v>
      </c>
      <c r="CH382" s="2" t="n">
        <v>0</v>
      </c>
      <c r="CI382" s="2" t="n">
        <v>52.53</v>
      </c>
      <c r="CJ382" s="2" t="n">
        <v>54.06</v>
      </c>
      <c r="CK382" s="2" t="n">
        <v>0</v>
      </c>
      <c r="CL382" s="2" t="n">
        <v>61.5</v>
      </c>
      <c r="CM382" s="2" t="n">
        <v>63.15</v>
      </c>
      <c r="CN382" s="2" t="n">
        <v>0</v>
      </c>
      <c r="CO382" s="2" t="n">
        <v>69.90000000000001</v>
      </c>
      <c r="CP382" s="2" t="n">
        <v>71.5</v>
      </c>
      <c r="CQ382" s="2" t="n">
        <v>0</v>
      </c>
      <c r="CR382" s="2" t="n">
        <v>78.81</v>
      </c>
      <c r="CS382" s="2" t="n">
        <v>80.44</v>
      </c>
      <c r="CT382" s="2" t="n">
        <v>0</v>
      </c>
      <c r="CU382" s="2" t="n">
        <v>85.27</v>
      </c>
      <c r="CV382" s="2" t="n">
        <v>87.01000000000001</v>
      </c>
      <c r="CW382" s="2" t="n">
        <v>0</v>
      </c>
      <c r="CX382" s="2" t="n">
        <v>93.92</v>
      </c>
      <c r="CY382" s="2" t="n">
        <v>95.19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8.41</v>
      </c>
      <c r="BY383" s="2" t="n">
        <v>0</v>
      </c>
      <c r="BZ383" s="2" t="n">
        <v>18.31</v>
      </c>
      <c r="CA383" s="2" t="n">
        <v>17.48</v>
      </c>
      <c r="CB383" s="2" t="n">
        <v>0</v>
      </c>
      <c r="CC383" s="2" t="n">
        <v>33.02</v>
      </c>
      <c r="CD383" s="2" t="n">
        <v>34.57</v>
      </c>
      <c r="CE383" s="2" t="n">
        <v>0</v>
      </c>
      <c r="CF383" s="2" t="n">
        <v>42.74</v>
      </c>
      <c r="CG383" s="2" t="n">
        <v>44.19</v>
      </c>
      <c r="CH383" s="2" t="n">
        <v>0</v>
      </c>
      <c r="CI383" s="2" t="n">
        <v>52.53</v>
      </c>
      <c r="CJ383" s="2" t="n">
        <v>54.06</v>
      </c>
      <c r="CK383" s="2" t="n">
        <v>0</v>
      </c>
      <c r="CL383" s="2" t="n">
        <v>61.5</v>
      </c>
      <c r="CM383" s="2" t="n">
        <v>63.15</v>
      </c>
      <c r="CN383" s="2" t="n">
        <v>0</v>
      </c>
      <c r="CO383" s="2" t="n">
        <v>69.90000000000001</v>
      </c>
      <c r="CP383" s="2" t="n">
        <v>71.5</v>
      </c>
      <c r="CQ383" s="2" t="n">
        <v>0</v>
      </c>
      <c r="CR383" s="2" t="n">
        <v>78.81</v>
      </c>
      <c r="CS383" s="2" t="n">
        <v>80.44</v>
      </c>
      <c r="CT383" s="2" t="n">
        <v>0</v>
      </c>
      <c r="CU383" s="2" t="n">
        <v>85.27</v>
      </c>
      <c r="CV383" s="2" t="n">
        <v>87.01000000000001</v>
      </c>
      <c r="CW383" s="2" t="n">
        <v>0</v>
      </c>
      <c r="CX383" s="2" t="n">
        <v>93.92</v>
      </c>
      <c r="CY383" s="2" t="n">
        <v>95.19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8.41</v>
      </c>
      <c r="BY384" s="2" t="n">
        <v>0</v>
      </c>
      <c r="BZ384" s="2" t="n">
        <v>18.31</v>
      </c>
      <c r="CA384" s="2" t="n">
        <v>17.48</v>
      </c>
      <c r="CB384" s="2" t="n">
        <v>0</v>
      </c>
      <c r="CC384" s="2" t="n">
        <v>33.02</v>
      </c>
      <c r="CD384" s="2" t="n">
        <v>34.57</v>
      </c>
      <c r="CE384" s="2" t="n">
        <v>0</v>
      </c>
      <c r="CF384" s="2" t="n">
        <v>42.74</v>
      </c>
      <c r="CG384" s="2" t="n">
        <v>44.19</v>
      </c>
      <c r="CH384" s="2" t="n">
        <v>0</v>
      </c>
      <c r="CI384" s="2" t="n">
        <v>52.53</v>
      </c>
      <c r="CJ384" s="2" t="n">
        <v>54.06</v>
      </c>
      <c r="CK384" s="2" t="n">
        <v>0</v>
      </c>
      <c r="CL384" s="2" t="n">
        <v>61.5</v>
      </c>
      <c r="CM384" s="2" t="n">
        <v>63.15</v>
      </c>
      <c r="CN384" s="2" t="n">
        <v>0</v>
      </c>
      <c r="CO384" s="2" t="n">
        <v>69.90000000000001</v>
      </c>
      <c r="CP384" s="2" t="n">
        <v>71.5</v>
      </c>
      <c r="CQ384" s="2" t="n">
        <v>0</v>
      </c>
      <c r="CR384" s="2" t="n">
        <v>78.81</v>
      </c>
      <c r="CS384" s="2" t="n">
        <v>80.44</v>
      </c>
      <c r="CT384" s="2" t="n">
        <v>0</v>
      </c>
      <c r="CU384" s="2" t="n">
        <v>85.27</v>
      </c>
      <c r="CV384" s="2" t="n">
        <v>87.01000000000001</v>
      </c>
      <c r="CW384" s="2" t="n">
        <v>0</v>
      </c>
      <c r="CX384" s="2" t="n">
        <v>93.92</v>
      </c>
      <c r="CY384" s="2" t="n">
        <v>95.19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8.41</v>
      </c>
      <c r="BY385" s="2" t="n">
        <v>0</v>
      </c>
      <c r="BZ385" s="2" t="n">
        <v>18.31</v>
      </c>
      <c r="CA385" s="2" t="n">
        <v>17.48</v>
      </c>
      <c r="CB385" s="2" t="n">
        <v>0</v>
      </c>
      <c r="CC385" s="2" t="n">
        <v>33.02</v>
      </c>
      <c r="CD385" s="2" t="n">
        <v>34.57</v>
      </c>
      <c r="CE385" s="2" t="n">
        <v>0</v>
      </c>
      <c r="CF385" s="2" t="n">
        <v>42.74</v>
      </c>
      <c r="CG385" s="2" t="n">
        <v>44.19</v>
      </c>
      <c r="CH385" s="2" t="n">
        <v>0</v>
      </c>
      <c r="CI385" s="2" t="n">
        <v>52.53</v>
      </c>
      <c r="CJ385" s="2" t="n">
        <v>54.06</v>
      </c>
      <c r="CK385" s="2" t="n">
        <v>0</v>
      </c>
      <c r="CL385" s="2" t="n">
        <v>61.5</v>
      </c>
      <c r="CM385" s="2" t="n">
        <v>63.15</v>
      </c>
      <c r="CN385" s="2" t="n">
        <v>0</v>
      </c>
      <c r="CO385" s="2" t="n">
        <v>69.90000000000001</v>
      </c>
      <c r="CP385" s="2" t="n">
        <v>71.5</v>
      </c>
      <c r="CQ385" s="2" t="n">
        <v>0</v>
      </c>
      <c r="CR385" s="2" t="n">
        <v>78.81</v>
      </c>
      <c r="CS385" s="2" t="n">
        <v>80.44</v>
      </c>
      <c r="CT385" s="2" t="n">
        <v>0</v>
      </c>
      <c r="CU385" s="2" t="n">
        <v>85.27</v>
      </c>
      <c r="CV385" s="2" t="n">
        <v>87.01000000000001</v>
      </c>
      <c r="CW385" s="2" t="n">
        <v>0</v>
      </c>
      <c r="CX385" s="2" t="n">
        <v>93.92</v>
      </c>
      <c r="CY385" s="2" t="n">
        <v>95.19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8.41</v>
      </c>
      <c r="BY386" s="2" t="n">
        <v>0</v>
      </c>
      <c r="BZ386" s="2" t="n">
        <v>18.31</v>
      </c>
      <c r="CA386" s="2" t="n">
        <v>17.48</v>
      </c>
      <c r="CB386" s="2" t="n">
        <v>0</v>
      </c>
      <c r="CC386" s="2" t="n">
        <v>33.02</v>
      </c>
      <c r="CD386" s="2" t="n">
        <v>34.57</v>
      </c>
      <c r="CE386" s="2" t="n">
        <v>0</v>
      </c>
      <c r="CF386" s="2" t="n">
        <v>42.74</v>
      </c>
      <c r="CG386" s="2" t="n">
        <v>44.19</v>
      </c>
      <c r="CH386" s="2" t="n">
        <v>0</v>
      </c>
      <c r="CI386" s="2" t="n">
        <v>52.53</v>
      </c>
      <c r="CJ386" s="2" t="n">
        <v>54.06</v>
      </c>
      <c r="CK386" s="2" t="n">
        <v>0</v>
      </c>
      <c r="CL386" s="2" t="n">
        <v>61.5</v>
      </c>
      <c r="CM386" s="2" t="n">
        <v>63.15</v>
      </c>
      <c r="CN386" s="2" t="n">
        <v>0</v>
      </c>
      <c r="CO386" s="2" t="n">
        <v>69.90000000000001</v>
      </c>
      <c r="CP386" s="2" t="n">
        <v>71.5</v>
      </c>
      <c r="CQ386" s="2" t="n">
        <v>0</v>
      </c>
      <c r="CR386" s="2" t="n">
        <v>78.81</v>
      </c>
      <c r="CS386" s="2" t="n">
        <v>80.44</v>
      </c>
      <c r="CT386" s="2" t="n">
        <v>0</v>
      </c>
      <c r="CU386" s="2" t="n">
        <v>85.27</v>
      </c>
      <c r="CV386" s="2" t="n">
        <v>87.01000000000001</v>
      </c>
      <c r="CW386" s="2" t="n">
        <v>0</v>
      </c>
      <c r="CX386" s="2" t="n">
        <v>93.92</v>
      </c>
      <c r="CY386" s="2" t="n">
        <v>95.19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8.41</v>
      </c>
      <c r="BY387" s="2" t="n">
        <v>0</v>
      </c>
      <c r="BZ387" s="2" t="n">
        <v>18.31</v>
      </c>
      <c r="CA387" s="2" t="n">
        <v>17.48</v>
      </c>
      <c r="CB387" s="2" t="n">
        <v>0</v>
      </c>
      <c r="CC387" s="2" t="n">
        <v>33.02</v>
      </c>
      <c r="CD387" s="2" t="n">
        <v>34.57</v>
      </c>
      <c r="CE387" s="2" t="n">
        <v>0</v>
      </c>
      <c r="CF387" s="2" t="n">
        <v>42.74</v>
      </c>
      <c r="CG387" s="2" t="n">
        <v>44.19</v>
      </c>
      <c r="CH387" s="2" t="n">
        <v>0</v>
      </c>
      <c r="CI387" s="2" t="n">
        <v>52.53</v>
      </c>
      <c r="CJ387" s="2" t="n">
        <v>54.06</v>
      </c>
      <c r="CK387" s="2" t="n">
        <v>0</v>
      </c>
      <c r="CL387" s="2" t="n">
        <v>61.5</v>
      </c>
      <c r="CM387" s="2" t="n">
        <v>63.15</v>
      </c>
      <c r="CN387" s="2" t="n">
        <v>0</v>
      </c>
      <c r="CO387" s="2" t="n">
        <v>69.90000000000001</v>
      </c>
      <c r="CP387" s="2" t="n">
        <v>71.5</v>
      </c>
      <c r="CQ387" s="2" t="n">
        <v>0</v>
      </c>
      <c r="CR387" s="2" t="n">
        <v>78.81</v>
      </c>
      <c r="CS387" s="2" t="n">
        <v>80.44</v>
      </c>
      <c r="CT387" s="2" t="n">
        <v>0</v>
      </c>
      <c r="CU387" s="2" t="n">
        <v>85.27</v>
      </c>
      <c r="CV387" s="2" t="n">
        <v>87.01000000000001</v>
      </c>
      <c r="CW387" s="2" t="n">
        <v>0</v>
      </c>
      <c r="CX387" s="2" t="n">
        <v>93.92</v>
      </c>
      <c r="CY387" s="2" t="n">
        <v>95.19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8.41</v>
      </c>
      <c r="BY388" s="2" t="n">
        <v>0</v>
      </c>
      <c r="BZ388" s="2" t="n">
        <v>18.31</v>
      </c>
      <c r="CA388" s="2" t="n">
        <v>17.48</v>
      </c>
      <c r="CB388" s="2" t="n">
        <v>0</v>
      </c>
      <c r="CC388" s="2" t="n">
        <v>33.02</v>
      </c>
      <c r="CD388" s="2" t="n">
        <v>34.57</v>
      </c>
      <c r="CE388" s="2" t="n">
        <v>0</v>
      </c>
      <c r="CF388" s="2" t="n">
        <v>42.74</v>
      </c>
      <c r="CG388" s="2" t="n">
        <v>44.19</v>
      </c>
      <c r="CH388" s="2" t="n">
        <v>0</v>
      </c>
      <c r="CI388" s="2" t="n">
        <v>52.53</v>
      </c>
      <c r="CJ388" s="2" t="n">
        <v>54.06</v>
      </c>
      <c r="CK388" s="2" t="n">
        <v>0</v>
      </c>
      <c r="CL388" s="2" t="n">
        <v>61.5</v>
      </c>
      <c r="CM388" s="2" t="n">
        <v>63.15</v>
      </c>
      <c r="CN388" s="2" t="n">
        <v>0</v>
      </c>
      <c r="CO388" s="2" t="n">
        <v>69.90000000000001</v>
      </c>
      <c r="CP388" s="2" t="n">
        <v>71.5</v>
      </c>
      <c r="CQ388" s="2" t="n">
        <v>0</v>
      </c>
      <c r="CR388" s="2" t="n">
        <v>78.81</v>
      </c>
      <c r="CS388" s="2" t="n">
        <v>80.44</v>
      </c>
      <c r="CT388" s="2" t="n">
        <v>0</v>
      </c>
      <c r="CU388" s="2" t="n">
        <v>85.27</v>
      </c>
      <c r="CV388" s="2" t="n">
        <v>87.01000000000001</v>
      </c>
      <c r="CW388" s="2" t="n">
        <v>0</v>
      </c>
      <c r="CX388" s="2" t="n">
        <v>93.92</v>
      </c>
      <c r="CY388" s="2" t="n">
        <v>95.19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8.41</v>
      </c>
      <c r="BY389" s="2" t="n">
        <v>0</v>
      </c>
      <c r="BZ389" s="2" t="n">
        <v>18.31</v>
      </c>
      <c r="CA389" s="2" t="n">
        <v>17.48</v>
      </c>
      <c r="CB389" s="2" t="n">
        <v>0</v>
      </c>
      <c r="CC389" s="2" t="n">
        <v>33.02</v>
      </c>
      <c r="CD389" s="2" t="n">
        <v>34.57</v>
      </c>
      <c r="CE389" s="2" t="n">
        <v>0</v>
      </c>
      <c r="CF389" s="2" t="n">
        <v>42.74</v>
      </c>
      <c r="CG389" s="2" t="n">
        <v>44.19</v>
      </c>
      <c r="CH389" s="2" t="n">
        <v>0</v>
      </c>
      <c r="CI389" s="2" t="n">
        <v>52.53</v>
      </c>
      <c r="CJ389" s="2" t="n">
        <v>54.06</v>
      </c>
      <c r="CK389" s="2" t="n">
        <v>0</v>
      </c>
      <c r="CL389" s="2" t="n">
        <v>61.5</v>
      </c>
      <c r="CM389" s="2" t="n">
        <v>63.15</v>
      </c>
      <c r="CN389" s="2" t="n">
        <v>0</v>
      </c>
      <c r="CO389" s="2" t="n">
        <v>69.90000000000001</v>
      </c>
      <c r="CP389" s="2" t="n">
        <v>71.5</v>
      </c>
      <c r="CQ389" s="2" t="n">
        <v>0</v>
      </c>
      <c r="CR389" s="2" t="n">
        <v>78.81</v>
      </c>
      <c r="CS389" s="2" t="n">
        <v>80.44</v>
      </c>
      <c r="CT389" s="2" t="n">
        <v>0</v>
      </c>
      <c r="CU389" s="2" t="n">
        <v>85.27</v>
      </c>
      <c r="CV389" s="2" t="n">
        <v>87.01000000000001</v>
      </c>
      <c r="CW389" s="2" t="n">
        <v>0</v>
      </c>
      <c r="CX389" s="2" t="n">
        <v>93.92</v>
      </c>
      <c r="CY389" s="2" t="n">
        <v>95.19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20.63</v>
      </c>
      <c r="CN390" s="2" t="n">
        <v>0</v>
      </c>
      <c r="CO390" s="2" t="n">
        <v>31.51</v>
      </c>
      <c r="CP390" s="2" t="n">
        <v>31.73</v>
      </c>
      <c r="CQ390" s="2" t="n">
        <v>0</v>
      </c>
      <c r="CR390" s="2" t="n">
        <v>42.99</v>
      </c>
      <c r="CS390" s="2" t="n">
        <v>43.65</v>
      </c>
      <c r="CT390" s="2" t="n">
        <v>0</v>
      </c>
      <c r="CU390" s="2" t="n">
        <v>50.96</v>
      </c>
      <c r="CV390" s="2" t="n">
        <v>52.02</v>
      </c>
      <c r="CW390" s="2" t="n">
        <v>0</v>
      </c>
      <c r="CX390" s="2" t="n">
        <v>58.98</v>
      </c>
      <c r="CY390" s="2" t="n">
        <v>60.25</v>
      </c>
      <c r="CZ390" s="2" t="n">
        <v>0</v>
      </c>
      <c r="DA390" s="2" t="n">
        <v>71.18000000000001</v>
      </c>
      <c r="DB390" s="2" t="n">
        <v>70.31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20.63</v>
      </c>
      <c r="CN391" s="2" t="n">
        <v>0</v>
      </c>
      <c r="CO391" s="2" t="n">
        <v>31.51</v>
      </c>
      <c r="CP391" s="2" t="n">
        <v>31.73</v>
      </c>
      <c r="CQ391" s="2" t="n">
        <v>0</v>
      </c>
      <c r="CR391" s="2" t="n">
        <v>42.99</v>
      </c>
      <c r="CS391" s="2" t="n">
        <v>43.65</v>
      </c>
      <c r="CT391" s="2" t="n">
        <v>0</v>
      </c>
      <c r="CU391" s="2" t="n">
        <v>50.96</v>
      </c>
      <c r="CV391" s="2" t="n">
        <v>52.02</v>
      </c>
      <c r="CW391" s="2" t="n">
        <v>0</v>
      </c>
      <c r="CX391" s="2" t="n">
        <v>58.98</v>
      </c>
      <c r="CY391" s="2" t="n">
        <v>60.25</v>
      </c>
      <c r="CZ391" s="2" t="n">
        <v>0</v>
      </c>
      <c r="DA391" s="2" t="n">
        <v>71.18000000000001</v>
      </c>
      <c r="DB391" s="2" t="n">
        <v>70.31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20.63</v>
      </c>
      <c r="CN392" s="2" t="n">
        <v>0</v>
      </c>
      <c r="CO392" s="2" t="n">
        <v>31.51</v>
      </c>
      <c r="CP392" s="2" t="n">
        <v>31.73</v>
      </c>
      <c r="CQ392" s="2" t="n">
        <v>0</v>
      </c>
      <c r="CR392" s="2" t="n">
        <v>42.99</v>
      </c>
      <c r="CS392" s="2" t="n">
        <v>43.65</v>
      </c>
      <c r="CT392" s="2" t="n">
        <v>0</v>
      </c>
      <c r="CU392" s="2" t="n">
        <v>50.96</v>
      </c>
      <c r="CV392" s="2" t="n">
        <v>52.02</v>
      </c>
      <c r="CW392" s="2" t="n">
        <v>0</v>
      </c>
      <c r="CX392" s="2" t="n">
        <v>58.98</v>
      </c>
      <c r="CY392" s="2" t="n">
        <v>60.25</v>
      </c>
      <c r="CZ392" s="2" t="n">
        <v>0</v>
      </c>
      <c r="DA392" s="2" t="n">
        <v>71.18000000000001</v>
      </c>
      <c r="DB392" s="2" t="n">
        <v>70.31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20.63</v>
      </c>
      <c r="CN393" s="2" t="n">
        <v>0</v>
      </c>
      <c r="CO393" s="2" t="n">
        <v>31.51</v>
      </c>
      <c r="CP393" s="2" t="n">
        <v>31.73</v>
      </c>
      <c r="CQ393" s="2" t="n">
        <v>0</v>
      </c>
      <c r="CR393" s="2" t="n">
        <v>42.99</v>
      </c>
      <c r="CS393" s="2" t="n">
        <v>43.65</v>
      </c>
      <c r="CT393" s="2" t="n">
        <v>0</v>
      </c>
      <c r="CU393" s="2" t="n">
        <v>50.96</v>
      </c>
      <c r="CV393" s="2" t="n">
        <v>52.02</v>
      </c>
      <c r="CW393" s="2" t="n">
        <v>0</v>
      </c>
      <c r="CX393" s="2" t="n">
        <v>58.98</v>
      </c>
      <c r="CY393" s="2" t="n">
        <v>60.25</v>
      </c>
      <c r="CZ393" s="2" t="n">
        <v>0</v>
      </c>
      <c r="DA393" s="2" t="n">
        <v>71.18000000000001</v>
      </c>
      <c r="DB393" s="2" t="n">
        <v>70.31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20.63</v>
      </c>
      <c r="CN394" s="2" t="n">
        <v>0</v>
      </c>
      <c r="CO394" s="2" t="n">
        <v>31.51</v>
      </c>
      <c r="CP394" s="2" t="n">
        <v>31.73</v>
      </c>
      <c r="CQ394" s="2" t="n">
        <v>0</v>
      </c>
      <c r="CR394" s="2" t="n">
        <v>42.99</v>
      </c>
      <c r="CS394" s="2" t="n">
        <v>43.65</v>
      </c>
      <c r="CT394" s="2" t="n">
        <v>0</v>
      </c>
      <c r="CU394" s="2" t="n">
        <v>50.96</v>
      </c>
      <c r="CV394" s="2" t="n">
        <v>52.02</v>
      </c>
      <c r="CW394" s="2" t="n">
        <v>0</v>
      </c>
      <c r="CX394" s="2" t="n">
        <v>58.98</v>
      </c>
      <c r="CY394" s="2" t="n">
        <v>60.25</v>
      </c>
      <c r="CZ394" s="2" t="n">
        <v>0</v>
      </c>
      <c r="DA394" s="2" t="n">
        <v>71.18000000000001</v>
      </c>
      <c r="DB394" s="2" t="n">
        <v>70.31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20.63</v>
      </c>
      <c r="CN395" s="2" t="n">
        <v>0</v>
      </c>
      <c r="CO395" s="2" t="n">
        <v>31.51</v>
      </c>
      <c r="CP395" s="2" t="n">
        <v>31.73</v>
      </c>
      <c r="CQ395" s="2" t="n">
        <v>0</v>
      </c>
      <c r="CR395" s="2" t="n">
        <v>42.99</v>
      </c>
      <c r="CS395" s="2" t="n">
        <v>43.65</v>
      </c>
      <c r="CT395" s="2" t="n">
        <v>0</v>
      </c>
      <c r="CU395" s="2" t="n">
        <v>50.96</v>
      </c>
      <c r="CV395" s="2" t="n">
        <v>52.02</v>
      </c>
      <c r="CW395" s="2" t="n">
        <v>0</v>
      </c>
      <c r="CX395" s="2" t="n">
        <v>58.98</v>
      </c>
      <c r="CY395" s="2" t="n">
        <v>60.25</v>
      </c>
      <c r="CZ395" s="2" t="n">
        <v>0</v>
      </c>
      <c r="DA395" s="2" t="n">
        <v>71.18000000000001</v>
      </c>
      <c r="DB395" s="2" t="n">
        <v>70.31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20.63</v>
      </c>
      <c r="CN396" s="2" t="n">
        <v>0</v>
      </c>
      <c r="CO396" s="2" t="n">
        <v>31.51</v>
      </c>
      <c r="CP396" s="2" t="n">
        <v>31.73</v>
      </c>
      <c r="CQ396" s="2" t="n">
        <v>0</v>
      </c>
      <c r="CR396" s="2" t="n">
        <v>42.99</v>
      </c>
      <c r="CS396" s="2" t="n">
        <v>43.65</v>
      </c>
      <c r="CT396" s="2" t="n">
        <v>0</v>
      </c>
      <c r="CU396" s="2" t="n">
        <v>50.96</v>
      </c>
      <c r="CV396" s="2" t="n">
        <v>52.02</v>
      </c>
      <c r="CW396" s="2" t="n">
        <v>0</v>
      </c>
      <c r="CX396" s="2" t="n">
        <v>58.98</v>
      </c>
      <c r="CY396" s="2" t="n">
        <v>60.25</v>
      </c>
      <c r="CZ396" s="2" t="n">
        <v>0</v>
      </c>
      <c r="DA396" s="2" t="n">
        <v>71.18000000000001</v>
      </c>
      <c r="DB396" s="2" t="n">
        <v>70.31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8.41</v>
      </c>
      <c r="BY397" s="2" t="n">
        <v>0</v>
      </c>
      <c r="BZ397" s="2" t="n">
        <v>18.31</v>
      </c>
      <c r="CA397" s="2" t="n">
        <v>17.48</v>
      </c>
      <c r="CB397" s="2" t="n">
        <v>0</v>
      </c>
      <c r="CC397" s="2" t="n">
        <v>33.02</v>
      </c>
      <c r="CD397" s="2" t="n">
        <v>34.57</v>
      </c>
      <c r="CE397" s="2" t="n">
        <v>0</v>
      </c>
      <c r="CF397" s="2" t="n">
        <v>42.74</v>
      </c>
      <c r="CG397" s="2" t="n">
        <v>44.19</v>
      </c>
      <c r="CH397" s="2" t="n">
        <v>0</v>
      </c>
      <c r="CI397" s="2" t="n">
        <v>52.53</v>
      </c>
      <c r="CJ397" s="2" t="n">
        <v>54.06</v>
      </c>
      <c r="CK397" s="2" t="n">
        <v>0</v>
      </c>
      <c r="CL397" s="2" t="n">
        <v>61.5</v>
      </c>
      <c r="CM397" s="2" t="n">
        <v>63.15</v>
      </c>
      <c r="CN397" s="2" t="n">
        <v>0</v>
      </c>
      <c r="CO397" s="2" t="n">
        <v>69.90000000000001</v>
      </c>
      <c r="CP397" s="2" t="n">
        <v>71.5</v>
      </c>
      <c r="CQ397" s="2" t="n">
        <v>0</v>
      </c>
      <c r="CR397" s="2" t="n">
        <v>78.81</v>
      </c>
      <c r="CS397" s="2" t="n">
        <v>80.44</v>
      </c>
      <c r="CT397" s="2" t="n">
        <v>0</v>
      </c>
      <c r="CU397" s="2" t="n">
        <v>85.27</v>
      </c>
      <c r="CV397" s="2" t="n">
        <v>87.01000000000001</v>
      </c>
      <c r="CW397" s="2" t="n">
        <v>0</v>
      </c>
      <c r="CX397" s="2" t="n">
        <v>93.92</v>
      </c>
      <c r="CY397" s="2" t="n">
        <v>95.19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8.41</v>
      </c>
      <c r="BY398" s="2" t="n">
        <v>0</v>
      </c>
      <c r="BZ398" s="2" t="n">
        <v>18.31</v>
      </c>
      <c r="CA398" s="2" t="n">
        <v>17.48</v>
      </c>
      <c r="CB398" s="2" t="n">
        <v>0</v>
      </c>
      <c r="CC398" s="2" t="n">
        <v>33.02</v>
      </c>
      <c r="CD398" s="2" t="n">
        <v>34.57</v>
      </c>
      <c r="CE398" s="2" t="n">
        <v>0</v>
      </c>
      <c r="CF398" s="2" t="n">
        <v>42.74</v>
      </c>
      <c r="CG398" s="2" t="n">
        <v>44.19</v>
      </c>
      <c r="CH398" s="2" t="n">
        <v>0</v>
      </c>
      <c r="CI398" s="2" t="n">
        <v>52.53</v>
      </c>
      <c r="CJ398" s="2" t="n">
        <v>54.06</v>
      </c>
      <c r="CK398" s="2" t="n">
        <v>0</v>
      </c>
      <c r="CL398" s="2" t="n">
        <v>61.5</v>
      </c>
      <c r="CM398" s="2" t="n">
        <v>63.15</v>
      </c>
      <c r="CN398" s="2" t="n">
        <v>0</v>
      </c>
      <c r="CO398" s="2" t="n">
        <v>69.90000000000001</v>
      </c>
      <c r="CP398" s="2" t="n">
        <v>71.5</v>
      </c>
      <c r="CQ398" s="2" t="n">
        <v>0</v>
      </c>
      <c r="CR398" s="2" t="n">
        <v>78.81</v>
      </c>
      <c r="CS398" s="2" t="n">
        <v>80.44</v>
      </c>
      <c r="CT398" s="2" t="n">
        <v>0</v>
      </c>
      <c r="CU398" s="2" t="n">
        <v>85.27</v>
      </c>
      <c r="CV398" s="2" t="n">
        <v>87.01000000000001</v>
      </c>
      <c r="CW398" s="2" t="n">
        <v>0</v>
      </c>
      <c r="CX398" s="2" t="n">
        <v>93.92</v>
      </c>
      <c r="CY398" s="2" t="n">
        <v>95.19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14.81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29.1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42.59</v>
      </c>
      <c r="DC399" s="2" t="n">
        <v>0</v>
      </c>
      <c r="DD399" s="2" t="n">
        <v>54.32</v>
      </c>
      <c r="DE399" s="2" t="n">
        <v>56.3</v>
      </c>
      <c r="DF399" s="2" t="n">
        <v>0</v>
      </c>
      <c r="DG399" s="2" t="n">
        <v>63.54</v>
      </c>
      <c r="DH399" s="2" t="n">
        <v>64.89</v>
      </c>
      <c r="DI399" s="2" t="n">
        <v>0</v>
      </c>
      <c r="DJ399" s="2" t="n">
        <v>72.54000000000001</v>
      </c>
      <c r="DK399" s="2" t="n">
        <v>75.18000000000001</v>
      </c>
      <c r="DL399" s="2" t="n">
        <v>0</v>
      </c>
      <c r="DM399" s="2" t="n">
        <v>86.23999999999999</v>
      </c>
      <c r="DN399" s="2" t="n">
        <v>90.03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14.81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29.1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42.59</v>
      </c>
      <c r="DC400" s="2" t="n">
        <v>0</v>
      </c>
      <c r="DD400" s="2" t="n">
        <v>54.32</v>
      </c>
      <c r="DE400" s="2" t="n">
        <v>56.3</v>
      </c>
      <c r="DF400" s="2" t="n">
        <v>0</v>
      </c>
      <c r="DG400" s="2" t="n">
        <v>63.54</v>
      </c>
      <c r="DH400" s="2" t="n">
        <v>64.89</v>
      </c>
      <c r="DI400" s="2" t="n">
        <v>0</v>
      </c>
      <c r="DJ400" s="2" t="n">
        <v>72.54000000000001</v>
      </c>
      <c r="DK400" s="2" t="n">
        <v>75.18000000000001</v>
      </c>
      <c r="DL400" s="2" t="n">
        <v>0</v>
      </c>
      <c r="DM400" s="2" t="n">
        <v>86.23999999999999</v>
      </c>
      <c r="DN400" s="2" t="n">
        <v>90.03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14.81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29.1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42.59</v>
      </c>
      <c r="DC401" s="2" t="n">
        <v>0</v>
      </c>
      <c r="DD401" s="2" t="n">
        <v>54.32</v>
      </c>
      <c r="DE401" s="2" t="n">
        <v>56.3</v>
      </c>
      <c r="DF401" s="2" t="n">
        <v>0</v>
      </c>
      <c r="DG401" s="2" t="n">
        <v>63.54</v>
      </c>
      <c r="DH401" s="2" t="n">
        <v>64.89</v>
      </c>
      <c r="DI401" s="2" t="n">
        <v>0</v>
      </c>
      <c r="DJ401" s="2" t="n">
        <v>72.54000000000001</v>
      </c>
      <c r="DK401" s="2" t="n">
        <v>75.18000000000001</v>
      </c>
      <c r="DL401" s="2" t="n">
        <v>0</v>
      </c>
      <c r="DM401" s="2" t="n">
        <v>86.23999999999999</v>
      </c>
      <c r="DN401" s="2" t="n">
        <v>90.03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14.81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29.1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42.59</v>
      </c>
      <c r="DC402" s="2" t="n">
        <v>0</v>
      </c>
      <c r="DD402" s="2" t="n">
        <v>54.32</v>
      </c>
      <c r="DE402" s="2" t="n">
        <v>56.3</v>
      </c>
      <c r="DF402" s="2" t="n">
        <v>0</v>
      </c>
      <c r="DG402" s="2" t="n">
        <v>63.54</v>
      </c>
      <c r="DH402" s="2" t="n">
        <v>64.89</v>
      </c>
      <c r="DI402" s="2" t="n">
        <v>0</v>
      </c>
      <c r="DJ402" s="2" t="n">
        <v>72.54000000000001</v>
      </c>
      <c r="DK402" s="2" t="n">
        <v>75.18000000000001</v>
      </c>
      <c r="DL402" s="2" t="n">
        <v>0</v>
      </c>
      <c r="DM402" s="2" t="n">
        <v>86.23999999999999</v>
      </c>
      <c r="DN402" s="2" t="n">
        <v>90.03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14.81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29.1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42.59</v>
      </c>
      <c r="DC403" s="2" t="n">
        <v>0</v>
      </c>
      <c r="DD403" s="2" t="n">
        <v>54.32</v>
      </c>
      <c r="DE403" s="2" t="n">
        <v>56.3</v>
      </c>
      <c r="DF403" s="2" t="n">
        <v>0</v>
      </c>
      <c r="DG403" s="2" t="n">
        <v>63.54</v>
      </c>
      <c r="DH403" s="2" t="n">
        <v>64.89</v>
      </c>
      <c r="DI403" s="2" t="n">
        <v>0</v>
      </c>
      <c r="DJ403" s="2" t="n">
        <v>72.54000000000001</v>
      </c>
      <c r="DK403" s="2" t="n">
        <v>75.18000000000001</v>
      </c>
      <c r="DL403" s="2" t="n">
        <v>0</v>
      </c>
      <c r="DM403" s="2" t="n">
        <v>86.23999999999999</v>
      </c>
      <c r="DN403" s="2" t="n">
        <v>90.03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14.81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29.1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42.59</v>
      </c>
      <c r="DC404" s="2" t="n">
        <v>0</v>
      </c>
      <c r="DD404" s="2" t="n">
        <v>54.32</v>
      </c>
      <c r="DE404" s="2" t="n">
        <v>56.3</v>
      </c>
      <c r="DF404" s="2" t="n">
        <v>0</v>
      </c>
      <c r="DG404" s="2" t="n">
        <v>63.54</v>
      </c>
      <c r="DH404" s="2" t="n">
        <v>64.89</v>
      </c>
      <c r="DI404" s="2" t="n">
        <v>0</v>
      </c>
      <c r="DJ404" s="2" t="n">
        <v>72.54000000000001</v>
      </c>
      <c r="DK404" s="2" t="n">
        <v>75.18000000000001</v>
      </c>
      <c r="DL404" s="2" t="n">
        <v>0</v>
      </c>
      <c r="DM404" s="2" t="n">
        <v>86.23999999999999</v>
      </c>
      <c r="DN404" s="2" t="n">
        <v>90.03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14.81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29.1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42.59</v>
      </c>
      <c r="DC405" s="2" t="n">
        <v>0</v>
      </c>
      <c r="DD405" s="2" t="n">
        <v>54.32</v>
      </c>
      <c r="DE405" s="2" t="n">
        <v>56.3</v>
      </c>
      <c r="DF405" s="2" t="n">
        <v>0</v>
      </c>
      <c r="DG405" s="2" t="n">
        <v>63.54</v>
      </c>
      <c r="DH405" s="2" t="n">
        <v>64.89</v>
      </c>
      <c r="DI405" s="2" t="n">
        <v>0</v>
      </c>
      <c r="DJ405" s="2" t="n">
        <v>72.54000000000001</v>
      </c>
      <c r="DK405" s="2" t="n">
        <v>75.18000000000001</v>
      </c>
      <c r="DL405" s="2" t="n">
        <v>0</v>
      </c>
      <c r="DM405" s="2" t="n">
        <v>86.23999999999999</v>
      </c>
      <c r="DN405" s="2" t="n">
        <v>90.03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14.81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29.1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42.59</v>
      </c>
      <c r="DC406" s="2" t="n">
        <v>0</v>
      </c>
      <c r="DD406" s="2" t="n">
        <v>54.32</v>
      </c>
      <c r="DE406" s="2" t="n">
        <v>56.3</v>
      </c>
      <c r="DF406" s="2" t="n">
        <v>0</v>
      </c>
      <c r="DG406" s="2" t="n">
        <v>63.54</v>
      </c>
      <c r="DH406" s="2" t="n">
        <v>64.89</v>
      </c>
      <c r="DI406" s="2" t="n">
        <v>0</v>
      </c>
      <c r="DJ406" s="2" t="n">
        <v>72.54000000000001</v>
      </c>
      <c r="DK406" s="2" t="n">
        <v>75.18000000000001</v>
      </c>
      <c r="DL406" s="2" t="n">
        <v>0</v>
      </c>
      <c r="DM406" s="2" t="n">
        <v>86.23999999999999</v>
      </c>
      <c r="DN406" s="2" t="n">
        <v>90.03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14.81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29.1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42.59</v>
      </c>
      <c r="DC407" s="2" t="n">
        <v>0</v>
      </c>
      <c r="DD407" s="2" t="n">
        <v>54.32</v>
      </c>
      <c r="DE407" s="2" t="n">
        <v>56.3</v>
      </c>
      <c r="DF407" s="2" t="n">
        <v>0</v>
      </c>
      <c r="DG407" s="2" t="n">
        <v>63.54</v>
      </c>
      <c r="DH407" s="2" t="n">
        <v>64.89</v>
      </c>
      <c r="DI407" s="2" t="n">
        <v>0</v>
      </c>
      <c r="DJ407" s="2" t="n">
        <v>72.54000000000001</v>
      </c>
      <c r="DK407" s="2" t="n">
        <v>75.18000000000001</v>
      </c>
      <c r="DL407" s="2" t="n">
        <v>0</v>
      </c>
      <c r="DM407" s="2" t="n">
        <v>86.23999999999999</v>
      </c>
      <c r="DN407" s="2" t="n">
        <v>90.03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14.81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29.1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42.59</v>
      </c>
      <c r="DC408" s="2" t="n">
        <v>0</v>
      </c>
      <c r="DD408" s="2" t="n">
        <v>54.32</v>
      </c>
      <c r="DE408" s="2" t="n">
        <v>56.3</v>
      </c>
      <c r="DF408" s="2" t="n">
        <v>0</v>
      </c>
      <c r="DG408" s="2" t="n">
        <v>63.54</v>
      </c>
      <c r="DH408" s="2" t="n">
        <v>64.89</v>
      </c>
      <c r="DI408" s="2" t="n">
        <v>0</v>
      </c>
      <c r="DJ408" s="2" t="n">
        <v>72.54000000000001</v>
      </c>
      <c r="DK408" s="2" t="n">
        <v>75.18000000000001</v>
      </c>
      <c r="DL408" s="2" t="n">
        <v>0</v>
      </c>
      <c r="DM408" s="2" t="n">
        <v>86.23999999999999</v>
      </c>
      <c r="DN408" s="2" t="n">
        <v>90.03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14.81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29.1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42.59</v>
      </c>
      <c r="DC409" s="2" t="n">
        <v>0</v>
      </c>
      <c r="DD409" s="2" t="n">
        <v>54.32</v>
      </c>
      <c r="DE409" s="2" t="n">
        <v>56.3</v>
      </c>
      <c r="DF409" s="2" t="n">
        <v>0</v>
      </c>
      <c r="DG409" s="2" t="n">
        <v>63.54</v>
      </c>
      <c r="DH409" s="2" t="n">
        <v>64.89</v>
      </c>
      <c r="DI409" s="2" t="n">
        <v>0</v>
      </c>
      <c r="DJ409" s="2" t="n">
        <v>72.54000000000001</v>
      </c>
      <c r="DK409" s="2" t="n">
        <v>75.18000000000001</v>
      </c>
      <c r="DL409" s="2" t="n">
        <v>0</v>
      </c>
      <c r="DM409" s="2" t="n">
        <v>86.23999999999999</v>
      </c>
      <c r="DN409" s="2" t="n">
        <v>90.03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14.81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29.1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42.59</v>
      </c>
      <c r="DC410" s="2" t="n">
        <v>0</v>
      </c>
      <c r="DD410" s="2" t="n">
        <v>54.32</v>
      </c>
      <c r="DE410" s="2" t="n">
        <v>56.3</v>
      </c>
      <c r="DF410" s="2" t="n">
        <v>0</v>
      </c>
      <c r="DG410" s="2" t="n">
        <v>63.54</v>
      </c>
      <c r="DH410" s="2" t="n">
        <v>64.89</v>
      </c>
      <c r="DI410" s="2" t="n">
        <v>0</v>
      </c>
      <c r="DJ410" s="2" t="n">
        <v>72.54000000000001</v>
      </c>
      <c r="DK410" s="2" t="n">
        <v>75.18000000000001</v>
      </c>
      <c r="DL410" s="2" t="n">
        <v>0</v>
      </c>
      <c r="DM410" s="2" t="n">
        <v>86.23999999999999</v>
      </c>
      <c r="DN410" s="2" t="n">
        <v>90.03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14.81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29.1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42.59</v>
      </c>
      <c r="DC411" s="2" t="n">
        <v>0</v>
      </c>
      <c r="DD411" s="2" t="n">
        <v>54.32</v>
      </c>
      <c r="DE411" s="2" t="n">
        <v>56.3</v>
      </c>
      <c r="DF411" s="2" t="n">
        <v>0</v>
      </c>
      <c r="DG411" s="2" t="n">
        <v>63.54</v>
      </c>
      <c r="DH411" s="2" t="n">
        <v>64.89</v>
      </c>
      <c r="DI411" s="2" t="n">
        <v>0</v>
      </c>
      <c r="DJ411" s="2" t="n">
        <v>72.54000000000001</v>
      </c>
      <c r="DK411" s="2" t="n">
        <v>75.18000000000001</v>
      </c>
      <c r="DL411" s="2" t="n">
        <v>0</v>
      </c>
      <c r="DM411" s="2" t="n">
        <v>86.23999999999999</v>
      </c>
      <c r="DN411" s="2" t="n">
        <v>90.03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14.81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29.1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42.59</v>
      </c>
      <c r="DC412" s="2" t="n">
        <v>0</v>
      </c>
      <c r="DD412" s="2" t="n">
        <v>54.32</v>
      </c>
      <c r="DE412" s="2" t="n">
        <v>56.3</v>
      </c>
      <c r="DF412" s="2" t="n">
        <v>0</v>
      </c>
      <c r="DG412" s="2" t="n">
        <v>63.54</v>
      </c>
      <c r="DH412" s="2" t="n">
        <v>64.89</v>
      </c>
      <c r="DI412" s="2" t="n">
        <v>0</v>
      </c>
      <c r="DJ412" s="2" t="n">
        <v>72.54000000000001</v>
      </c>
      <c r="DK412" s="2" t="n">
        <v>75.18000000000001</v>
      </c>
      <c r="DL412" s="2" t="n">
        <v>0</v>
      </c>
      <c r="DM412" s="2" t="n">
        <v>86.23999999999999</v>
      </c>
      <c r="DN412" s="2" t="n">
        <v>90.03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14.81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29.1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42.59</v>
      </c>
      <c r="DC413" s="2" t="n">
        <v>0</v>
      </c>
      <c r="DD413" s="2" t="n">
        <v>54.32</v>
      </c>
      <c r="DE413" s="2" t="n">
        <v>56.3</v>
      </c>
      <c r="DF413" s="2" t="n">
        <v>0</v>
      </c>
      <c r="DG413" s="2" t="n">
        <v>63.54</v>
      </c>
      <c r="DH413" s="2" t="n">
        <v>64.89</v>
      </c>
      <c r="DI413" s="2" t="n">
        <v>0</v>
      </c>
      <c r="DJ413" s="2" t="n">
        <v>72.54000000000001</v>
      </c>
      <c r="DK413" s="2" t="n">
        <v>75.18000000000001</v>
      </c>
      <c r="DL413" s="2" t="n">
        <v>0</v>
      </c>
      <c r="DM413" s="2" t="n">
        <v>86.23999999999999</v>
      </c>
      <c r="DN413" s="2" t="n">
        <v>90.03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14.81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29.1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42.59</v>
      </c>
      <c r="DC414" s="2" t="n">
        <v>0</v>
      </c>
      <c r="DD414" s="2" t="n">
        <v>54.32</v>
      </c>
      <c r="DE414" s="2" t="n">
        <v>56.3</v>
      </c>
      <c r="DF414" s="2" t="n">
        <v>0</v>
      </c>
      <c r="DG414" s="2" t="n">
        <v>63.54</v>
      </c>
      <c r="DH414" s="2" t="n">
        <v>64.89</v>
      </c>
      <c r="DI414" s="2" t="n">
        <v>0</v>
      </c>
      <c r="DJ414" s="2" t="n">
        <v>72.54000000000001</v>
      </c>
      <c r="DK414" s="2" t="n">
        <v>75.18000000000001</v>
      </c>
      <c r="DL414" s="2" t="n">
        <v>0</v>
      </c>
      <c r="DM414" s="2" t="n">
        <v>86.23999999999999</v>
      </c>
      <c r="DN414" s="2" t="n">
        <v>90.03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14.81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29.1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42.59</v>
      </c>
      <c r="DC415" s="2" t="n">
        <v>0</v>
      </c>
      <c r="DD415" s="2" t="n">
        <v>54.32</v>
      </c>
      <c r="DE415" s="2" t="n">
        <v>56.3</v>
      </c>
      <c r="DF415" s="2" t="n">
        <v>0</v>
      </c>
      <c r="DG415" s="2" t="n">
        <v>63.54</v>
      </c>
      <c r="DH415" s="2" t="n">
        <v>64.89</v>
      </c>
      <c r="DI415" s="2" t="n">
        <v>0</v>
      </c>
      <c r="DJ415" s="2" t="n">
        <v>72.54000000000001</v>
      </c>
      <c r="DK415" s="2" t="n">
        <v>75.18000000000001</v>
      </c>
      <c r="DL415" s="2" t="n">
        <v>0</v>
      </c>
      <c r="DM415" s="2" t="n">
        <v>86.23999999999999</v>
      </c>
      <c r="DN415" s="2" t="n">
        <v>90.03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14.81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29.1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42.59</v>
      </c>
      <c r="DC416" s="2" t="n">
        <v>0</v>
      </c>
      <c r="DD416" s="2" t="n">
        <v>54.32</v>
      </c>
      <c r="DE416" s="2" t="n">
        <v>56.3</v>
      </c>
      <c r="DF416" s="2" t="n">
        <v>0</v>
      </c>
      <c r="DG416" s="2" t="n">
        <v>63.54</v>
      </c>
      <c r="DH416" s="2" t="n">
        <v>64.89</v>
      </c>
      <c r="DI416" s="2" t="n">
        <v>0</v>
      </c>
      <c r="DJ416" s="2" t="n">
        <v>72.54000000000001</v>
      </c>
      <c r="DK416" s="2" t="n">
        <v>75.18000000000001</v>
      </c>
      <c r="DL416" s="2" t="n">
        <v>0</v>
      </c>
      <c r="DM416" s="2" t="n">
        <v>86.23999999999999</v>
      </c>
      <c r="DN416" s="2" t="n">
        <v>90.03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14.81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29.1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42.59</v>
      </c>
      <c r="DC417" s="2" t="n">
        <v>0</v>
      </c>
      <c r="DD417" s="2" t="n">
        <v>54.32</v>
      </c>
      <c r="DE417" s="2" t="n">
        <v>56.3</v>
      </c>
      <c r="DF417" s="2" t="n">
        <v>0</v>
      </c>
      <c r="DG417" s="2" t="n">
        <v>63.54</v>
      </c>
      <c r="DH417" s="2" t="n">
        <v>64.89</v>
      </c>
      <c r="DI417" s="2" t="n">
        <v>0</v>
      </c>
      <c r="DJ417" s="2" t="n">
        <v>72.54000000000001</v>
      </c>
      <c r="DK417" s="2" t="n">
        <v>75.18000000000001</v>
      </c>
      <c r="DL417" s="2" t="n">
        <v>0</v>
      </c>
      <c r="DM417" s="2" t="n">
        <v>86.23999999999999</v>
      </c>
      <c r="DN417" s="2" t="n">
        <v>90.03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14.81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29.1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42.59</v>
      </c>
      <c r="DC418" s="2" t="n">
        <v>0</v>
      </c>
      <c r="DD418" s="2" t="n">
        <v>54.32</v>
      </c>
      <c r="DE418" s="2" t="n">
        <v>56.3</v>
      </c>
      <c r="DF418" s="2" t="n">
        <v>0</v>
      </c>
      <c r="DG418" s="2" t="n">
        <v>63.54</v>
      </c>
      <c r="DH418" s="2" t="n">
        <v>64.89</v>
      </c>
      <c r="DI418" s="2" t="n">
        <v>0</v>
      </c>
      <c r="DJ418" s="2" t="n">
        <v>72.54000000000001</v>
      </c>
      <c r="DK418" s="2" t="n">
        <v>75.18000000000001</v>
      </c>
      <c r="DL418" s="2" t="n">
        <v>0</v>
      </c>
      <c r="DM418" s="2" t="n">
        <v>86.23999999999999</v>
      </c>
      <c r="DN418" s="2" t="n">
        <v>90.03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14.81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29.1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42.59</v>
      </c>
      <c r="DC419" s="2" t="n">
        <v>0</v>
      </c>
      <c r="DD419" s="2" t="n">
        <v>54.32</v>
      </c>
      <c r="DE419" s="2" t="n">
        <v>56.3</v>
      </c>
      <c r="DF419" s="2" t="n">
        <v>0</v>
      </c>
      <c r="DG419" s="2" t="n">
        <v>63.54</v>
      </c>
      <c r="DH419" s="2" t="n">
        <v>64.89</v>
      </c>
      <c r="DI419" s="2" t="n">
        <v>0</v>
      </c>
      <c r="DJ419" s="2" t="n">
        <v>72.54000000000001</v>
      </c>
      <c r="DK419" s="2" t="n">
        <v>75.18000000000001</v>
      </c>
      <c r="DL419" s="2" t="n">
        <v>0</v>
      </c>
      <c r="DM419" s="2" t="n">
        <v>86.23999999999999</v>
      </c>
      <c r="DN419" s="2" t="n">
        <v>90.03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14.81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29.1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42.59</v>
      </c>
      <c r="DC420" s="2" t="n">
        <v>0</v>
      </c>
      <c r="DD420" s="2" t="n">
        <v>54.32</v>
      </c>
      <c r="DE420" s="2" t="n">
        <v>56.3</v>
      </c>
      <c r="DF420" s="2" t="n">
        <v>0</v>
      </c>
      <c r="DG420" s="2" t="n">
        <v>63.54</v>
      </c>
      <c r="DH420" s="2" t="n">
        <v>64.89</v>
      </c>
      <c r="DI420" s="2" t="n">
        <v>0</v>
      </c>
      <c r="DJ420" s="2" t="n">
        <v>72.54000000000001</v>
      </c>
      <c r="DK420" s="2" t="n">
        <v>75.18000000000001</v>
      </c>
      <c r="DL420" s="2" t="n">
        <v>0</v>
      </c>
      <c r="DM420" s="2" t="n">
        <v>86.23999999999999</v>
      </c>
      <c r="DN420" s="2" t="n">
        <v>90.03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14.81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29.1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42.59</v>
      </c>
      <c r="DC421" s="2" t="n">
        <v>0</v>
      </c>
      <c r="DD421" s="2" t="n">
        <v>54.32</v>
      </c>
      <c r="DE421" s="2" t="n">
        <v>56.3</v>
      </c>
      <c r="DF421" s="2" t="n">
        <v>0</v>
      </c>
      <c r="DG421" s="2" t="n">
        <v>63.54</v>
      </c>
      <c r="DH421" s="2" t="n">
        <v>64.89</v>
      </c>
      <c r="DI421" s="2" t="n">
        <v>0</v>
      </c>
      <c r="DJ421" s="2" t="n">
        <v>72.54000000000001</v>
      </c>
      <c r="DK421" s="2" t="n">
        <v>75.18000000000001</v>
      </c>
      <c r="DL421" s="2" t="n">
        <v>0</v>
      </c>
      <c r="DM421" s="2" t="n">
        <v>86.23999999999999</v>
      </c>
      <c r="DN421" s="2" t="n">
        <v>90.03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14.81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29.1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42.59</v>
      </c>
      <c r="DC422" s="2" t="n">
        <v>0</v>
      </c>
      <c r="DD422" s="2" t="n">
        <v>54.32</v>
      </c>
      <c r="DE422" s="2" t="n">
        <v>56.3</v>
      </c>
      <c r="DF422" s="2" t="n">
        <v>0</v>
      </c>
      <c r="DG422" s="2" t="n">
        <v>63.54</v>
      </c>
      <c r="DH422" s="2" t="n">
        <v>64.89</v>
      </c>
      <c r="DI422" s="2" t="n">
        <v>0</v>
      </c>
      <c r="DJ422" s="2" t="n">
        <v>72.54000000000001</v>
      </c>
      <c r="DK422" s="2" t="n">
        <v>75.18000000000001</v>
      </c>
      <c r="DL422" s="2" t="n">
        <v>0</v>
      </c>
      <c r="DM422" s="2" t="n">
        <v>86.23999999999999</v>
      </c>
      <c r="DN422" s="2" t="n">
        <v>90.03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14.81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29.1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42.59</v>
      </c>
      <c r="DC423" s="2" t="n">
        <v>0</v>
      </c>
      <c r="DD423" s="2" t="n">
        <v>54.32</v>
      </c>
      <c r="DE423" s="2" t="n">
        <v>56.3</v>
      </c>
      <c r="DF423" s="2" t="n">
        <v>0</v>
      </c>
      <c r="DG423" s="2" t="n">
        <v>63.54</v>
      </c>
      <c r="DH423" s="2" t="n">
        <v>64.89</v>
      </c>
      <c r="DI423" s="2" t="n">
        <v>0</v>
      </c>
      <c r="DJ423" s="2" t="n">
        <v>72.54000000000001</v>
      </c>
      <c r="DK423" s="2" t="n">
        <v>75.18000000000001</v>
      </c>
      <c r="DL423" s="2" t="n">
        <v>0</v>
      </c>
      <c r="DM423" s="2" t="n">
        <v>86.23999999999999</v>
      </c>
      <c r="DN423" s="2" t="n">
        <v>90.03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14.81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29.1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42.59</v>
      </c>
      <c r="DC424" s="2" t="n">
        <v>0</v>
      </c>
      <c r="DD424" s="2" t="n">
        <v>54.32</v>
      </c>
      <c r="DE424" s="2" t="n">
        <v>56.3</v>
      </c>
      <c r="DF424" s="2" t="n">
        <v>0</v>
      </c>
      <c r="DG424" s="2" t="n">
        <v>63.54</v>
      </c>
      <c r="DH424" s="2" t="n">
        <v>64.89</v>
      </c>
      <c r="DI424" s="2" t="n">
        <v>0</v>
      </c>
      <c r="DJ424" s="2" t="n">
        <v>72.54000000000001</v>
      </c>
      <c r="DK424" s="2" t="n">
        <v>75.18000000000001</v>
      </c>
      <c r="DL424" s="2" t="n">
        <v>0</v>
      </c>
      <c r="DM424" s="2" t="n">
        <v>86.23999999999999</v>
      </c>
      <c r="DN424" s="2" t="n">
        <v>90.03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14.81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29.1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42.59</v>
      </c>
      <c r="DC425" s="2" t="n">
        <v>0</v>
      </c>
      <c r="DD425" s="2" t="n">
        <v>54.32</v>
      </c>
      <c r="DE425" s="2" t="n">
        <v>56.3</v>
      </c>
      <c r="DF425" s="2" t="n">
        <v>0</v>
      </c>
      <c r="DG425" s="2" t="n">
        <v>63.54</v>
      </c>
      <c r="DH425" s="2" t="n">
        <v>64.89</v>
      </c>
      <c r="DI425" s="2" t="n">
        <v>0</v>
      </c>
      <c r="DJ425" s="2" t="n">
        <v>72.54000000000001</v>
      </c>
      <c r="DK425" s="2" t="n">
        <v>75.18000000000001</v>
      </c>
      <c r="DL425" s="2" t="n">
        <v>0</v>
      </c>
      <c r="DM425" s="2" t="n">
        <v>86.23999999999999</v>
      </c>
      <c r="DN425" s="2" t="n">
        <v>90.03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14.81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29.1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42.59</v>
      </c>
      <c r="DC426" s="2" t="n">
        <v>0</v>
      </c>
      <c r="DD426" s="2" t="n">
        <v>54.32</v>
      </c>
      <c r="DE426" s="2" t="n">
        <v>56.3</v>
      </c>
      <c r="DF426" s="2" t="n">
        <v>0</v>
      </c>
      <c r="DG426" s="2" t="n">
        <v>63.54</v>
      </c>
      <c r="DH426" s="2" t="n">
        <v>64.89</v>
      </c>
      <c r="DI426" s="2" t="n">
        <v>0</v>
      </c>
      <c r="DJ426" s="2" t="n">
        <v>72.54000000000001</v>
      </c>
      <c r="DK426" s="2" t="n">
        <v>75.18000000000001</v>
      </c>
      <c r="DL426" s="2" t="n">
        <v>0</v>
      </c>
      <c r="DM426" s="2" t="n">
        <v>86.23999999999999</v>
      </c>
      <c r="DN426" s="2" t="n">
        <v>90.03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14.81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29.1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42.59</v>
      </c>
      <c r="DC427" s="2" t="n">
        <v>0</v>
      </c>
      <c r="DD427" s="2" t="n">
        <v>54.32</v>
      </c>
      <c r="DE427" s="2" t="n">
        <v>56.3</v>
      </c>
      <c r="DF427" s="2" t="n">
        <v>0</v>
      </c>
      <c r="DG427" s="2" t="n">
        <v>63.54</v>
      </c>
      <c r="DH427" s="2" t="n">
        <v>64.89</v>
      </c>
      <c r="DI427" s="2" t="n">
        <v>0</v>
      </c>
      <c r="DJ427" s="2" t="n">
        <v>72.54000000000001</v>
      </c>
      <c r="DK427" s="2" t="n">
        <v>75.18000000000001</v>
      </c>
      <c r="DL427" s="2" t="n">
        <v>0</v>
      </c>
      <c r="DM427" s="2" t="n">
        <v>86.23999999999999</v>
      </c>
      <c r="DN427" s="2" t="n">
        <v>90.03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14.81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29.1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42.59</v>
      </c>
      <c r="DC428" s="2" t="n">
        <v>0</v>
      </c>
      <c r="DD428" s="2" t="n">
        <v>54.32</v>
      </c>
      <c r="DE428" s="2" t="n">
        <v>56.3</v>
      </c>
      <c r="DF428" s="2" t="n">
        <v>0</v>
      </c>
      <c r="DG428" s="2" t="n">
        <v>63.54</v>
      </c>
      <c r="DH428" s="2" t="n">
        <v>64.89</v>
      </c>
      <c r="DI428" s="2" t="n">
        <v>0</v>
      </c>
      <c r="DJ428" s="2" t="n">
        <v>72.54000000000001</v>
      </c>
      <c r="DK428" s="2" t="n">
        <v>75.18000000000001</v>
      </c>
      <c r="DL428" s="2" t="n">
        <v>0</v>
      </c>
      <c r="DM428" s="2" t="n">
        <v>86.23999999999999</v>
      </c>
      <c r="DN428" s="2" t="n">
        <v>90.03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14.81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29.1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42.59</v>
      </c>
      <c r="DC429" s="2" t="n">
        <v>0</v>
      </c>
      <c r="DD429" s="2" t="n">
        <v>54.32</v>
      </c>
      <c r="DE429" s="2" t="n">
        <v>56.3</v>
      </c>
      <c r="DF429" s="2" t="n">
        <v>0</v>
      </c>
      <c r="DG429" s="2" t="n">
        <v>63.54</v>
      </c>
      <c r="DH429" s="2" t="n">
        <v>64.89</v>
      </c>
      <c r="DI429" s="2" t="n">
        <v>0</v>
      </c>
      <c r="DJ429" s="2" t="n">
        <v>72.54000000000001</v>
      </c>
      <c r="DK429" s="2" t="n">
        <v>75.18000000000001</v>
      </c>
      <c r="DL429" s="2" t="n">
        <v>0</v>
      </c>
      <c r="DM429" s="2" t="n">
        <v>86.23999999999999</v>
      </c>
      <c r="DN429" s="2" t="n">
        <v>90.03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14.81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29.1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42.59</v>
      </c>
      <c r="DC430" s="2" t="n">
        <v>0</v>
      </c>
      <c r="DD430" s="2" t="n">
        <v>54.32</v>
      </c>
      <c r="DE430" s="2" t="n">
        <v>56.3</v>
      </c>
      <c r="DF430" s="2" t="n">
        <v>0</v>
      </c>
      <c r="DG430" s="2" t="n">
        <v>63.54</v>
      </c>
      <c r="DH430" s="2" t="n">
        <v>64.89</v>
      </c>
      <c r="DI430" s="2" t="n">
        <v>0</v>
      </c>
      <c r="DJ430" s="2" t="n">
        <v>72.54000000000001</v>
      </c>
      <c r="DK430" s="2" t="n">
        <v>75.18000000000001</v>
      </c>
      <c r="DL430" s="2" t="n">
        <v>0</v>
      </c>
      <c r="DM430" s="2" t="n">
        <v>86.23999999999999</v>
      </c>
      <c r="DN430" s="2" t="n">
        <v>90.03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14.81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29.1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42.59</v>
      </c>
      <c r="DC431" s="2" t="n">
        <v>0</v>
      </c>
      <c r="DD431" s="2" t="n">
        <v>54.32</v>
      </c>
      <c r="DE431" s="2" t="n">
        <v>56.3</v>
      </c>
      <c r="DF431" s="2" t="n">
        <v>0</v>
      </c>
      <c r="DG431" s="2" t="n">
        <v>63.54</v>
      </c>
      <c r="DH431" s="2" t="n">
        <v>64.89</v>
      </c>
      <c r="DI431" s="2" t="n">
        <v>0</v>
      </c>
      <c r="DJ431" s="2" t="n">
        <v>72.54000000000001</v>
      </c>
      <c r="DK431" s="2" t="n">
        <v>75.18000000000001</v>
      </c>
      <c r="DL431" s="2" t="n">
        <v>0</v>
      </c>
      <c r="DM431" s="2" t="n">
        <v>86.23999999999999</v>
      </c>
      <c r="DN431" s="2" t="n">
        <v>90.03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14.81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29.1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42.59</v>
      </c>
      <c r="DC432" s="2" t="n">
        <v>0</v>
      </c>
      <c r="DD432" s="2" t="n">
        <v>54.32</v>
      </c>
      <c r="DE432" s="2" t="n">
        <v>56.3</v>
      </c>
      <c r="DF432" s="2" t="n">
        <v>0</v>
      </c>
      <c r="DG432" s="2" t="n">
        <v>63.54</v>
      </c>
      <c r="DH432" s="2" t="n">
        <v>64.89</v>
      </c>
      <c r="DI432" s="2" t="n">
        <v>0</v>
      </c>
      <c r="DJ432" s="2" t="n">
        <v>72.54000000000001</v>
      </c>
      <c r="DK432" s="2" t="n">
        <v>75.18000000000001</v>
      </c>
      <c r="DL432" s="2" t="n">
        <v>0</v>
      </c>
      <c r="DM432" s="2" t="n">
        <v>86.23999999999999</v>
      </c>
      <c r="DN432" s="2" t="n">
        <v>90.03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14.81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29.1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42.59</v>
      </c>
      <c r="DC433" s="2" t="n">
        <v>0</v>
      </c>
      <c r="DD433" s="2" t="n">
        <v>54.32</v>
      </c>
      <c r="DE433" s="2" t="n">
        <v>56.3</v>
      </c>
      <c r="DF433" s="2" t="n">
        <v>0</v>
      </c>
      <c r="DG433" s="2" t="n">
        <v>63.54</v>
      </c>
      <c r="DH433" s="2" t="n">
        <v>64.89</v>
      </c>
      <c r="DI433" s="2" t="n">
        <v>0</v>
      </c>
      <c r="DJ433" s="2" t="n">
        <v>72.54000000000001</v>
      </c>
      <c r="DK433" s="2" t="n">
        <v>75.18000000000001</v>
      </c>
      <c r="DL433" s="2" t="n">
        <v>0</v>
      </c>
      <c r="DM433" s="2" t="n">
        <v>86.23999999999999</v>
      </c>
      <c r="DN433" s="2" t="n">
        <v>90.03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14.81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29.1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42.59</v>
      </c>
      <c r="DC434" s="2" t="n">
        <v>0</v>
      </c>
      <c r="DD434" s="2" t="n">
        <v>54.32</v>
      </c>
      <c r="DE434" s="2" t="n">
        <v>56.3</v>
      </c>
      <c r="DF434" s="2" t="n">
        <v>0</v>
      </c>
      <c r="DG434" s="2" t="n">
        <v>63.54</v>
      </c>
      <c r="DH434" s="2" t="n">
        <v>64.89</v>
      </c>
      <c r="DI434" s="2" t="n">
        <v>0</v>
      </c>
      <c r="DJ434" s="2" t="n">
        <v>72.54000000000001</v>
      </c>
      <c r="DK434" s="2" t="n">
        <v>75.18000000000001</v>
      </c>
      <c r="DL434" s="2" t="n">
        <v>0</v>
      </c>
      <c r="DM434" s="2" t="n">
        <v>86.23999999999999</v>
      </c>
      <c r="DN434" s="2" t="n">
        <v>90.03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14.81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29.1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42.59</v>
      </c>
      <c r="DC435" s="2" t="n">
        <v>0</v>
      </c>
      <c r="DD435" s="2" t="n">
        <v>54.32</v>
      </c>
      <c r="DE435" s="2" t="n">
        <v>56.3</v>
      </c>
      <c r="DF435" s="2" t="n">
        <v>0</v>
      </c>
      <c r="DG435" s="2" t="n">
        <v>63.54</v>
      </c>
      <c r="DH435" s="2" t="n">
        <v>64.89</v>
      </c>
      <c r="DI435" s="2" t="n">
        <v>0</v>
      </c>
      <c r="DJ435" s="2" t="n">
        <v>72.54000000000001</v>
      </c>
      <c r="DK435" s="2" t="n">
        <v>75.18000000000001</v>
      </c>
      <c r="DL435" s="2" t="n">
        <v>0</v>
      </c>
      <c r="DM435" s="2" t="n">
        <v>86.23999999999999</v>
      </c>
      <c r="DN435" s="2" t="n">
        <v>90.03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14.81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29.1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42.59</v>
      </c>
      <c r="DC436" s="2" t="n">
        <v>0</v>
      </c>
      <c r="DD436" s="2" t="n">
        <v>54.32</v>
      </c>
      <c r="DE436" s="2" t="n">
        <v>56.3</v>
      </c>
      <c r="DF436" s="2" t="n">
        <v>0</v>
      </c>
      <c r="DG436" s="2" t="n">
        <v>63.54</v>
      </c>
      <c r="DH436" s="2" t="n">
        <v>64.89</v>
      </c>
      <c r="DI436" s="2" t="n">
        <v>0</v>
      </c>
      <c r="DJ436" s="2" t="n">
        <v>72.54000000000001</v>
      </c>
      <c r="DK436" s="2" t="n">
        <v>75.18000000000001</v>
      </c>
      <c r="DL436" s="2" t="n">
        <v>0</v>
      </c>
      <c r="DM436" s="2" t="n">
        <v>86.23999999999999</v>
      </c>
      <c r="DN436" s="2" t="n">
        <v>90.03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14.81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29.1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42.59</v>
      </c>
      <c r="DC437" s="2" t="n">
        <v>0</v>
      </c>
      <c r="DD437" s="2" t="n">
        <v>54.32</v>
      </c>
      <c r="DE437" s="2" t="n">
        <v>56.3</v>
      </c>
      <c r="DF437" s="2" t="n">
        <v>0</v>
      </c>
      <c r="DG437" s="2" t="n">
        <v>63.54</v>
      </c>
      <c r="DH437" s="2" t="n">
        <v>64.89</v>
      </c>
      <c r="DI437" s="2" t="n">
        <v>0</v>
      </c>
      <c r="DJ437" s="2" t="n">
        <v>72.54000000000001</v>
      </c>
      <c r="DK437" s="2" t="n">
        <v>75.18000000000001</v>
      </c>
      <c r="DL437" s="2" t="n">
        <v>0</v>
      </c>
      <c r="DM437" s="2" t="n">
        <v>86.23999999999999</v>
      </c>
      <c r="DN437" s="2" t="n">
        <v>90.03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14.81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29.1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42.59</v>
      </c>
      <c r="DC438" s="2" t="n">
        <v>0</v>
      </c>
      <c r="DD438" s="2" t="n">
        <v>54.32</v>
      </c>
      <c r="DE438" s="2" t="n">
        <v>56.3</v>
      </c>
      <c r="DF438" s="2" t="n">
        <v>0</v>
      </c>
      <c r="DG438" s="2" t="n">
        <v>63.54</v>
      </c>
      <c r="DH438" s="2" t="n">
        <v>64.89</v>
      </c>
      <c r="DI438" s="2" t="n">
        <v>0</v>
      </c>
      <c r="DJ438" s="2" t="n">
        <v>72.54000000000001</v>
      </c>
      <c r="DK438" s="2" t="n">
        <v>75.18000000000001</v>
      </c>
      <c r="DL438" s="2" t="n">
        <v>0</v>
      </c>
      <c r="DM438" s="2" t="n">
        <v>86.23999999999999</v>
      </c>
      <c r="DN438" s="2" t="n">
        <v>90.03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14.81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29.1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42.59</v>
      </c>
      <c r="DC439" s="2" t="n">
        <v>0</v>
      </c>
      <c r="DD439" s="2" t="n">
        <v>54.32</v>
      </c>
      <c r="DE439" s="2" t="n">
        <v>56.3</v>
      </c>
      <c r="DF439" s="2" t="n">
        <v>0</v>
      </c>
      <c r="DG439" s="2" t="n">
        <v>63.54</v>
      </c>
      <c r="DH439" s="2" t="n">
        <v>64.89</v>
      </c>
      <c r="DI439" s="2" t="n">
        <v>0</v>
      </c>
      <c r="DJ439" s="2" t="n">
        <v>72.54000000000001</v>
      </c>
      <c r="DK439" s="2" t="n">
        <v>75.18000000000001</v>
      </c>
      <c r="DL439" s="2" t="n">
        <v>0</v>
      </c>
      <c r="DM439" s="2" t="n">
        <v>86.23999999999999</v>
      </c>
      <c r="DN439" s="2" t="n">
        <v>90.03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14.81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29.1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42.59</v>
      </c>
      <c r="DC440" s="2" t="n">
        <v>0</v>
      </c>
      <c r="DD440" s="2" t="n">
        <v>54.32</v>
      </c>
      <c r="DE440" s="2" t="n">
        <v>56.3</v>
      </c>
      <c r="DF440" s="2" t="n">
        <v>0</v>
      </c>
      <c r="DG440" s="2" t="n">
        <v>63.54</v>
      </c>
      <c r="DH440" s="2" t="n">
        <v>64.89</v>
      </c>
      <c r="DI440" s="2" t="n">
        <v>0</v>
      </c>
      <c r="DJ440" s="2" t="n">
        <v>72.54000000000001</v>
      </c>
      <c r="DK440" s="2" t="n">
        <v>75.18000000000001</v>
      </c>
      <c r="DL440" s="2" t="n">
        <v>0</v>
      </c>
      <c r="DM440" s="2" t="n">
        <v>86.23999999999999</v>
      </c>
      <c r="DN440" s="2" t="n">
        <v>90.03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14.81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29.1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42.59</v>
      </c>
      <c r="DC441" s="2" t="n">
        <v>0</v>
      </c>
      <c r="DD441" s="2" t="n">
        <v>54.32</v>
      </c>
      <c r="DE441" s="2" t="n">
        <v>56.3</v>
      </c>
      <c r="DF441" s="2" t="n">
        <v>0</v>
      </c>
      <c r="DG441" s="2" t="n">
        <v>63.54</v>
      </c>
      <c r="DH441" s="2" t="n">
        <v>64.89</v>
      </c>
      <c r="DI441" s="2" t="n">
        <v>0</v>
      </c>
      <c r="DJ441" s="2" t="n">
        <v>72.54000000000001</v>
      </c>
      <c r="DK441" s="2" t="n">
        <v>75.18000000000001</v>
      </c>
      <c r="DL441" s="2" t="n">
        <v>0</v>
      </c>
      <c r="DM441" s="2" t="n">
        <v>86.23999999999999</v>
      </c>
      <c r="DN441" s="2" t="n">
        <v>90.03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14.81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29.1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42.59</v>
      </c>
      <c r="DC442" s="2" t="n">
        <v>0</v>
      </c>
      <c r="DD442" s="2" t="n">
        <v>54.32</v>
      </c>
      <c r="DE442" s="2" t="n">
        <v>56.3</v>
      </c>
      <c r="DF442" s="2" t="n">
        <v>0</v>
      </c>
      <c r="DG442" s="2" t="n">
        <v>63.54</v>
      </c>
      <c r="DH442" s="2" t="n">
        <v>64.89</v>
      </c>
      <c r="DI442" s="2" t="n">
        <v>0</v>
      </c>
      <c r="DJ442" s="2" t="n">
        <v>72.54000000000001</v>
      </c>
      <c r="DK442" s="2" t="n">
        <v>75.18000000000001</v>
      </c>
      <c r="DL442" s="2" t="n">
        <v>0</v>
      </c>
      <c r="DM442" s="2" t="n">
        <v>86.23999999999999</v>
      </c>
      <c r="DN442" s="2" t="n">
        <v>90.03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14.81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29.1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42.59</v>
      </c>
      <c r="DC443" s="2" t="n">
        <v>0</v>
      </c>
      <c r="DD443" s="2" t="n">
        <v>54.32</v>
      </c>
      <c r="DE443" s="2" t="n">
        <v>56.3</v>
      </c>
      <c r="DF443" s="2" t="n">
        <v>0</v>
      </c>
      <c r="DG443" s="2" t="n">
        <v>63.54</v>
      </c>
      <c r="DH443" s="2" t="n">
        <v>64.89</v>
      </c>
      <c r="DI443" s="2" t="n">
        <v>0</v>
      </c>
      <c r="DJ443" s="2" t="n">
        <v>72.54000000000001</v>
      </c>
      <c r="DK443" s="2" t="n">
        <v>75.18000000000001</v>
      </c>
      <c r="DL443" s="2" t="n">
        <v>0</v>
      </c>
      <c r="DM443" s="2" t="n">
        <v>86.23999999999999</v>
      </c>
      <c r="DN443" s="2" t="n">
        <v>90.03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14.81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29.1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42.59</v>
      </c>
      <c r="DC444" s="2" t="n">
        <v>0</v>
      </c>
      <c r="DD444" s="2" t="n">
        <v>54.32</v>
      </c>
      <c r="DE444" s="2" t="n">
        <v>56.3</v>
      </c>
      <c r="DF444" s="2" t="n">
        <v>0</v>
      </c>
      <c r="DG444" s="2" t="n">
        <v>63.54</v>
      </c>
      <c r="DH444" s="2" t="n">
        <v>64.89</v>
      </c>
      <c r="DI444" s="2" t="n">
        <v>0</v>
      </c>
      <c r="DJ444" s="2" t="n">
        <v>72.54000000000001</v>
      </c>
      <c r="DK444" s="2" t="n">
        <v>75.18000000000001</v>
      </c>
      <c r="DL444" s="2" t="n">
        <v>0</v>
      </c>
      <c r="DM444" s="2" t="n">
        <v>86.23999999999999</v>
      </c>
      <c r="DN444" s="2" t="n">
        <v>90.03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14.81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29.1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42.59</v>
      </c>
      <c r="DC445" s="2" t="n">
        <v>0</v>
      </c>
      <c r="DD445" s="2" t="n">
        <v>54.32</v>
      </c>
      <c r="DE445" s="2" t="n">
        <v>56.3</v>
      </c>
      <c r="DF445" s="2" t="n">
        <v>0</v>
      </c>
      <c r="DG445" s="2" t="n">
        <v>63.54</v>
      </c>
      <c r="DH445" s="2" t="n">
        <v>64.89</v>
      </c>
      <c r="DI445" s="2" t="n">
        <v>0</v>
      </c>
      <c r="DJ445" s="2" t="n">
        <v>72.54000000000001</v>
      </c>
      <c r="DK445" s="2" t="n">
        <v>75.18000000000001</v>
      </c>
      <c r="DL445" s="2" t="n">
        <v>0</v>
      </c>
      <c r="DM445" s="2" t="n">
        <v>86.23999999999999</v>
      </c>
      <c r="DN445" s="2" t="n">
        <v>90.03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14.81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29.1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42.59</v>
      </c>
      <c r="DC446" s="2" t="n">
        <v>0</v>
      </c>
      <c r="DD446" s="2" t="n">
        <v>54.32</v>
      </c>
      <c r="DE446" s="2" t="n">
        <v>56.3</v>
      </c>
      <c r="DF446" s="2" t="n">
        <v>0</v>
      </c>
      <c r="DG446" s="2" t="n">
        <v>63.54</v>
      </c>
      <c r="DH446" s="2" t="n">
        <v>64.89</v>
      </c>
      <c r="DI446" s="2" t="n">
        <v>0</v>
      </c>
      <c r="DJ446" s="2" t="n">
        <v>72.54000000000001</v>
      </c>
      <c r="DK446" s="2" t="n">
        <v>75.18000000000001</v>
      </c>
      <c r="DL446" s="2" t="n">
        <v>0</v>
      </c>
      <c r="DM446" s="2" t="n">
        <v>86.23999999999999</v>
      </c>
      <c r="DN446" s="2" t="n">
        <v>90.03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14.81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29.1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42.59</v>
      </c>
      <c r="DC447" s="2" t="n">
        <v>0</v>
      </c>
      <c r="DD447" s="2" t="n">
        <v>54.32</v>
      </c>
      <c r="DE447" s="2" t="n">
        <v>56.3</v>
      </c>
      <c r="DF447" s="2" t="n">
        <v>0</v>
      </c>
      <c r="DG447" s="2" t="n">
        <v>63.54</v>
      </c>
      <c r="DH447" s="2" t="n">
        <v>64.89</v>
      </c>
      <c r="DI447" s="2" t="n">
        <v>0</v>
      </c>
      <c r="DJ447" s="2" t="n">
        <v>72.54000000000001</v>
      </c>
      <c r="DK447" s="2" t="n">
        <v>75.18000000000001</v>
      </c>
      <c r="DL447" s="2" t="n">
        <v>0</v>
      </c>
      <c r="DM447" s="2" t="n">
        <v>86.23999999999999</v>
      </c>
      <c r="DN447" s="2" t="n">
        <v>90.03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14.81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29.1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42.59</v>
      </c>
      <c r="DC448" s="2" t="n">
        <v>0</v>
      </c>
      <c r="DD448" s="2" t="n">
        <v>54.32</v>
      </c>
      <c r="DE448" s="2" t="n">
        <v>56.3</v>
      </c>
      <c r="DF448" s="2" t="n">
        <v>0</v>
      </c>
      <c r="DG448" s="2" t="n">
        <v>63.54</v>
      </c>
      <c r="DH448" s="2" t="n">
        <v>64.89</v>
      </c>
      <c r="DI448" s="2" t="n">
        <v>0</v>
      </c>
      <c r="DJ448" s="2" t="n">
        <v>72.54000000000001</v>
      </c>
      <c r="DK448" s="2" t="n">
        <v>75.18000000000001</v>
      </c>
      <c r="DL448" s="2" t="n">
        <v>0</v>
      </c>
      <c r="DM448" s="2" t="n">
        <v>86.23999999999999</v>
      </c>
      <c r="DN448" s="2" t="n">
        <v>90.03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14.81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29.1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42.59</v>
      </c>
      <c r="DC449" s="2" t="n">
        <v>0</v>
      </c>
      <c r="DD449" s="2" t="n">
        <v>54.32</v>
      </c>
      <c r="DE449" s="2" t="n">
        <v>56.3</v>
      </c>
      <c r="DF449" s="2" t="n">
        <v>0</v>
      </c>
      <c r="DG449" s="2" t="n">
        <v>63.54</v>
      </c>
      <c r="DH449" s="2" t="n">
        <v>64.89</v>
      </c>
      <c r="DI449" s="2" t="n">
        <v>0</v>
      </c>
      <c r="DJ449" s="2" t="n">
        <v>72.54000000000001</v>
      </c>
      <c r="DK449" s="2" t="n">
        <v>75.18000000000001</v>
      </c>
      <c r="DL449" s="2" t="n">
        <v>0</v>
      </c>
      <c r="DM449" s="2" t="n">
        <v>86.23999999999999</v>
      </c>
      <c r="DN449" s="2" t="n">
        <v>90.03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14.81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29.1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42.59</v>
      </c>
      <c r="DC450" s="2" t="n">
        <v>0</v>
      </c>
      <c r="DD450" s="2" t="n">
        <v>54.32</v>
      </c>
      <c r="DE450" s="2" t="n">
        <v>56.3</v>
      </c>
      <c r="DF450" s="2" t="n">
        <v>0</v>
      </c>
      <c r="DG450" s="2" t="n">
        <v>63.54</v>
      </c>
      <c r="DH450" s="2" t="n">
        <v>64.89</v>
      </c>
      <c r="DI450" s="2" t="n">
        <v>0</v>
      </c>
      <c r="DJ450" s="2" t="n">
        <v>72.54000000000001</v>
      </c>
      <c r="DK450" s="2" t="n">
        <v>75.18000000000001</v>
      </c>
      <c r="DL450" s="2" t="n">
        <v>0</v>
      </c>
      <c r="DM450" s="2" t="n">
        <v>86.23999999999999</v>
      </c>
      <c r="DN450" s="2" t="n">
        <v>90.03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14.81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29.1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42.59</v>
      </c>
      <c r="DC451" s="2" t="n">
        <v>0</v>
      </c>
      <c r="DD451" s="2" t="n">
        <v>54.32</v>
      </c>
      <c r="DE451" s="2" t="n">
        <v>56.3</v>
      </c>
      <c r="DF451" s="2" t="n">
        <v>0</v>
      </c>
      <c r="DG451" s="2" t="n">
        <v>63.54</v>
      </c>
      <c r="DH451" s="2" t="n">
        <v>64.89</v>
      </c>
      <c r="DI451" s="2" t="n">
        <v>0</v>
      </c>
      <c r="DJ451" s="2" t="n">
        <v>72.54000000000001</v>
      </c>
      <c r="DK451" s="2" t="n">
        <v>75.18000000000001</v>
      </c>
      <c r="DL451" s="2" t="n">
        <v>0</v>
      </c>
      <c r="DM451" s="2" t="n">
        <v>86.23999999999999</v>
      </c>
      <c r="DN451" s="2" t="n">
        <v>90.03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14.81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29.1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42.59</v>
      </c>
      <c r="DC452" s="2" t="n">
        <v>0</v>
      </c>
      <c r="DD452" s="2" t="n">
        <v>54.32</v>
      </c>
      <c r="DE452" s="2" t="n">
        <v>56.3</v>
      </c>
      <c r="DF452" s="2" t="n">
        <v>0</v>
      </c>
      <c r="DG452" s="2" t="n">
        <v>63.54</v>
      </c>
      <c r="DH452" s="2" t="n">
        <v>64.89</v>
      </c>
      <c r="DI452" s="2" t="n">
        <v>0</v>
      </c>
      <c r="DJ452" s="2" t="n">
        <v>72.54000000000001</v>
      </c>
      <c r="DK452" s="2" t="n">
        <v>75.18000000000001</v>
      </c>
      <c r="DL452" s="2" t="n">
        <v>0</v>
      </c>
      <c r="DM452" s="2" t="n">
        <v>86.23999999999999</v>
      </c>
      <c r="DN452" s="2" t="n">
        <v>90.03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14.81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29.1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42.59</v>
      </c>
      <c r="DC453" s="2" t="n">
        <v>0</v>
      </c>
      <c r="DD453" s="2" t="n">
        <v>54.32</v>
      </c>
      <c r="DE453" s="2" t="n">
        <v>56.3</v>
      </c>
      <c r="DF453" s="2" t="n">
        <v>0</v>
      </c>
      <c r="DG453" s="2" t="n">
        <v>63.54</v>
      </c>
      <c r="DH453" s="2" t="n">
        <v>64.89</v>
      </c>
      <c r="DI453" s="2" t="n">
        <v>0</v>
      </c>
      <c r="DJ453" s="2" t="n">
        <v>72.54000000000001</v>
      </c>
      <c r="DK453" s="2" t="n">
        <v>75.18000000000001</v>
      </c>
      <c r="DL453" s="2" t="n">
        <v>0</v>
      </c>
      <c r="DM453" s="2" t="n">
        <v>86.23999999999999</v>
      </c>
      <c r="DN453" s="2" t="n">
        <v>90.03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14.81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29.1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42.59</v>
      </c>
      <c r="DC454" s="2" t="n">
        <v>0</v>
      </c>
      <c r="DD454" s="2" t="n">
        <v>54.32</v>
      </c>
      <c r="DE454" s="2" t="n">
        <v>56.3</v>
      </c>
      <c r="DF454" s="2" t="n">
        <v>0</v>
      </c>
      <c r="DG454" s="2" t="n">
        <v>63.54</v>
      </c>
      <c r="DH454" s="2" t="n">
        <v>64.89</v>
      </c>
      <c r="DI454" s="2" t="n">
        <v>0</v>
      </c>
      <c r="DJ454" s="2" t="n">
        <v>72.54000000000001</v>
      </c>
      <c r="DK454" s="2" t="n">
        <v>75.18000000000001</v>
      </c>
      <c r="DL454" s="2" t="n">
        <v>0</v>
      </c>
      <c r="DM454" s="2" t="n">
        <v>86.23999999999999</v>
      </c>
      <c r="DN454" s="2" t="n">
        <v>90.03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14.81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29.1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42.59</v>
      </c>
      <c r="DC455" s="2" t="n">
        <v>0</v>
      </c>
      <c r="DD455" s="2" t="n">
        <v>54.32</v>
      </c>
      <c r="DE455" s="2" t="n">
        <v>56.3</v>
      </c>
      <c r="DF455" s="2" t="n">
        <v>0</v>
      </c>
      <c r="DG455" s="2" t="n">
        <v>63.54</v>
      </c>
      <c r="DH455" s="2" t="n">
        <v>64.89</v>
      </c>
      <c r="DI455" s="2" t="n">
        <v>0</v>
      </c>
      <c r="DJ455" s="2" t="n">
        <v>72.54000000000001</v>
      </c>
      <c r="DK455" s="2" t="n">
        <v>75.18000000000001</v>
      </c>
      <c r="DL455" s="2" t="n">
        <v>0</v>
      </c>
      <c r="DM455" s="2" t="n">
        <v>86.23999999999999</v>
      </c>
      <c r="DN455" s="2" t="n">
        <v>90.03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14.81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29.1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42.59</v>
      </c>
      <c r="DC456" s="2" t="n">
        <v>0</v>
      </c>
      <c r="DD456" s="2" t="n">
        <v>54.32</v>
      </c>
      <c r="DE456" s="2" t="n">
        <v>56.3</v>
      </c>
      <c r="DF456" s="2" t="n">
        <v>0</v>
      </c>
      <c r="DG456" s="2" t="n">
        <v>63.54</v>
      </c>
      <c r="DH456" s="2" t="n">
        <v>64.89</v>
      </c>
      <c r="DI456" s="2" t="n">
        <v>0</v>
      </c>
      <c r="DJ456" s="2" t="n">
        <v>72.54000000000001</v>
      </c>
      <c r="DK456" s="2" t="n">
        <v>75.18000000000001</v>
      </c>
      <c r="DL456" s="2" t="n">
        <v>0</v>
      </c>
      <c r="DM456" s="2" t="n">
        <v>86.23999999999999</v>
      </c>
      <c r="DN456" s="2" t="n">
        <v>90.03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14.81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29.1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42.59</v>
      </c>
      <c r="DC457" s="2" t="n">
        <v>0</v>
      </c>
      <c r="DD457" s="2" t="n">
        <v>54.32</v>
      </c>
      <c r="DE457" s="2" t="n">
        <v>56.3</v>
      </c>
      <c r="DF457" s="2" t="n">
        <v>0</v>
      </c>
      <c r="DG457" s="2" t="n">
        <v>63.54</v>
      </c>
      <c r="DH457" s="2" t="n">
        <v>64.89</v>
      </c>
      <c r="DI457" s="2" t="n">
        <v>0</v>
      </c>
      <c r="DJ457" s="2" t="n">
        <v>72.54000000000001</v>
      </c>
      <c r="DK457" s="2" t="n">
        <v>75.18000000000001</v>
      </c>
      <c r="DL457" s="2" t="n">
        <v>0</v>
      </c>
      <c r="DM457" s="2" t="n">
        <v>86.23999999999999</v>
      </c>
      <c r="DN457" s="2" t="n">
        <v>90.03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14.81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29.1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42.59</v>
      </c>
      <c r="DC458" s="2" t="n">
        <v>0</v>
      </c>
      <c r="DD458" s="2" t="n">
        <v>54.32</v>
      </c>
      <c r="DE458" s="2" t="n">
        <v>56.3</v>
      </c>
      <c r="DF458" s="2" t="n">
        <v>0</v>
      </c>
      <c r="DG458" s="2" t="n">
        <v>63.54</v>
      </c>
      <c r="DH458" s="2" t="n">
        <v>64.89</v>
      </c>
      <c r="DI458" s="2" t="n">
        <v>0</v>
      </c>
      <c r="DJ458" s="2" t="n">
        <v>72.54000000000001</v>
      </c>
      <c r="DK458" s="2" t="n">
        <v>75.18000000000001</v>
      </c>
      <c r="DL458" s="2" t="n">
        <v>0</v>
      </c>
      <c r="DM458" s="2" t="n">
        <v>86.23999999999999</v>
      </c>
      <c r="DN458" s="2" t="n">
        <v>90.03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14.81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29.1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42.59</v>
      </c>
      <c r="DC459" s="2" t="n">
        <v>0</v>
      </c>
      <c r="DD459" s="2" t="n">
        <v>54.32</v>
      </c>
      <c r="DE459" s="2" t="n">
        <v>56.3</v>
      </c>
      <c r="DF459" s="2" t="n">
        <v>0</v>
      </c>
      <c r="DG459" s="2" t="n">
        <v>63.54</v>
      </c>
      <c r="DH459" s="2" t="n">
        <v>64.89</v>
      </c>
      <c r="DI459" s="2" t="n">
        <v>0</v>
      </c>
      <c r="DJ459" s="2" t="n">
        <v>72.54000000000001</v>
      </c>
      <c r="DK459" s="2" t="n">
        <v>75.18000000000001</v>
      </c>
      <c r="DL459" s="2" t="n">
        <v>0</v>
      </c>
      <c r="DM459" s="2" t="n">
        <v>86.23999999999999</v>
      </c>
      <c r="DN459" s="2" t="n">
        <v>90.03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14.81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29.1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42.59</v>
      </c>
      <c r="DC460" s="2" t="n">
        <v>0</v>
      </c>
      <c r="DD460" s="2" t="n">
        <v>54.32</v>
      </c>
      <c r="DE460" s="2" t="n">
        <v>56.3</v>
      </c>
      <c r="DF460" s="2" t="n">
        <v>0</v>
      </c>
      <c r="DG460" s="2" t="n">
        <v>63.54</v>
      </c>
      <c r="DH460" s="2" t="n">
        <v>64.89</v>
      </c>
      <c r="DI460" s="2" t="n">
        <v>0</v>
      </c>
      <c r="DJ460" s="2" t="n">
        <v>72.54000000000001</v>
      </c>
      <c r="DK460" s="2" t="n">
        <v>75.18000000000001</v>
      </c>
      <c r="DL460" s="2" t="n">
        <v>0</v>
      </c>
      <c r="DM460" s="2" t="n">
        <v>86.23999999999999</v>
      </c>
      <c r="DN460" s="2" t="n">
        <v>90.03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14.81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29.1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42.59</v>
      </c>
      <c r="DC461" s="2" t="n">
        <v>0</v>
      </c>
      <c r="DD461" s="2" t="n">
        <v>54.32</v>
      </c>
      <c r="DE461" s="2" t="n">
        <v>56.3</v>
      </c>
      <c r="DF461" s="2" t="n">
        <v>0</v>
      </c>
      <c r="DG461" s="2" t="n">
        <v>63.54</v>
      </c>
      <c r="DH461" s="2" t="n">
        <v>64.89</v>
      </c>
      <c r="DI461" s="2" t="n">
        <v>0</v>
      </c>
      <c r="DJ461" s="2" t="n">
        <v>72.54000000000001</v>
      </c>
      <c r="DK461" s="2" t="n">
        <v>75.18000000000001</v>
      </c>
      <c r="DL461" s="2" t="n">
        <v>0</v>
      </c>
      <c r="DM461" s="2" t="n">
        <v>86.23999999999999</v>
      </c>
      <c r="DN461" s="2" t="n">
        <v>90.03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14.81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29.1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42.59</v>
      </c>
      <c r="DC462" s="2" t="n">
        <v>0</v>
      </c>
      <c r="DD462" s="2" t="n">
        <v>54.32</v>
      </c>
      <c r="DE462" s="2" t="n">
        <v>56.3</v>
      </c>
      <c r="DF462" s="2" t="n">
        <v>0</v>
      </c>
      <c r="DG462" s="2" t="n">
        <v>63.54</v>
      </c>
      <c r="DH462" s="2" t="n">
        <v>64.89</v>
      </c>
      <c r="DI462" s="2" t="n">
        <v>0</v>
      </c>
      <c r="DJ462" s="2" t="n">
        <v>72.54000000000001</v>
      </c>
      <c r="DK462" s="2" t="n">
        <v>75.18000000000001</v>
      </c>
      <c r="DL462" s="2" t="n">
        <v>0</v>
      </c>
      <c r="DM462" s="2" t="n">
        <v>86.23999999999999</v>
      </c>
      <c r="DN462" s="2" t="n">
        <v>90.03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14.81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29.1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42.59</v>
      </c>
      <c r="DC463" s="2" t="n">
        <v>0</v>
      </c>
      <c r="DD463" s="2" t="n">
        <v>54.32</v>
      </c>
      <c r="DE463" s="2" t="n">
        <v>56.3</v>
      </c>
      <c r="DF463" s="2" t="n">
        <v>0</v>
      </c>
      <c r="DG463" s="2" t="n">
        <v>63.54</v>
      </c>
      <c r="DH463" s="2" t="n">
        <v>64.89</v>
      </c>
      <c r="DI463" s="2" t="n">
        <v>0</v>
      </c>
      <c r="DJ463" s="2" t="n">
        <v>72.54000000000001</v>
      </c>
      <c r="DK463" s="2" t="n">
        <v>75.18000000000001</v>
      </c>
      <c r="DL463" s="2" t="n">
        <v>0</v>
      </c>
      <c r="DM463" s="2" t="n">
        <v>86.23999999999999</v>
      </c>
      <c r="DN463" s="2" t="n">
        <v>90.03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14.81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29.1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42.59</v>
      </c>
      <c r="DC464" s="2" t="n">
        <v>0</v>
      </c>
      <c r="DD464" s="2" t="n">
        <v>54.32</v>
      </c>
      <c r="DE464" s="2" t="n">
        <v>56.3</v>
      </c>
      <c r="DF464" s="2" t="n">
        <v>0</v>
      </c>
      <c r="DG464" s="2" t="n">
        <v>63.54</v>
      </c>
      <c r="DH464" s="2" t="n">
        <v>64.89</v>
      </c>
      <c r="DI464" s="2" t="n">
        <v>0</v>
      </c>
      <c r="DJ464" s="2" t="n">
        <v>72.54000000000001</v>
      </c>
      <c r="DK464" s="2" t="n">
        <v>75.18000000000001</v>
      </c>
      <c r="DL464" s="2" t="n">
        <v>0</v>
      </c>
      <c r="DM464" s="2" t="n">
        <v>86.23999999999999</v>
      </c>
      <c r="DN464" s="2" t="n">
        <v>90.03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14.81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29.1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42.59</v>
      </c>
      <c r="DC465" s="2" t="n">
        <v>0</v>
      </c>
      <c r="DD465" s="2" t="n">
        <v>54.32</v>
      </c>
      <c r="DE465" s="2" t="n">
        <v>56.3</v>
      </c>
      <c r="DF465" s="2" t="n">
        <v>0</v>
      </c>
      <c r="DG465" s="2" t="n">
        <v>63.54</v>
      </c>
      <c r="DH465" s="2" t="n">
        <v>64.89</v>
      </c>
      <c r="DI465" s="2" t="n">
        <v>0</v>
      </c>
      <c r="DJ465" s="2" t="n">
        <v>72.54000000000001</v>
      </c>
      <c r="DK465" s="2" t="n">
        <v>75.18000000000001</v>
      </c>
      <c r="DL465" s="2" t="n">
        <v>0</v>
      </c>
      <c r="DM465" s="2" t="n">
        <v>86.23999999999999</v>
      </c>
      <c r="DN465" s="2" t="n">
        <v>90.03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14.81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29.1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42.59</v>
      </c>
      <c r="DC466" s="2" t="n">
        <v>0</v>
      </c>
      <c r="DD466" s="2" t="n">
        <v>54.32</v>
      </c>
      <c r="DE466" s="2" t="n">
        <v>56.3</v>
      </c>
      <c r="DF466" s="2" t="n">
        <v>0</v>
      </c>
      <c r="DG466" s="2" t="n">
        <v>63.54</v>
      </c>
      <c r="DH466" s="2" t="n">
        <v>64.89</v>
      </c>
      <c r="DI466" s="2" t="n">
        <v>0</v>
      </c>
      <c r="DJ466" s="2" t="n">
        <v>72.54000000000001</v>
      </c>
      <c r="DK466" s="2" t="n">
        <v>75.18000000000001</v>
      </c>
      <c r="DL466" s="2" t="n">
        <v>0</v>
      </c>
      <c r="DM466" s="2" t="n">
        <v>86.23999999999999</v>
      </c>
      <c r="DN466" s="2" t="n">
        <v>90.03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14.81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29.1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42.59</v>
      </c>
      <c r="DC467" s="2" t="n">
        <v>0</v>
      </c>
      <c r="DD467" s="2" t="n">
        <v>54.32</v>
      </c>
      <c r="DE467" s="2" t="n">
        <v>56.3</v>
      </c>
      <c r="DF467" s="2" t="n">
        <v>0</v>
      </c>
      <c r="DG467" s="2" t="n">
        <v>63.54</v>
      </c>
      <c r="DH467" s="2" t="n">
        <v>64.89</v>
      </c>
      <c r="DI467" s="2" t="n">
        <v>0</v>
      </c>
      <c r="DJ467" s="2" t="n">
        <v>72.54000000000001</v>
      </c>
      <c r="DK467" s="2" t="n">
        <v>75.18000000000001</v>
      </c>
      <c r="DL467" s="2" t="n">
        <v>0</v>
      </c>
      <c r="DM467" s="2" t="n">
        <v>86.23999999999999</v>
      </c>
      <c r="DN467" s="2" t="n">
        <v>90.03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14.81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29.1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42.59</v>
      </c>
      <c r="DC468" s="2" t="n">
        <v>0</v>
      </c>
      <c r="DD468" s="2" t="n">
        <v>54.32</v>
      </c>
      <c r="DE468" s="2" t="n">
        <v>56.3</v>
      </c>
      <c r="DF468" s="2" t="n">
        <v>0</v>
      </c>
      <c r="DG468" s="2" t="n">
        <v>63.54</v>
      </c>
      <c r="DH468" s="2" t="n">
        <v>64.89</v>
      </c>
      <c r="DI468" s="2" t="n">
        <v>0</v>
      </c>
      <c r="DJ468" s="2" t="n">
        <v>72.54000000000001</v>
      </c>
      <c r="DK468" s="2" t="n">
        <v>75.18000000000001</v>
      </c>
      <c r="DL468" s="2" t="n">
        <v>0</v>
      </c>
      <c r="DM468" s="2" t="n">
        <v>86.23999999999999</v>
      </c>
      <c r="DN468" s="2" t="n">
        <v>90.03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14.81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29.1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42.59</v>
      </c>
      <c r="DC469" s="2" t="n">
        <v>0</v>
      </c>
      <c r="DD469" s="2" t="n">
        <v>54.32</v>
      </c>
      <c r="DE469" s="2" t="n">
        <v>56.3</v>
      </c>
      <c r="DF469" s="2" t="n">
        <v>0</v>
      </c>
      <c r="DG469" s="2" t="n">
        <v>63.54</v>
      </c>
      <c r="DH469" s="2" t="n">
        <v>64.89</v>
      </c>
      <c r="DI469" s="2" t="n">
        <v>0</v>
      </c>
      <c r="DJ469" s="2" t="n">
        <v>72.54000000000001</v>
      </c>
      <c r="DK469" s="2" t="n">
        <v>75.18000000000001</v>
      </c>
      <c r="DL469" s="2" t="n">
        <v>0</v>
      </c>
      <c r="DM469" s="2" t="n">
        <v>86.23999999999999</v>
      </c>
      <c r="DN469" s="2" t="n">
        <v>90.03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14.81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29.1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42.59</v>
      </c>
      <c r="DC470" s="2" t="n">
        <v>0</v>
      </c>
      <c r="DD470" s="2" t="n">
        <v>54.32</v>
      </c>
      <c r="DE470" s="2" t="n">
        <v>56.3</v>
      </c>
      <c r="DF470" s="2" t="n">
        <v>0</v>
      </c>
      <c r="DG470" s="2" t="n">
        <v>63.54</v>
      </c>
      <c r="DH470" s="2" t="n">
        <v>64.89</v>
      </c>
      <c r="DI470" s="2" t="n">
        <v>0</v>
      </c>
      <c r="DJ470" s="2" t="n">
        <v>72.54000000000001</v>
      </c>
      <c r="DK470" s="2" t="n">
        <v>75.18000000000001</v>
      </c>
      <c r="DL470" s="2" t="n">
        <v>0</v>
      </c>
      <c r="DM470" s="2" t="n">
        <v>86.23999999999999</v>
      </c>
      <c r="DN470" s="2" t="n">
        <v>90.03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14.81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29.1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42.59</v>
      </c>
      <c r="DC471" s="2" t="n">
        <v>0</v>
      </c>
      <c r="DD471" s="2" t="n">
        <v>54.32</v>
      </c>
      <c r="DE471" s="2" t="n">
        <v>56.3</v>
      </c>
      <c r="DF471" s="2" t="n">
        <v>0</v>
      </c>
      <c r="DG471" s="2" t="n">
        <v>63.54</v>
      </c>
      <c r="DH471" s="2" t="n">
        <v>64.89</v>
      </c>
      <c r="DI471" s="2" t="n">
        <v>0</v>
      </c>
      <c r="DJ471" s="2" t="n">
        <v>72.54000000000001</v>
      </c>
      <c r="DK471" s="2" t="n">
        <v>75.18000000000001</v>
      </c>
      <c r="DL471" s="2" t="n">
        <v>0</v>
      </c>
      <c r="DM471" s="2" t="n">
        <v>86.23999999999999</v>
      </c>
      <c r="DN471" s="2" t="n">
        <v>90.03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14.81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29.1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42.59</v>
      </c>
      <c r="DC472" s="2" t="n">
        <v>0</v>
      </c>
      <c r="DD472" s="2" t="n">
        <v>54.32</v>
      </c>
      <c r="DE472" s="2" t="n">
        <v>56.3</v>
      </c>
      <c r="DF472" s="2" t="n">
        <v>0</v>
      </c>
      <c r="DG472" s="2" t="n">
        <v>63.54</v>
      </c>
      <c r="DH472" s="2" t="n">
        <v>64.89</v>
      </c>
      <c r="DI472" s="2" t="n">
        <v>0</v>
      </c>
      <c r="DJ472" s="2" t="n">
        <v>72.54000000000001</v>
      </c>
      <c r="DK472" s="2" t="n">
        <v>75.18000000000001</v>
      </c>
      <c r="DL472" s="2" t="n">
        <v>0</v>
      </c>
      <c r="DM472" s="2" t="n">
        <v>86.23999999999999</v>
      </c>
      <c r="DN472" s="2" t="n">
        <v>90.03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14.81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29.1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42.59</v>
      </c>
      <c r="DC473" s="2" t="n">
        <v>0</v>
      </c>
      <c r="DD473" s="2" t="n">
        <v>54.32</v>
      </c>
      <c r="DE473" s="2" t="n">
        <v>56.3</v>
      </c>
      <c r="DF473" s="2" t="n">
        <v>0</v>
      </c>
      <c r="DG473" s="2" t="n">
        <v>63.54</v>
      </c>
      <c r="DH473" s="2" t="n">
        <v>64.89</v>
      </c>
      <c r="DI473" s="2" t="n">
        <v>0</v>
      </c>
      <c r="DJ473" s="2" t="n">
        <v>72.54000000000001</v>
      </c>
      <c r="DK473" s="2" t="n">
        <v>75.18000000000001</v>
      </c>
      <c r="DL473" s="2" t="n">
        <v>0</v>
      </c>
      <c r="DM473" s="2" t="n">
        <v>86.23999999999999</v>
      </c>
      <c r="DN473" s="2" t="n">
        <v>90.03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14.81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29.1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42.59</v>
      </c>
      <c r="DC474" s="2" t="n">
        <v>0</v>
      </c>
      <c r="DD474" s="2" t="n">
        <v>54.32</v>
      </c>
      <c r="DE474" s="2" t="n">
        <v>56.3</v>
      </c>
      <c r="DF474" s="2" t="n">
        <v>0</v>
      </c>
      <c r="DG474" s="2" t="n">
        <v>63.54</v>
      </c>
      <c r="DH474" s="2" t="n">
        <v>64.89</v>
      </c>
      <c r="DI474" s="2" t="n">
        <v>0</v>
      </c>
      <c r="DJ474" s="2" t="n">
        <v>72.54000000000001</v>
      </c>
      <c r="DK474" s="2" t="n">
        <v>75.18000000000001</v>
      </c>
      <c r="DL474" s="2" t="n">
        <v>0</v>
      </c>
      <c r="DM474" s="2" t="n">
        <v>86.23999999999999</v>
      </c>
      <c r="DN474" s="2" t="n">
        <v>90.03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14.81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29.1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42.59</v>
      </c>
      <c r="DC475" s="2" t="n">
        <v>0</v>
      </c>
      <c r="DD475" s="2" t="n">
        <v>54.32</v>
      </c>
      <c r="DE475" s="2" t="n">
        <v>56.3</v>
      </c>
      <c r="DF475" s="2" t="n">
        <v>0</v>
      </c>
      <c r="DG475" s="2" t="n">
        <v>63.54</v>
      </c>
      <c r="DH475" s="2" t="n">
        <v>64.89</v>
      </c>
      <c r="DI475" s="2" t="n">
        <v>0</v>
      </c>
      <c r="DJ475" s="2" t="n">
        <v>72.54000000000001</v>
      </c>
      <c r="DK475" s="2" t="n">
        <v>75.18000000000001</v>
      </c>
      <c r="DL475" s="2" t="n">
        <v>0</v>
      </c>
      <c r="DM475" s="2" t="n">
        <v>86.23999999999999</v>
      </c>
      <c r="DN475" s="2" t="n">
        <v>90.03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14.81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29.1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42.59</v>
      </c>
      <c r="DC476" s="2" t="n">
        <v>0</v>
      </c>
      <c r="DD476" s="2" t="n">
        <v>54.32</v>
      </c>
      <c r="DE476" s="2" t="n">
        <v>56.3</v>
      </c>
      <c r="DF476" s="2" t="n">
        <v>0</v>
      </c>
      <c r="DG476" s="2" t="n">
        <v>63.54</v>
      </c>
      <c r="DH476" s="2" t="n">
        <v>64.89</v>
      </c>
      <c r="DI476" s="2" t="n">
        <v>0</v>
      </c>
      <c r="DJ476" s="2" t="n">
        <v>72.54000000000001</v>
      </c>
      <c r="DK476" s="2" t="n">
        <v>75.18000000000001</v>
      </c>
      <c r="DL476" s="2" t="n">
        <v>0</v>
      </c>
      <c r="DM476" s="2" t="n">
        <v>86.23999999999999</v>
      </c>
      <c r="DN476" s="2" t="n">
        <v>90.03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14.81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29.1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42.59</v>
      </c>
      <c r="DC477" s="2" t="n">
        <v>0</v>
      </c>
      <c r="DD477" s="2" t="n">
        <v>54.32</v>
      </c>
      <c r="DE477" s="2" t="n">
        <v>56.3</v>
      </c>
      <c r="DF477" s="2" t="n">
        <v>0</v>
      </c>
      <c r="DG477" s="2" t="n">
        <v>63.54</v>
      </c>
      <c r="DH477" s="2" t="n">
        <v>64.89</v>
      </c>
      <c r="DI477" s="2" t="n">
        <v>0</v>
      </c>
      <c r="DJ477" s="2" t="n">
        <v>72.54000000000001</v>
      </c>
      <c r="DK477" s="2" t="n">
        <v>75.18000000000001</v>
      </c>
      <c r="DL477" s="2" t="n">
        <v>0</v>
      </c>
      <c r="DM477" s="2" t="n">
        <v>86.23999999999999</v>
      </c>
      <c r="DN477" s="2" t="n">
        <v>90.03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12/02/2027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4.17</v>
      </c>
      <c r="BR478" s="2" t="n">
        <v>3.06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6.75</v>
      </c>
      <c r="CE478" s="2" t="n">
        <v>0</v>
      </c>
      <c r="CF478" s="2" t="n">
        <v>9.06</v>
      </c>
      <c r="CG478" s="2" t="n">
        <v>9.24</v>
      </c>
      <c r="CH478" s="2" t="n">
        <v>0</v>
      </c>
      <c r="CI478" s="2" t="n">
        <v>12.66</v>
      </c>
      <c r="CJ478" s="2" t="n">
        <v>12.8</v>
      </c>
      <c r="CK478" s="2" t="n">
        <v>0</v>
      </c>
      <c r="CL478" s="2" t="n">
        <v>14.61</v>
      </c>
      <c r="CM478" s="2" t="n">
        <v>15.02</v>
      </c>
      <c r="CN478" s="2" t="n">
        <v>0</v>
      </c>
      <c r="CO478" s="2" t="n">
        <v>18.74</v>
      </c>
      <c r="CP478" s="2" t="n">
        <v>19.64</v>
      </c>
      <c r="CQ478" s="2" t="n">
        <v>0</v>
      </c>
      <c r="CR478" s="2" t="n">
        <v>22.83</v>
      </c>
      <c r="CS478" s="2" t="n">
        <v>23.67</v>
      </c>
      <c r="CT478" s="2" t="n">
        <v>0</v>
      </c>
      <c r="CU478" s="2" t="n">
        <v>27.98</v>
      </c>
      <c r="CV478" s="2" t="n">
        <v>29.07</v>
      </c>
      <c r="CW478" s="2" t="n">
        <v>0</v>
      </c>
      <c r="CX478" s="2" t="n">
        <v>35.96</v>
      </c>
      <c r="CY478" s="2" t="n">
        <v>34.88</v>
      </c>
      <c r="CZ478" s="2" t="n">
        <v>0</v>
      </c>
      <c r="DA478" s="2" t="n">
        <v>47.32</v>
      </c>
      <c r="DB478" s="2" t="n">
        <v>47.39</v>
      </c>
      <c r="DC478" s="2" t="n">
        <v>0</v>
      </c>
      <c r="DD478" s="2" t="n">
        <v>53.94</v>
      </c>
      <c r="DE478" s="2" t="n">
        <v>54.4</v>
      </c>
      <c r="DF478" s="2" t="n">
        <v>0</v>
      </c>
      <c r="DG478" s="2" t="n">
        <v>57.83</v>
      </c>
      <c r="DH478" s="2" t="n">
        <v>59.05</v>
      </c>
      <c r="DI478" s="2" t="n">
        <v>0</v>
      </c>
      <c r="DJ478" s="2" t="n">
        <v>66.84</v>
      </c>
      <c r="DK478" s="2" t="n">
        <v>66.5</v>
      </c>
      <c r="DL478" s="2" t="n">
        <v>0</v>
      </c>
      <c r="DM478" s="2" t="n">
        <v>72.31</v>
      </c>
      <c r="DN478" s="2" t="n">
        <v>73.52</v>
      </c>
      <c r="DO478" s="2" t="n">
        <v>0</v>
      </c>
      <c r="DP478" s="2" t="n">
        <v>77.31</v>
      </c>
      <c r="DQ478" s="2" t="n">
        <v>78.2</v>
      </c>
      <c r="DR478" s="2" t="n">
        <v>0</v>
      </c>
      <c r="DS478" s="2" t="n">
        <v>83.54000000000001</v>
      </c>
      <c r="DT478" s="2" t="n">
        <v>84.61</v>
      </c>
      <c r="DU478" s="2" t="n">
        <v>0</v>
      </c>
      <c r="DV478" s="2" t="n">
        <v>85.77</v>
      </c>
      <c r="DW478" s="2" t="n">
        <v>86.03</v>
      </c>
      <c r="DX478" s="2" t="n">
        <v>0</v>
      </c>
      <c r="DY478" s="2" t="n">
        <v>89.19</v>
      </c>
      <c r="DZ478" s="2" t="n">
        <v>89.84</v>
      </c>
      <c r="EA478" s="2" t="n">
        <v>0</v>
      </c>
      <c r="EB478" s="2" t="n">
        <v>92.06</v>
      </c>
      <c r="EC478" s="2" t="n">
        <v>92.33</v>
      </c>
      <c r="ED478" s="2" t="n">
        <v>0</v>
      </c>
      <c r="EE478" s="2" t="n">
        <v>93.01000000000001</v>
      </c>
      <c r="EF478" s="2" t="n">
        <v>93.66</v>
      </c>
      <c r="EG478" s="2" t="n">
        <v>0</v>
      </c>
      <c r="EH478" s="2" t="n">
        <v>95.88</v>
      </c>
      <c r="EI478" s="2" t="n">
        <v>96.56</v>
      </c>
      <c r="EJ478" s="2" t="n">
        <v>0</v>
      </c>
      <c r="EK478" s="2" t="n">
        <v>98.34999999999999</v>
      </c>
      <c r="EL478" s="2" t="n">
        <v>99.40000000000001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12/02/2027</t>
        </is>
      </c>
      <c r="E479" s="2" t="inlineStr">
        <is>
          <t>10/03/2028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10</v>
      </c>
      <c r="BR479" s="2" t="n">
        <v>7.33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20.91</v>
      </c>
      <c r="CZ479" s="2" t="n">
        <v>0</v>
      </c>
      <c r="DA479" s="2" t="n">
        <v>94.55</v>
      </c>
      <c r="DB479" s="2" t="n">
        <v>78.18000000000001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12/02/2027</t>
        </is>
      </c>
      <c r="E480" s="2" t="inlineStr">
        <is>
          <t>10/03/2028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10</v>
      </c>
      <c r="BR480" s="2" t="n">
        <v>7.33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20.91</v>
      </c>
      <c r="CZ480" s="2" t="n">
        <v>0</v>
      </c>
      <c r="DA480" s="2" t="n">
        <v>94.55</v>
      </c>
      <c r="DB480" s="2" t="n">
        <v>78.18000000000001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12/02/2027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4.69</v>
      </c>
      <c r="BR481" s="2" t="n">
        <v>3.44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8.15</v>
      </c>
      <c r="CE481" s="2" t="n">
        <v>0</v>
      </c>
      <c r="CF481" s="2" t="n">
        <v>11.25</v>
      </c>
      <c r="CG481" s="2" t="n">
        <v>11.48</v>
      </c>
      <c r="CH481" s="2" t="n">
        <v>0</v>
      </c>
      <c r="CI481" s="2" t="n">
        <v>16.06</v>
      </c>
      <c r="CJ481" s="2" t="n">
        <v>16.25</v>
      </c>
      <c r="CK481" s="2" t="n">
        <v>0</v>
      </c>
      <c r="CL481" s="2" t="n">
        <v>18.66</v>
      </c>
      <c r="CM481" s="2" t="n">
        <v>19.22</v>
      </c>
      <c r="CN481" s="2" t="n">
        <v>0</v>
      </c>
      <c r="CO481" s="2" t="n">
        <v>23.42</v>
      </c>
      <c r="CP481" s="2" t="n">
        <v>24.32</v>
      </c>
      <c r="CQ481" s="2" t="n">
        <v>0</v>
      </c>
      <c r="CR481" s="2" t="n">
        <v>27.82</v>
      </c>
      <c r="CS481" s="2" t="n">
        <v>28.65</v>
      </c>
      <c r="CT481" s="2" t="n">
        <v>0</v>
      </c>
      <c r="CU481" s="2" t="n">
        <v>32.55</v>
      </c>
      <c r="CV481" s="2" t="n">
        <v>33.72</v>
      </c>
      <c r="CW481" s="2" t="n">
        <v>0</v>
      </c>
      <c r="CX481" s="2" t="n">
        <v>38.75</v>
      </c>
      <c r="CY481" s="2" t="n">
        <v>39.41</v>
      </c>
      <c r="CZ481" s="2" t="n">
        <v>0</v>
      </c>
      <c r="DA481" s="2" t="n">
        <v>45.74</v>
      </c>
      <c r="DB481" s="2" t="n">
        <v>46.78</v>
      </c>
      <c r="DC481" s="2" t="n">
        <v>0</v>
      </c>
      <c r="DD481" s="2" t="n">
        <v>52.65</v>
      </c>
      <c r="DE481" s="2" t="n">
        <v>52.96</v>
      </c>
      <c r="DF481" s="2" t="n">
        <v>0</v>
      </c>
      <c r="DG481" s="2" t="n">
        <v>56.24</v>
      </c>
      <c r="DH481" s="2" t="n">
        <v>57.2</v>
      </c>
      <c r="DI481" s="2" t="n">
        <v>0</v>
      </c>
      <c r="DJ481" s="2" t="n">
        <v>66.27</v>
      </c>
      <c r="DK481" s="2" t="n">
        <v>65.56999999999999</v>
      </c>
      <c r="DL481" s="2" t="n">
        <v>0</v>
      </c>
      <c r="DM481" s="2" t="n">
        <v>71.95999999999999</v>
      </c>
      <c r="DN481" s="2" t="n">
        <v>72.88</v>
      </c>
      <c r="DO481" s="2" t="n">
        <v>0</v>
      </c>
      <c r="DP481" s="2" t="n">
        <v>76.65000000000001</v>
      </c>
      <c r="DQ481" s="2" t="n">
        <v>77.55</v>
      </c>
      <c r="DR481" s="2" t="n">
        <v>0</v>
      </c>
      <c r="DS481" s="2" t="n">
        <v>80.95999999999999</v>
      </c>
      <c r="DT481" s="2" t="n">
        <v>81.37</v>
      </c>
      <c r="DU481" s="2" t="n">
        <v>0</v>
      </c>
      <c r="DV481" s="2" t="n">
        <v>82.8</v>
      </c>
      <c r="DW481" s="2" t="n">
        <v>83.09999999999999</v>
      </c>
      <c r="DX481" s="2" t="n">
        <v>0</v>
      </c>
      <c r="DY481" s="2" t="n">
        <v>86.26000000000001</v>
      </c>
      <c r="DZ481" s="2" t="n">
        <v>86.67</v>
      </c>
      <c r="EA481" s="2" t="n">
        <v>0</v>
      </c>
      <c r="EB481" s="2" t="n">
        <v>89.38</v>
      </c>
      <c r="EC481" s="2" t="n">
        <v>89.73999999999999</v>
      </c>
      <c r="ED481" s="2" t="n">
        <v>0</v>
      </c>
      <c r="EE481" s="2" t="n">
        <v>90.64</v>
      </c>
      <c r="EF481" s="2" t="n">
        <v>91.51000000000001</v>
      </c>
      <c r="EG481" s="2" t="n">
        <v>0</v>
      </c>
      <c r="EH481" s="2" t="n">
        <v>94.48</v>
      </c>
      <c r="EI481" s="2" t="n">
        <v>95.40000000000001</v>
      </c>
      <c r="EJ481" s="2" t="n">
        <v>0</v>
      </c>
      <c r="EK481" s="2" t="n">
        <v>97.79000000000001</v>
      </c>
      <c r="EL481" s="2" t="n">
        <v>99.2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12/02/2027</t>
        </is>
      </c>
      <c r="E482" s="2" t="inlineStr">
        <is>
          <t>04/03/2027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100</v>
      </c>
      <c r="BR482" s="2" t="n">
        <v>73.33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16.06</v>
      </c>
      <c r="CQ483" s="2" t="n">
        <v>0</v>
      </c>
      <c r="CR483" s="2" t="n">
        <v>25.69</v>
      </c>
      <c r="CS483" s="2" t="n">
        <v>24.79</v>
      </c>
      <c r="CT483" s="2" t="n">
        <v>0</v>
      </c>
      <c r="CU483" s="2" t="n">
        <v>34.45</v>
      </c>
      <c r="CV483" s="2" t="n">
        <v>35.78</v>
      </c>
      <c r="CW483" s="2" t="n">
        <v>0</v>
      </c>
      <c r="CX483" s="2" t="n">
        <v>41.48</v>
      </c>
      <c r="CY483" s="2" t="n">
        <v>43.22</v>
      </c>
      <c r="CZ483" s="2" t="n">
        <v>0</v>
      </c>
      <c r="DA483" s="2" t="n">
        <v>49.68</v>
      </c>
      <c r="DB483" s="2" t="n">
        <v>51.01</v>
      </c>
      <c r="DC483" s="2" t="n">
        <v>0</v>
      </c>
      <c r="DD483" s="2" t="n">
        <v>61.2</v>
      </c>
      <c r="DE483" s="2" t="n">
        <v>61.81</v>
      </c>
      <c r="DF483" s="2" t="n">
        <v>0</v>
      </c>
      <c r="DG483" s="2" t="n">
        <v>68.16</v>
      </c>
      <c r="DH483" s="2" t="n">
        <v>69.09999999999999</v>
      </c>
      <c r="DI483" s="2" t="n">
        <v>0</v>
      </c>
      <c r="DJ483" s="2" t="n">
        <v>79.22</v>
      </c>
      <c r="DK483" s="2" t="n">
        <v>80.58</v>
      </c>
      <c r="DL483" s="2" t="n">
        <v>0</v>
      </c>
      <c r="DM483" s="2" t="n">
        <v>88.5</v>
      </c>
      <c r="DN483" s="2" t="n">
        <v>89.73999999999999</v>
      </c>
      <c r="DO483" s="2" t="n">
        <v>0</v>
      </c>
      <c r="DP483" s="2" t="n">
        <v>92.84999999999999</v>
      </c>
      <c r="DQ483" s="2" t="n">
        <v>93.63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96.27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9.15</v>
      </c>
      <c r="CT484" s="2" t="n">
        <v>0</v>
      </c>
      <c r="CU484" s="2" t="n">
        <v>12.89</v>
      </c>
      <c r="CV484" s="2" t="n">
        <v>14.4</v>
      </c>
      <c r="CW484" s="2" t="n">
        <v>0</v>
      </c>
      <c r="CX484" s="2" t="n">
        <v>20.26</v>
      </c>
      <c r="CY484" s="2" t="n">
        <v>21.77</v>
      </c>
      <c r="CZ484" s="2" t="n">
        <v>0</v>
      </c>
      <c r="DA484" s="2" t="n">
        <v>27.64</v>
      </c>
      <c r="DB484" s="2" t="n">
        <v>29.15</v>
      </c>
      <c r="DC484" s="2" t="n">
        <v>0</v>
      </c>
      <c r="DD484" s="2" t="n">
        <v>43.53</v>
      </c>
      <c r="DE484" s="2" t="n">
        <v>42.81</v>
      </c>
      <c r="DF484" s="2" t="n">
        <v>0</v>
      </c>
      <c r="DG484" s="2" t="n">
        <v>50.22</v>
      </c>
      <c r="DH484" s="2" t="n">
        <v>51.73</v>
      </c>
      <c r="DI484" s="2" t="n">
        <v>0</v>
      </c>
      <c r="DJ484" s="2" t="n">
        <v>70.92</v>
      </c>
      <c r="DK484" s="2" t="n">
        <v>71.2</v>
      </c>
      <c r="DL484" s="2" t="n">
        <v>0</v>
      </c>
      <c r="DM484" s="2" t="n">
        <v>78.3</v>
      </c>
      <c r="DN484" s="2" t="n">
        <v>79.81</v>
      </c>
      <c r="DO484" s="2" t="n">
        <v>0</v>
      </c>
      <c r="DP484" s="2" t="n">
        <v>85.69</v>
      </c>
      <c r="DQ484" s="2" t="n">
        <v>87.26000000000001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92.55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02/06/2028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11.48</v>
      </c>
      <c r="CE485" s="2" t="n">
        <v>0</v>
      </c>
      <c r="CF485" s="2" t="n">
        <v>21.66</v>
      </c>
      <c r="CG485" s="2" t="n">
        <v>22.28</v>
      </c>
      <c r="CH485" s="2" t="n">
        <v>0</v>
      </c>
      <c r="CI485" s="2" t="n">
        <v>37.69</v>
      </c>
      <c r="CJ485" s="2" t="n">
        <v>38.14</v>
      </c>
      <c r="CK485" s="2" t="n">
        <v>0</v>
      </c>
      <c r="CL485" s="2" t="n">
        <v>45.97</v>
      </c>
      <c r="CM485" s="2" t="n">
        <v>47.71</v>
      </c>
      <c r="CN485" s="2" t="n">
        <v>0</v>
      </c>
      <c r="CO485" s="2" t="n">
        <v>56.13</v>
      </c>
      <c r="CP485" s="2" t="n">
        <v>57.97</v>
      </c>
      <c r="CQ485" s="2" t="n">
        <v>0</v>
      </c>
      <c r="CR485" s="2" t="n">
        <v>62.92</v>
      </c>
      <c r="CS485" s="2" t="n">
        <v>64.81999999999999</v>
      </c>
      <c r="CT485" s="2" t="n">
        <v>0</v>
      </c>
      <c r="CU485" s="2" t="n">
        <v>70.84999999999999</v>
      </c>
      <c r="CV485" s="2" t="n">
        <v>72.72</v>
      </c>
      <c r="CW485" s="2" t="n">
        <v>0</v>
      </c>
      <c r="CX485" s="2" t="n">
        <v>80.23</v>
      </c>
      <c r="CY485" s="2" t="n">
        <v>81.56</v>
      </c>
      <c r="CZ485" s="2" t="n">
        <v>0</v>
      </c>
      <c r="DA485" s="2" t="n">
        <v>88.77</v>
      </c>
      <c r="DB485" s="2" t="n">
        <v>90.73</v>
      </c>
      <c r="DC485" s="2" t="n">
        <v>0</v>
      </c>
      <c r="DD485" s="2" t="n">
        <v>96.23</v>
      </c>
      <c r="DE485" s="2" t="n">
        <v>96.38</v>
      </c>
      <c r="DF485" s="2" t="n">
        <v>0</v>
      </c>
      <c r="DG485" s="2" t="n">
        <v>96.54000000000001</v>
      </c>
      <c r="DH485" s="2" t="n">
        <v>96.61</v>
      </c>
      <c r="DI485" s="2" t="n">
        <v>0</v>
      </c>
      <c r="DJ485" s="2" t="n">
        <v>99.70999999999999</v>
      </c>
      <c r="DK485" s="2" t="n">
        <v>99.88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10.89</v>
      </c>
      <c r="CT486" s="2" t="n">
        <v>0</v>
      </c>
      <c r="CU486" s="2" t="n">
        <v>15.34</v>
      </c>
      <c r="CV486" s="2" t="n">
        <v>17.14</v>
      </c>
      <c r="CW486" s="2" t="n">
        <v>0</v>
      </c>
      <c r="CX486" s="2" t="n">
        <v>26.34</v>
      </c>
      <c r="CY486" s="2" t="n">
        <v>25.93</v>
      </c>
      <c r="CZ486" s="2" t="n">
        <v>0</v>
      </c>
      <c r="DA486" s="2" t="n">
        <v>42.65</v>
      </c>
      <c r="DB486" s="2" t="n">
        <v>43.56</v>
      </c>
      <c r="DC486" s="2" t="n">
        <v>0</v>
      </c>
      <c r="DD486" s="2" t="n">
        <v>52.35</v>
      </c>
      <c r="DE486" s="2" t="n">
        <v>54.07</v>
      </c>
      <c r="DF486" s="2" t="n">
        <v>0</v>
      </c>
      <c r="DG486" s="2" t="n">
        <v>60.03</v>
      </c>
      <c r="DH486" s="2" t="n">
        <v>61.76</v>
      </c>
      <c r="DI486" s="2" t="n">
        <v>0</v>
      </c>
      <c r="DJ486" s="2" t="n">
        <v>70.27</v>
      </c>
      <c r="DK486" s="2" t="n">
        <v>72.06999999999999</v>
      </c>
      <c r="DL486" s="2" t="n">
        <v>0</v>
      </c>
      <c r="DM486" s="2" t="n">
        <v>79.09</v>
      </c>
      <c r="DN486" s="2" t="n">
        <v>80.98999999999999</v>
      </c>
      <c r="DO486" s="2" t="n">
        <v>0</v>
      </c>
      <c r="DP486" s="2" t="n">
        <v>88.2</v>
      </c>
      <c r="DQ486" s="2" t="n">
        <v>90.09</v>
      </c>
      <c r="DR486" s="2" t="n">
        <v>0</v>
      </c>
      <c r="DS486" s="2" t="n">
        <v>96.2</v>
      </c>
      <c r="DT486" s="2" t="n">
        <v>96.56</v>
      </c>
      <c r="DU486" s="2" t="n">
        <v>0</v>
      </c>
      <c r="DV486" s="2" t="n">
        <v>97.19</v>
      </c>
      <c r="DW486" s="2" t="n">
        <v>97.37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02/06/2028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11.48</v>
      </c>
      <c r="CE487" s="2" t="n">
        <v>0</v>
      </c>
      <c r="CF487" s="2" t="n">
        <v>21.66</v>
      </c>
      <c r="CG487" s="2" t="n">
        <v>22.28</v>
      </c>
      <c r="CH487" s="2" t="n">
        <v>0</v>
      </c>
      <c r="CI487" s="2" t="n">
        <v>37.69</v>
      </c>
      <c r="CJ487" s="2" t="n">
        <v>38.14</v>
      </c>
      <c r="CK487" s="2" t="n">
        <v>0</v>
      </c>
      <c r="CL487" s="2" t="n">
        <v>45.97</v>
      </c>
      <c r="CM487" s="2" t="n">
        <v>47.71</v>
      </c>
      <c r="CN487" s="2" t="n">
        <v>0</v>
      </c>
      <c r="CO487" s="2" t="n">
        <v>56.13</v>
      </c>
      <c r="CP487" s="2" t="n">
        <v>57.97</v>
      </c>
      <c r="CQ487" s="2" t="n">
        <v>0</v>
      </c>
      <c r="CR487" s="2" t="n">
        <v>62.92</v>
      </c>
      <c r="CS487" s="2" t="n">
        <v>64.81999999999999</v>
      </c>
      <c r="CT487" s="2" t="n">
        <v>0</v>
      </c>
      <c r="CU487" s="2" t="n">
        <v>70.84999999999999</v>
      </c>
      <c r="CV487" s="2" t="n">
        <v>72.72</v>
      </c>
      <c r="CW487" s="2" t="n">
        <v>0</v>
      </c>
      <c r="CX487" s="2" t="n">
        <v>80.23</v>
      </c>
      <c r="CY487" s="2" t="n">
        <v>81.56</v>
      </c>
      <c r="CZ487" s="2" t="n">
        <v>0</v>
      </c>
      <c r="DA487" s="2" t="n">
        <v>88.77</v>
      </c>
      <c r="DB487" s="2" t="n">
        <v>90.73</v>
      </c>
      <c r="DC487" s="2" t="n">
        <v>0</v>
      </c>
      <c r="DD487" s="2" t="n">
        <v>96.23</v>
      </c>
      <c r="DE487" s="2" t="n">
        <v>96.38</v>
      </c>
      <c r="DF487" s="2" t="n">
        <v>0</v>
      </c>
      <c r="DG487" s="2" t="n">
        <v>96.54000000000001</v>
      </c>
      <c r="DH487" s="2" t="n">
        <v>96.61</v>
      </c>
      <c r="DI487" s="2" t="n">
        <v>0</v>
      </c>
      <c r="DJ487" s="2" t="n">
        <v>99.70999999999999</v>
      </c>
      <c r="DK487" s="2" t="n">
        <v>99.88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02/06/2028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11.48</v>
      </c>
      <c r="CE488" s="2" t="n">
        <v>0</v>
      </c>
      <c r="CF488" s="2" t="n">
        <v>21.66</v>
      </c>
      <c r="CG488" s="2" t="n">
        <v>22.28</v>
      </c>
      <c r="CH488" s="2" t="n">
        <v>0</v>
      </c>
      <c r="CI488" s="2" t="n">
        <v>37.69</v>
      </c>
      <c r="CJ488" s="2" t="n">
        <v>38.14</v>
      </c>
      <c r="CK488" s="2" t="n">
        <v>0</v>
      </c>
      <c r="CL488" s="2" t="n">
        <v>45.97</v>
      </c>
      <c r="CM488" s="2" t="n">
        <v>47.71</v>
      </c>
      <c r="CN488" s="2" t="n">
        <v>0</v>
      </c>
      <c r="CO488" s="2" t="n">
        <v>56.13</v>
      </c>
      <c r="CP488" s="2" t="n">
        <v>57.97</v>
      </c>
      <c r="CQ488" s="2" t="n">
        <v>0</v>
      </c>
      <c r="CR488" s="2" t="n">
        <v>62.92</v>
      </c>
      <c r="CS488" s="2" t="n">
        <v>64.81999999999999</v>
      </c>
      <c r="CT488" s="2" t="n">
        <v>0</v>
      </c>
      <c r="CU488" s="2" t="n">
        <v>70.84999999999999</v>
      </c>
      <c r="CV488" s="2" t="n">
        <v>72.72</v>
      </c>
      <c r="CW488" s="2" t="n">
        <v>0</v>
      </c>
      <c r="CX488" s="2" t="n">
        <v>80.23</v>
      </c>
      <c r="CY488" s="2" t="n">
        <v>81.56</v>
      </c>
      <c r="CZ488" s="2" t="n">
        <v>0</v>
      </c>
      <c r="DA488" s="2" t="n">
        <v>88.77</v>
      </c>
      <c r="DB488" s="2" t="n">
        <v>90.73</v>
      </c>
      <c r="DC488" s="2" t="n">
        <v>0</v>
      </c>
      <c r="DD488" s="2" t="n">
        <v>96.23</v>
      </c>
      <c r="DE488" s="2" t="n">
        <v>96.38</v>
      </c>
      <c r="DF488" s="2" t="n">
        <v>0</v>
      </c>
      <c r="DG488" s="2" t="n">
        <v>96.54000000000001</v>
      </c>
      <c r="DH488" s="2" t="n">
        <v>96.61</v>
      </c>
      <c r="DI488" s="2" t="n">
        <v>0</v>
      </c>
      <c r="DJ488" s="2" t="n">
        <v>99.70999999999999</v>
      </c>
      <c r="DK488" s="2" t="n">
        <v>99.88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11.48</v>
      </c>
      <c r="DL489" s="2" t="n">
        <v>0</v>
      </c>
      <c r="DM489" s="2" t="n">
        <v>24.27</v>
      </c>
      <c r="DN489" s="2" t="n">
        <v>25.3</v>
      </c>
      <c r="DO489" s="2" t="n">
        <v>0</v>
      </c>
      <c r="DP489" s="2" t="n">
        <v>30.78</v>
      </c>
      <c r="DQ489" s="2" t="n">
        <v>31.88</v>
      </c>
      <c r="DR489" s="2" t="n">
        <v>0</v>
      </c>
      <c r="DS489" s="2" t="n">
        <v>37.28</v>
      </c>
      <c r="DT489" s="2" t="n">
        <v>38.43</v>
      </c>
      <c r="DU489" s="2" t="n">
        <v>0</v>
      </c>
      <c r="DV489" s="2" t="n">
        <v>43.25</v>
      </c>
      <c r="DW489" s="2" t="n">
        <v>44.25</v>
      </c>
      <c r="DX489" s="2" t="n">
        <v>0</v>
      </c>
      <c r="DY489" s="2" t="n">
        <v>49.63</v>
      </c>
      <c r="DZ489" s="2" t="n">
        <v>50.96</v>
      </c>
      <c r="EA489" s="2" t="n">
        <v>0</v>
      </c>
      <c r="EB489" s="2" t="n">
        <v>60.93</v>
      </c>
      <c r="EC489" s="2" t="n">
        <v>62.26</v>
      </c>
      <c r="ED489" s="2" t="n">
        <v>0</v>
      </c>
      <c r="EE489" s="2" t="n">
        <v>65.58</v>
      </c>
      <c r="EF489" s="2" t="n">
        <v>68.79000000000001</v>
      </c>
      <c r="EG489" s="2" t="n">
        <v>0</v>
      </c>
      <c r="EH489" s="2" t="n">
        <v>79.70999999999999</v>
      </c>
      <c r="EI489" s="2" t="n">
        <v>83.06999999999999</v>
      </c>
      <c r="EJ489" s="2" t="n">
        <v>0</v>
      </c>
      <c r="EK489" s="2" t="n">
        <v>91.89</v>
      </c>
      <c r="EL489" s="2" t="n">
        <v>97.05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11.48</v>
      </c>
      <c r="DL490" s="2" t="n">
        <v>0</v>
      </c>
      <c r="DM490" s="2" t="n">
        <v>24.27</v>
      </c>
      <c r="DN490" s="2" t="n">
        <v>25.3</v>
      </c>
      <c r="DO490" s="2" t="n">
        <v>0</v>
      </c>
      <c r="DP490" s="2" t="n">
        <v>30.78</v>
      </c>
      <c r="DQ490" s="2" t="n">
        <v>31.88</v>
      </c>
      <c r="DR490" s="2" t="n">
        <v>0</v>
      </c>
      <c r="DS490" s="2" t="n">
        <v>37.28</v>
      </c>
      <c r="DT490" s="2" t="n">
        <v>38.43</v>
      </c>
      <c r="DU490" s="2" t="n">
        <v>0</v>
      </c>
      <c r="DV490" s="2" t="n">
        <v>43.25</v>
      </c>
      <c r="DW490" s="2" t="n">
        <v>44.25</v>
      </c>
      <c r="DX490" s="2" t="n">
        <v>0</v>
      </c>
      <c r="DY490" s="2" t="n">
        <v>49.63</v>
      </c>
      <c r="DZ490" s="2" t="n">
        <v>50.96</v>
      </c>
      <c r="EA490" s="2" t="n">
        <v>0</v>
      </c>
      <c r="EB490" s="2" t="n">
        <v>60.93</v>
      </c>
      <c r="EC490" s="2" t="n">
        <v>62.26</v>
      </c>
      <c r="ED490" s="2" t="n">
        <v>0</v>
      </c>
      <c r="EE490" s="2" t="n">
        <v>65.58</v>
      </c>
      <c r="EF490" s="2" t="n">
        <v>68.79000000000001</v>
      </c>
      <c r="EG490" s="2" t="n">
        <v>0</v>
      </c>
      <c r="EH490" s="2" t="n">
        <v>79.70999999999999</v>
      </c>
      <c r="EI490" s="2" t="n">
        <v>83.06999999999999</v>
      </c>
      <c r="EJ490" s="2" t="n">
        <v>0</v>
      </c>
      <c r="EK490" s="2" t="n">
        <v>91.89</v>
      </c>
      <c r="EL490" s="2" t="n">
        <v>97.05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11.48</v>
      </c>
      <c r="DL491" s="2" t="n">
        <v>0</v>
      </c>
      <c r="DM491" s="2" t="n">
        <v>24.27</v>
      </c>
      <c r="DN491" s="2" t="n">
        <v>25.3</v>
      </c>
      <c r="DO491" s="2" t="n">
        <v>0</v>
      </c>
      <c r="DP491" s="2" t="n">
        <v>30.78</v>
      </c>
      <c r="DQ491" s="2" t="n">
        <v>31.88</v>
      </c>
      <c r="DR491" s="2" t="n">
        <v>0</v>
      </c>
      <c r="DS491" s="2" t="n">
        <v>37.28</v>
      </c>
      <c r="DT491" s="2" t="n">
        <v>38.43</v>
      </c>
      <c r="DU491" s="2" t="n">
        <v>0</v>
      </c>
      <c r="DV491" s="2" t="n">
        <v>43.25</v>
      </c>
      <c r="DW491" s="2" t="n">
        <v>44.25</v>
      </c>
      <c r="DX491" s="2" t="n">
        <v>0</v>
      </c>
      <c r="DY491" s="2" t="n">
        <v>49.63</v>
      </c>
      <c r="DZ491" s="2" t="n">
        <v>50.96</v>
      </c>
      <c r="EA491" s="2" t="n">
        <v>0</v>
      </c>
      <c r="EB491" s="2" t="n">
        <v>60.93</v>
      </c>
      <c r="EC491" s="2" t="n">
        <v>62.26</v>
      </c>
      <c r="ED491" s="2" t="n">
        <v>0</v>
      </c>
      <c r="EE491" s="2" t="n">
        <v>65.58</v>
      </c>
      <c r="EF491" s="2" t="n">
        <v>68.79000000000001</v>
      </c>
      <c r="EG491" s="2" t="n">
        <v>0</v>
      </c>
      <c r="EH491" s="2" t="n">
        <v>79.70999999999999</v>
      </c>
      <c r="EI491" s="2" t="n">
        <v>83.06999999999999</v>
      </c>
      <c r="EJ491" s="2" t="n">
        <v>0</v>
      </c>
      <c r="EK491" s="2" t="n">
        <v>91.89</v>
      </c>
      <c r="EL491" s="2" t="n">
        <v>97.05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03/11/2028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8.57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21.67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44.05</v>
      </c>
      <c r="DF492" s="2" t="n">
        <v>0</v>
      </c>
      <c r="DG492" s="2" t="n">
        <v>49.33</v>
      </c>
      <c r="DH492" s="2" t="n">
        <v>52.03</v>
      </c>
      <c r="DI492" s="2" t="n">
        <v>0</v>
      </c>
      <c r="DJ492" s="2" t="n">
        <v>57.43</v>
      </c>
      <c r="DK492" s="2" t="n">
        <v>58.4</v>
      </c>
      <c r="DL492" s="2" t="n">
        <v>0</v>
      </c>
      <c r="DM492" s="2" t="n">
        <v>63.97</v>
      </c>
      <c r="DN492" s="2" t="n">
        <v>66.75</v>
      </c>
      <c r="DO492" s="2" t="n">
        <v>0</v>
      </c>
      <c r="DP492" s="2" t="n">
        <v>71.93000000000001</v>
      </c>
      <c r="DQ492" s="2" t="n">
        <v>73.09999999999999</v>
      </c>
      <c r="DR492" s="2" t="n">
        <v>0</v>
      </c>
      <c r="DS492" s="2" t="n">
        <v>88.06999999999999</v>
      </c>
      <c r="DT492" s="2" t="n">
        <v>92.13</v>
      </c>
      <c r="DU492" s="2" t="n">
        <v>0</v>
      </c>
      <c r="DV492" s="2" t="n">
        <v>92.67</v>
      </c>
      <c r="DW492" s="2" t="n">
        <v>92.81</v>
      </c>
      <c r="DX492" s="2" t="n">
        <v>0</v>
      </c>
      <c r="DY492" s="2" t="n">
        <v>97.06</v>
      </c>
      <c r="DZ492" s="2" t="n">
        <v>98.98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03/11/2028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10.21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25.79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52.44</v>
      </c>
      <c r="DF494" s="2" t="n">
        <v>0</v>
      </c>
      <c r="DG494" s="2" t="n">
        <v>58.73</v>
      </c>
      <c r="DH494" s="2" t="n">
        <v>61.94</v>
      </c>
      <c r="DI494" s="2" t="n">
        <v>0</v>
      </c>
      <c r="DJ494" s="2" t="n">
        <v>68.36</v>
      </c>
      <c r="DK494" s="2" t="n">
        <v>69.52</v>
      </c>
      <c r="DL494" s="2" t="n">
        <v>0</v>
      </c>
      <c r="DM494" s="2" t="n">
        <v>76.16</v>
      </c>
      <c r="DN494" s="2" t="n">
        <v>79.45999999999999</v>
      </c>
      <c r="DO494" s="2" t="n">
        <v>0</v>
      </c>
      <c r="DP494" s="2" t="n">
        <v>85.63</v>
      </c>
      <c r="DQ494" s="2" t="n">
        <v>87.02</v>
      </c>
      <c r="DR494" s="2" t="n">
        <v>0</v>
      </c>
      <c r="DS494" s="2" t="n">
        <v>90.31999999999999</v>
      </c>
      <c r="DT494" s="2" t="n">
        <v>90.63</v>
      </c>
      <c r="DU494" s="2" t="n">
        <v>0</v>
      </c>
      <c r="DV494" s="2" t="n">
        <v>91.27</v>
      </c>
      <c r="DW494" s="2" t="n">
        <v>91.44</v>
      </c>
      <c r="DX494" s="2" t="n">
        <v>0</v>
      </c>
      <c r="DY494" s="2" t="n">
        <v>96.5</v>
      </c>
      <c r="DZ494" s="2" t="n">
        <v>98.79000000000001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03/11/2028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10.21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25.79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52.44</v>
      </c>
      <c r="DF495" s="2" t="n">
        <v>0</v>
      </c>
      <c r="DG495" s="2" t="n">
        <v>58.73</v>
      </c>
      <c r="DH495" s="2" t="n">
        <v>61.94</v>
      </c>
      <c r="DI495" s="2" t="n">
        <v>0</v>
      </c>
      <c r="DJ495" s="2" t="n">
        <v>68.36</v>
      </c>
      <c r="DK495" s="2" t="n">
        <v>69.52</v>
      </c>
      <c r="DL495" s="2" t="n">
        <v>0</v>
      </c>
      <c r="DM495" s="2" t="n">
        <v>76.16</v>
      </c>
      <c r="DN495" s="2" t="n">
        <v>79.45999999999999</v>
      </c>
      <c r="DO495" s="2" t="n">
        <v>0</v>
      </c>
      <c r="DP495" s="2" t="n">
        <v>85.63</v>
      </c>
      <c r="DQ495" s="2" t="n">
        <v>87.02</v>
      </c>
      <c r="DR495" s="2" t="n">
        <v>0</v>
      </c>
      <c r="DS495" s="2" t="n">
        <v>90.31999999999999</v>
      </c>
      <c r="DT495" s="2" t="n">
        <v>90.63</v>
      </c>
      <c r="DU495" s="2" t="n">
        <v>0</v>
      </c>
      <c r="DV495" s="2" t="n">
        <v>91.27</v>
      </c>
      <c r="DW495" s="2" t="n">
        <v>91.44</v>
      </c>
      <c r="DX495" s="2" t="n">
        <v>0</v>
      </c>
      <c r="DY495" s="2" t="n">
        <v>96.5</v>
      </c>
      <c r="DZ495" s="2" t="n">
        <v>98.79000000000001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03/11/2028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10.21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25.79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52.44</v>
      </c>
      <c r="DF496" s="2" t="n">
        <v>0</v>
      </c>
      <c r="DG496" s="2" t="n">
        <v>58.73</v>
      </c>
      <c r="DH496" s="2" t="n">
        <v>61.94</v>
      </c>
      <c r="DI496" s="2" t="n">
        <v>0</v>
      </c>
      <c r="DJ496" s="2" t="n">
        <v>68.36</v>
      </c>
      <c r="DK496" s="2" t="n">
        <v>69.52</v>
      </c>
      <c r="DL496" s="2" t="n">
        <v>0</v>
      </c>
      <c r="DM496" s="2" t="n">
        <v>76.16</v>
      </c>
      <c r="DN496" s="2" t="n">
        <v>79.45999999999999</v>
      </c>
      <c r="DO496" s="2" t="n">
        <v>0</v>
      </c>
      <c r="DP496" s="2" t="n">
        <v>85.63</v>
      </c>
      <c r="DQ496" s="2" t="n">
        <v>87.02</v>
      </c>
      <c r="DR496" s="2" t="n">
        <v>0</v>
      </c>
      <c r="DS496" s="2" t="n">
        <v>90.31999999999999</v>
      </c>
      <c r="DT496" s="2" t="n">
        <v>90.63</v>
      </c>
      <c r="DU496" s="2" t="n">
        <v>0</v>
      </c>
      <c r="DV496" s="2" t="n">
        <v>91.27</v>
      </c>
      <c r="DW496" s="2" t="n">
        <v>91.44</v>
      </c>
      <c r="DX496" s="2" t="n">
        <v>0</v>
      </c>
      <c r="DY496" s="2" t="n">
        <v>96.5</v>
      </c>
      <c r="DZ496" s="2" t="n">
        <v>98.79000000000001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03/11/2028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10.21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25.79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52.44</v>
      </c>
      <c r="DF497" s="2" t="n">
        <v>0</v>
      </c>
      <c r="DG497" s="2" t="n">
        <v>58.73</v>
      </c>
      <c r="DH497" s="2" t="n">
        <v>61.94</v>
      </c>
      <c r="DI497" s="2" t="n">
        <v>0</v>
      </c>
      <c r="DJ497" s="2" t="n">
        <v>68.36</v>
      </c>
      <c r="DK497" s="2" t="n">
        <v>69.52</v>
      </c>
      <c r="DL497" s="2" t="n">
        <v>0</v>
      </c>
      <c r="DM497" s="2" t="n">
        <v>76.16</v>
      </c>
      <c r="DN497" s="2" t="n">
        <v>79.45999999999999</v>
      </c>
      <c r="DO497" s="2" t="n">
        <v>0</v>
      </c>
      <c r="DP497" s="2" t="n">
        <v>85.63</v>
      </c>
      <c r="DQ497" s="2" t="n">
        <v>87.02</v>
      </c>
      <c r="DR497" s="2" t="n">
        <v>0</v>
      </c>
      <c r="DS497" s="2" t="n">
        <v>90.31999999999999</v>
      </c>
      <c r="DT497" s="2" t="n">
        <v>90.63</v>
      </c>
      <c r="DU497" s="2" t="n">
        <v>0</v>
      </c>
      <c r="DV497" s="2" t="n">
        <v>91.27</v>
      </c>
      <c r="DW497" s="2" t="n">
        <v>91.44</v>
      </c>
      <c r="DX497" s="2" t="n">
        <v>0</v>
      </c>
      <c r="DY497" s="2" t="n">
        <v>96.5</v>
      </c>
      <c r="DZ497" s="2" t="n">
        <v>98.79000000000001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03/11/2028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10.21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25.79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52.44</v>
      </c>
      <c r="DF498" s="2" t="n">
        <v>0</v>
      </c>
      <c r="DG498" s="2" t="n">
        <v>58.73</v>
      </c>
      <c r="DH498" s="2" t="n">
        <v>61.94</v>
      </c>
      <c r="DI498" s="2" t="n">
        <v>0</v>
      </c>
      <c r="DJ498" s="2" t="n">
        <v>68.36</v>
      </c>
      <c r="DK498" s="2" t="n">
        <v>69.52</v>
      </c>
      <c r="DL498" s="2" t="n">
        <v>0</v>
      </c>
      <c r="DM498" s="2" t="n">
        <v>76.16</v>
      </c>
      <c r="DN498" s="2" t="n">
        <v>79.45999999999999</v>
      </c>
      <c r="DO498" s="2" t="n">
        <v>0</v>
      </c>
      <c r="DP498" s="2" t="n">
        <v>85.63</v>
      </c>
      <c r="DQ498" s="2" t="n">
        <v>87.02</v>
      </c>
      <c r="DR498" s="2" t="n">
        <v>0</v>
      </c>
      <c r="DS498" s="2" t="n">
        <v>90.31999999999999</v>
      </c>
      <c r="DT498" s="2" t="n">
        <v>90.63</v>
      </c>
      <c r="DU498" s="2" t="n">
        <v>0</v>
      </c>
      <c r="DV498" s="2" t="n">
        <v>91.27</v>
      </c>
      <c r="DW498" s="2" t="n">
        <v>91.44</v>
      </c>
      <c r="DX498" s="2" t="n">
        <v>0</v>
      </c>
      <c r="DY498" s="2" t="n">
        <v>96.5</v>
      </c>
      <c r="DZ498" s="2" t="n">
        <v>98.79000000000001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03/11/2028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10.21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25.79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52.44</v>
      </c>
      <c r="DF499" s="2" t="n">
        <v>0</v>
      </c>
      <c r="DG499" s="2" t="n">
        <v>58.73</v>
      </c>
      <c r="DH499" s="2" t="n">
        <v>61.94</v>
      </c>
      <c r="DI499" s="2" t="n">
        <v>0</v>
      </c>
      <c r="DJ499" s="2" t="n">
        <v>68.36</v>
      </c>
      <c r="DK499" s="2" t="n">
        <v>69.52</v>
      </c>
      <c r="DL499" s="2" t="n">
        <v>0</v>
      </c>
      <c r="DM499" s="2" t="n">
        <v>76.16</v>
      </c>
      <c r="DN499" s="2" t="n">
        <v>79.45999999999999</v>
      </c>
      <c r="DO499" s="2" t="n">
        <v>0</v>
      </c>
      <c r="DP499" s="2" t="n">
        <v>85.63</v>
      </c>
      <c r="DQ499" s="2" t="n">
        <v>87.02</v>
      </c>
      <c r="DR499" s="2" t="n">
        <v>0</v>
      </c>
      <c r="DS499" s="2" t="n">
        <v>90.31999999999999</v>
      </c>
      <c r="DT499" s="2" t="n">
        <v>90.63</v>
      </c>
      <c r="DU499" s="2" t="n">
        <v>0</v>
      </c>
      <c r="DV499" s="2" t="n">
        <v>91.27</v>
      </c>
      <c r="DW499" s="2" t="n">
        <v>91.44</v>
      </c>
      <c r="DX499" s="2" t="n">
        <v>0</v>
      </c>
      <c r="DY499" s="2" t="n">
        <v>96.5</v>
      </c>
      <c r="DZ499" s="2" t="n">
        <v>98.79000000000001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04/02/2027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0</v>
      </c>
      <c r="BP500" s="2" t="n">
        <v>0</v>
      </c>
      <c r="BQ500" s="2" t="n">
        <v>14.11</v>
      </c>
      <c r="BR500" s="2" t="n">
        <v>12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31.48</v>
      </c>
      <c r="CH500" s="2" t="n">
        <v>0</v>
      </c>
      <c r="CI500" s="2" t="n">
        <v>36.14</v>
      </c>
      <c r="CJ500" s="2" t="n">
        <v>37.43</v>
      </c>
      <c r="CK500" s="2" t="n">
        <v>0</v>
      </c>
      <c r="CL500" s="2" t="n">
        <v>41.93</v>
      </c>
      <c r="CM500" s="2" t="n">
        <v>43.08</v>
      </c>
      <c r="CN500" s="2" t="n">
        <v>0</v>
      </c>
      <c r="CO500" s="2" t="n">
        <v>49.96</v>
      </c>
      <c r="CP500" s="2" t="n">
        <v>50.49</v>
      </c>
      <c r="CQ500" s="2" t="n">
        <v>0</v>
      </c>
      <c r="CR500" s="2" t="n">
        <v>58.49</v>
      </c>
      <c r="CS500" s="2" t="n">
        <v>59.11</v>
      </c>
      <c r="CT500" s="2" t="n">
        <v>0</v>
      </c>
      <c r="CU500" s="2" t="n">
        <v>63.5</v>
      </c>
      <c r="CV500" s="2" t="n">
        <v>64.81999999999999</v>
      </c>
      <c r="CW500" s="2" t="n">
        <v>0</v>
      </c>
      <c r="CX500" s="2" t="n">
        <v>69.34</v>
      </c>
      <c r="CY500" s="2" t="n">
        <v>70.78</v>
      </c>
      <c r="CZ500" s="2" t="n">
        <v>0</v>
      </c>
      <c r="DA500" s="2" t="n">
        <v>75.28</v>
      </c>
      <c r="DB500" s="2" t="n">
        <v>76.48999999999999</v>
      </c>
      <c r="DC500" s="2" t="n">
        <v>0</v>
      </c>
      <c r="DD500" s="2" t="n">
        <v>79.36</v>
      </c>
      <c r="DE500" s="2" t="n">
        <v>79.78</v>
      </c>
      <c r="DF500" s="2" t="n">
        <v>0</v>
      </c>
      <c r="DG500" s="2" t="n">
        <v>80.98999999999999</v>
      </c>
      <c r="DH500" s="2" t="n">
        <v>83.91</v>
      </c>
      <c r="DI500" s="2" t="n">
        <v>0</v>
      </c>
      <c r="DJ500" s="2" t="n">
        <v>89.03</v>
      </c>
      <c r="DK500" s="2" t="n">
        <v>91.86</v>
      </c>
      <c r="DL500" s="2" t="n">
        <v>0</v>
      </c>
      <c r="DM500" s="2" t="n">
        <v>92.79000000000001</v>
      </c>
      <c r="DN500" s="2" t="n">
        <v>94.41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04/02/2027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0</v>
      </c>
      <c r="BP501" s="2" t="n">
        <v>0</v>
      </c>
      <c r="BQ501" s="2" t="n">
        <v>10</v>
      </c>
      <c r="BR501" s="2" t="n">
        <v>8.5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23.94</v>
      </c>
      <c r="CH501" s="2" t="n">
        <v>0</v>
      </c>
      <c r="CI501" s="2" t="n">
        <v>27.56</v>
      </c>
      <c r="CJ501" s="2" t="n">
        <v>28.55</v>
      </c>
      <c r="CK501" s="2" t="n">
        <v>0</v>
      </c>
      <c r="CL501" s="2" t="n">
        <v>32.39</v>
      </c>
      <c r="CM501" s="2" t="n">
        <v>32.93</v>
      </c>
      <c r="CN501" s="2" t="n">
        <v>0</v>
      </c>
      <c r="CO501" s="2" t="n">
        <v>40.99</v>
      </c>
      <c r="CP501" s="2" t="n">
        <v>40.59</v>
      </c>
      <c r="CQ501" s="2" t="n">
        <v>0</v>
      </c>
      <c r="CR501" s="2" t="n">
        <v>50.41</v>
      </c>
      <c r="CS501" s="2" t="n">
        <v>50.1</v>
      </c>
      <c r="CT501" s="2" t="n">
        <v>0</v>
      </c>
      <c r="CU501" s="2" t="n">
        <v>54.59</v>
      </c>
      <c r="CV501" s="2" t="n">
        <v>55.61</v>
      </c>
      <c r="CW501" s="2" t="n">
        <v>0</v>
      </c>
      <c r="CX501" s="2" t="n">
        <v>59.16</v>
      </c>
      <c r="CY501" s="2" t="n">
        <v>60.3</v>
      </c>
      <c r="CZ501" s="2" t="n">
        <v>0</v>
      </c>
      <c r="DA501" s="2" t="n">
        <v>63.84</v>
      </c>
      <c r="DB501" s="2" t="n">
        <v>64.73999999999999</v>
      </c>
      <c r="DC501" s="2" t="n">
        <v>0</v>
      </c>
      <c r="DD501" s="2" t="n">
        <v>66.91</v>
      </c>
      <c r="DE501" s="2" t="n">
        <v>67.48</v>
      </c>
      <c r="DF501" s="2" t="n">
        <v>0</v>
      </c>
      <c r="DG501" s="2" t="n">
        <v>69.17</v>
      </c>
      <c r="DH501" s="2" t="n">
        <v>77.92</v>
      </c>
      <c r="DI501" s="2" t="n">
        <v>0</v>
      </c>
      <c r="DJ501" s="2" t="n">
        <v>87.2</v>
      </c>
      <c r="DK501" s="2" t="n">
        <v>95.34999999999999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05/10/2027</t>
        </is>
      </c>
      <c r="E502" s="2" t="inlineStr">
        <is>
          <t>09/12/2027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0</v>
      </c>
      <c r="CN502" s="2" t="n">
        <v>0</v>
      </c>
      <c r="CO502" s="2" t="n">
        <v>54.55</v>
      </c>
      <c r="CP502" s="2" t="n">
        <v>40.91</v>
      </c>
      <c r="CQ502" s="2" t="n">
        <v>0</v>
      </c>
      <c r="CR502" s="2" t="n">
        <v>100</v>
      </c>
      <c r="CS502" s="2" t="n">
        <v>86.36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02/06/2028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89.37</v>
      </c>
      <c r="DC505" s="2" t="n">
        <v>0</v>
      </c>
      <c r="DD505" s="2" t="n">
        <v>93.87</v>
      </c>
      <c r="DE505" s="2" t="n">
        <v>94.11</v>
      </c>
      <c r="DF505" s="2" t="n">
        <v>0</v>
      </c>
      <c r="DG505" s="2" t="n">
        <v>94.38</v>
      </c>
      <c r="DH505" s="2" t="n">
        <v>94.48</v>
      </c>
      <c r="DI505" s="2" t="n">
        <v>0</v>
      </c>
      <c r="DJ505" s="2" t="n">
        <v>99.53</v>
      </c>
      <c r="DK505" s="2" t="n">
        <v>99.81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21/06/2028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22.6</v>
      </c>
      <c r="CH506" s="2" t="n">
        <v>0</v>
      </c>
      <c r="CI506" s="2" t="n">
        <v>28.38</v>
      </c>
      <c r="CJ506" s="2" t="n">
        <v>29.45</v>
      </c>
      <c r="CK506" s="2" t="n">
        <v>0</v>
      </c>
      <c r="CL506" s="2" t="n">
        <v>34.68</v>
      </c>
      <c r="CM506" s="2" t="n">
        <v>35.86</v>
      </c>
      <c r="CN506" s="2" t="n">
        <v>0</v>
      </c>
      <c r="CO506" s="2" t="n">
        <v>49.84</v>
      </c>
      <c r="CP506" s="2" t="n">
        <v>51.08</v>
      </c>
      <c r="CQ506" s="2" t="n">
        <v>0</v>
      </c>
      <c r="CR506" s="2" t="n">
        <v>60.17</v>
      </c>
      <c r="CS506" s="2" t="n">
        <v>62.12</v>
      </c>
      <c r="CT506" s="2" t="n">
        <v>0</v>
      </c>
      <c r="CU506" s="2" t="n">
        <v>66.83</v>
      </c>
      <c r="CV506" s="2" t="n">
        <v>68.16</v>
      </c>
      <c r="CW506" s="2" t="n">
        <v>0</v>
      </c>
      <c r="CX506" s="2" t="n">
        <v>74.64</v>
      </c>
      <c r="CY506" s="2" t="n">
        <v>76.92</v>
      </c>
      <c r="CZ506" s="2" t="n">
        <v>0</v>
      </c>
      <c r="DA506" s="2" t="n">
        <v>83.3</v>
      </c>
      <c r="DB506" s="2" t="n">
        <v>83.73999999999999</v>
      </c>
      <c r="DC506" s="2" t="n">
        <v>0</v>
      </c>
      <c r="DD506" s="2" t="n">
        <v>86.91</v>
      </c>
      <c r="DE506" s="2" t="n">
        <v>88.03</v>
      </c>
      <c r="DF506" s="2" t="n">
        <v>0</v>
      </c>
      <c r="DG506" s="2" t="n">
        <v>93.17</v>
      </c>
      <c r="DH506" s="2" t="n">
        <v>93.7</v>
      </c>
      <c r="DI506" s="2" t="n">
        <v>0</v>
      </c>
      <c r="DJ506" s="2" t="n">
        <v>94.65000000000001</v>
      </c>
      <c r="DK506" s="2" t="n">
        <v>95.59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02/06/2028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89.37</v>
      </c>
      <c r="DC507" s="2" t="n">
        <v>0</v>
      </c>
      <c r="DD507" s="2" t="n">
        <v>93.87</v>
      </c>
      <c r="DE507" s="2" t="n">
        <v>94.11</v>
      </c>
      <c r="DF507" s="2" t="n">
        <v>0</v>
      </c>
      <c r="DG507" s="2" t="n">
        <v>94.38</v>
      </c>
      <c r="DH507" s="2" t="n">
        <v>94.48</v>
      </c>
      <c r="DI507" s="2" t="n">
        <v>0</v>
      </c>
      <c r="DJ507" s="2" t="n">
        <v>99.53</v>
      </c>
      <c r="DK507" s="2" t="n">
        <v>99.81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02/06/2028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89.37</v>
      </c>
      <c r="DC508" s="2" t="n">
        <v>0</v>
      </c>
      <c r="DD508" s="2" t="n">
        <v>93.87</v>
      </c>
      <c r="DE508" s="2" t="n">
        <v>94.11</v>
      </c>
      <c r="DF508" s="2" t="n">
        <v>0</v>
      </c>
      <c r="DG508" s="2" t="n">
        <v>94.38</v>
      </c>
      <c r="DH508" s="2" t="n">
        <v>94.48</v>
      </c>
      <c r="DI508" s="2" t="n">
        <v>0</v>
      </c>
      <c r="DJ508" s="2" t="n">
        <v>99.53</v>
      </c>
      <c r="DK508" s="2" t="n">
        <v>99.81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04/02/2027</t>
        </is>
      </c>
      <c r="E509" s="2" t="inlineStr">
        <is>
          <t>03/03/2027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0</v>
      </c>
      <c r="BP509" s="2" t="n">
        <v>0</v>
      </c>
      <c r="BQ509" s="2" t="n">
        <v>100</v>
      </c>
      <c r="BR509" s="2" t="n">
        <v>85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28/10/2027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3.03</v>
      </c>
      <c r="CQ510" s="2" t="n">
        <v>0</v>
      </c>
      <c r="CR510" s="2" t="n">
        <v>42.42</v>
      </c>
      <c r="CS510" s="2" t="n">
        <v>33.33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</v>
      </c>
      <c r="CH511" s="2" t="n">
        <v>0</v>
      </c>
      <c r="CI511" s="2" t="n">
        <v>28.73</v>
      </c>
      <c r="CJ511" s="2" t="n">
        <v>30.34</v>
      </c>
      <c r="CK511" s="2" t="n">
        <v>0</v>
      </c>
      <c r="CL511" s="2" t="n">
        <v>35.88</v>
      </c>
      <c r="CM511" s="2" t="n">
        <v>37.52</v>
      </c>
      <c r="CN511" s="2" t="n">
        <v>0</v>
      </c>
      <c r="CO511" s="2" t="n">
        <v>46.44</v>
      </c>
      <c r="CP511" s="2" t="n">
        <v>46.72</v>
      </c>
      <c r="CQ511" s="2" t="n">
        <v>0</v>
      </c>
      <c r="CR511" s="2" t="n">
        <v>58.71</v>
      </c>
      <c r="CS511" s="2" t="n">
        <v>59.14</v>
      </c>
      <c r="CT511" s="2" t="n">
        <v>0</v>
      </c>
      <c r="CU511" s="2" t="n">
        <v>65.68000000000001</v>
      </c>
      <c r="CV511" s="2" t="n">
        <v>67.34999999999999</v>
      </c>
      <c r="CW511" s="2" t="n">
        <v>0</v>
      </c>
      <c r="CX511" s="2" t="n">
        <v>73.15000000000001</v>
      </c>
      <c r="CY511" s="2" t="n">
        <v>75.02</v>
      </c>
      <c r="CZ511" s="2" t="n">
        <v>0</v>
      </c>
      <c r="DA511" s="2" t="n">
        <v>80.8</v>
      </c>
      <c r="DB511" s="2" t="n">
        <v>82.28</v>
      </c>
      <c r="DC511" s="2" t="n">
        <v>0</v>
      </c>
      <c r="DD511" s="2" t="n">
        <v>85.83</v>
      </c>
      <c r="DE511" s="2" t="n">
        <v>86.22</v>
      </c>
      <c r="DF511" s="2" t="n">
        <v>0</v>
      </c>
      <c r="DG511" s="2" t="n">
        <v>87.47</v>
      </c>
      <c r="DH511" s="2" t="n">
        <v>87.65000000000001</v>
      </c>
      <c r="DI511" s="2" t="n">
        <v>0</v>
      </c>
      <c r="DJ511" s="2" t="n">
        <v>91.06999999999999</v>
      </c>
      <c r="DK511" s="2" t="n">
        <v>91.45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02/06/2028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89.37</v>
      </c>
      <c r="DC512" s="2" t="n">
        <v>0</v>
      </c>
      <c r="DD512" s="2" t="n">
        <v>93.87</v>
      </c>
      <c r="DE512" s="2" t="n">
        <v>94.11</v>
      </c>
      <c r="DF512" s="2" t="n">
        <v>0</v>
      </c>
      <c r="DG512" s="2" t="n">
        <v>94.38</v>
      </c>
      <c r="DH512" s="2" t="n">
        <v>94.48</v>
      </c>
      <c r="DI512" s="2" t="n">
        <v>0</v>
      </c>
      <c r="DJ512" s="2" t="n">
        <v>99.53</v>
      </c>
      <c r="DK512" s="2" t="n">
        <v>99.81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21/06/2028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22.6</v>
      </c>
      <c r="CH513" s="2" t="n">
        <v>0</v>
      </c>
      <c r="CI513" s="2" t="n">
        <v>28.38</v>
      </c>
      <c r="CJ513" s="2" t="n">
        <v>29.45</v>
      </c>
      <c r="CK513" s="2" t="n">
        <v>0</v>
      </c>
      <c r="CL513" s="2" t="n">
        <v>34.68</v>
      </c>
      <c r="CM513" s="2" t="n">
        <v>35.86</v>
      </c>
      <c r="CN513" s="2" t="n">
        <v>0</v>
      </c>
      <c r="CO513" s="2" t="n">
        <v>49.84</v>
      </c>
      <c r="CP513" s="2" t="n">
        <v>51.08</v>
      </c>
      <c r="CQ513" s="2" t="n">
        <v>0</v>
      </c>
      <c r="CR513" s="2" t="n">
        <v>60.17</v>
      </c>
      <c r="CS513" s="2" t="n">
        <v>62.12</v>
      </c>
      <c r="CT513" s="2" t="n">
        <v>0</v>
      </c>
      <c r="CU513" s="2" t="n">
        <v>66.83</v>
      </c>
      <c r="CV513" s="2" t="n">
        <v>68.16</v>
      </c>
      <c r="CW513" s="2" t="n">
        <v>0</v>
      </c>
      <c r="CX513" s="2" t="n">
        <v>74.64</v>
      </c>
      <c r="CY513" s="2" t="n">
        <v>76.92</v>
      </c>
      <c r="CZ513" s="2" t="n">
        <v>0</v>
      </c>
      <c r="DA513" s="2" t="n">
        <v>83.3</v>
      </c>
      <c r="DB513" s="2" t="n">
        <v>83.73999999999999</v>
      </c>
      <c r="DC513" s="2" t="n">
        <v>0</v>
      </c>
      <c r="DD513" s="2" t="n">
        <v>86.91</v>
      </c>
      <c r="DE513" s="2" t="n">
        <v>88.03</v>
      </c>
      <c r="DF513" s="2" t="n">
        <v>0</v>
      </c>
      <c r="DG513" s="2" t="n">
        <v>93.17</v>
      </c>
      <c r="DH513" s="2" t="n">
        <v>93.7</v>
      </c>
      <c r="DI513" s="2" t="n">
        <v>0</v>
      </c>
      <c r="DJ513" s="2" t="n">
        <v>94.65000000000001</v>
      </c>
      <c r="DK513" s="2" t="n">
        <v>95.59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02/06/2028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89.37</v>
      </c>
      <c r="DC514" s="2" t="n">
        <v>0</v>
      </c>
      <c r="DD514" s="2" t="n">
        <v>93.87</v>
      </c>
      <c r="DE514" s="2" t="n">
        <v>94.11</v>
      </c>
      <c r="DF514" s="2" t="n">
        <v>0</v>
      </c>
      <c r="DG514" s="2" t="n">
        <v>94.38</v>
      </c>
      <c r="DH514" s="2" t="n">
        <v>94.48</v>
      </c>
      <c r="DI514" s="2" t="n">
        <v>0</v>
      </c>
      <c r="DJ514" s="2" t="n">
        <v>99.53</v>
      </c>
      <c r="DK514" s="2" t="n">
        <v>99.81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02/06/2028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89.37</v>
      </c>
      <c r="DC515" s="2" t="n">
        <v>0</v>
      </c>
      <c r="DD515" s="2" t="n">
        <v>93.87</v>
      </c>
      <c r="DE515" s="2" t="n">
        <v>94.11</v>
      </c>
      <c r="DF515" s="2" t="n">
        <v>0</v>
      </c>
      <c r="DG515" s="2" t="n">
        <v>94.38</v>
      </c>
      <c r="DH515" s="2" t="n">
        <v>94.48</v>
      </c>
      <c r="DI515" s="2" t="n">
        <v>0</v>
      </c>
      <c r="DJ515" s="2" t="n">
        <v>99.53</v>
      </c>
      <c r="DK515" s="2" t="n">
        <v>99.81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28/10/2027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3.03</v>
      </c>
      <c r="CQ516" s="2" t="n">
        <v>0</v>
      </c>
      <c r="CR516" s="2" t="n">
        <v>42.42</v>
      </c>
      <c r="CS516" s="2" t="n">
        <v>33.33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04/02/2027</t>
        </is>
      </c>
      <c r="E517" s="2" t="inlineStr">
        <is>
          <t>21/06/2028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0</v>
      </c>
      <c r="BP517" s="2" t="n">
        <v>0</v>
      </c>
      <c r="BQ517" s="2" t="n">
        <v>50</v>
      </c>
      <c r="BR517" s="2" t="n">
        <v>42.5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62.81</v>
      </c>
      <c r="CH517" s="2" t="n">
        <v>0</v>
      </c>
      <c r="CI517" s="2" t="n">
        <v>66.13</v>
      </c>
      <c r="CJ517" s="2" t="n">
        <v>66.97</v>
      </c>
      <c r="CK517" s="2" t="n">
        <v>0</v>
      </c>
      <c r="CL517" s="2" t="n">
        <v>70.04000000000001</v>
      </c>
      <c r="CM517" s="2" t="n">
        <v>70.90000000000001</v>
      </c>
      <c r="CN517" s="2" t="n">
        <v>0</v>
      </c>
      <c r="CO517" s="2" t="n">
        <v>75.87</v>
      </c>
      <c r="CP517" s="2" t="n">
        <v>76.73999999999999</v>
      </c>
      <c r="CQ517" s="2" t="n">
        <v>0</v>
      </c>
      <c r="CR517" s="2" t="n">
        <v>80.59</v>
      </c>
      <c r="CS517" s="2" t="n">
        <v>81.62</v>
      </c>
      <c r="CT517" s="2" t="n">
        <v>0</v>
      </c>
      <c r="CU517" s="2" t="n">
        <v>84</v>
      </c>
      <c r="CV517" s="2" t="n">
        <v>84.89</v>
      </c>
      <c r="CW517" s="2" t="n">
        <v>0</v>
      </c>
      <c r="CX517" s="2" t="n">
        <v>88.25</v>
      </c>
      <c r="CY517" s="2" t="n">
        <v>89.36</v>
      </c>
      <c r="CZ517" s="2" t="n">
        <v>0</v>
      </c>
      <c r="DA517" s="2" t="n">
        <v>92.7</v>
      </c>
      <c r="DB517" s="2" t="n">
        <v>93.39</v>
      </c>
      <c r="DC517" s="2" t="n">
        <v>0</v>
      </c>
      <c r="DD517" s="2" t="n">
        <v>95.33</v>
      </c>
      <c r="DE517" s="2" t="n">
        <v>95.66</v>
      </c>
      <c r="DF517" s="2" t="n">
        <v>0</v>
      </c>
      <c r="DG517" s="2" t="n">
        <v>96.91</v>
      </c>
      <c r="DH517" s="2" t="n">
        <v>97.06</v>
      </c>
      <c r="DI517" s="2" t="n">
        <v>0</v>
      </c>
      <c r="DJ517" s="2" t="n">
        <v>98.64</v>
      </c>
      <c r="DK517" s="2" t="n">
        <v>98.93000000000001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21/06/2028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22.6</v>
      </c>
      <c r="CH518" s="2" t="n">
        <v>0</v>
      </c>
      <c r="CI518" s="2" t="n">
        <v>28.38</v>
      </c>
      <c r="CJ518" s="2" t="n">
        <v>29.45</v>
      </c>
      <c r="CK518" s="2" t="n">
        <v>0</v>
      </c>
      <c r="CL518" s="2" t="n">
        <v>34.68</v>
      </c>
      <c r="CM518" s="2" t="n">
        <v>35.86</v>
      </c>
      <c r="CN518" s="2" t="n">
        <v>0</v>
      </c>
      <c r="CO518" s="2" t="n">
        <v>49.84</v>
      </c>
      <c r="CP518" s="2" t="n">
        <v>51.08</v>
      </c>
      <c r="CQ518" s="2" t="n">
        <v>0</v>
      </c>
      <c r="CR518" s="2" t="n">
        <v>60.17</v>
      </c>
      <c r="CS518" s="2" t="n">
        <v>62.12</v>
      </c>
      <c r="CT518" s="2" t="n">
        <v>0</v>
      </c>
      <c r="CU518" s="2" t="n">
        <v>66.83</v>
      </c>
      <c r="CV518" s="2" t="n">
        <v>68.16</v>
      </c>
      <c r="CW518" s="2" t="n">
        <v>0</v>
      </c>
      <c r="CX518" s="2" t="n">
        <v>74.64</v>
      </c>
      <c r="CY518" s="2" t="n">
        <v>76.92</v>
      </c>
      <c r="CZ518" s="2" t="n">
        <v>0</v>
      </c>
      <c r="DA518" s="2" t="n">
        <v>83.3</v>
      </c>
      <c r="DB518" s="2" t="n">
        <v>83.73999999999999</v>
      </c>
      <c r="DC518" s="2" t="n">
        <v>0</v>
      </c>
      <c r="DD518" s="2" t="n">
        <v>86.91</v>
      </c>
      <c r="DE518" s="2" t="n">
        <v>88.03</v>
      </c>
      <c r="DF518" s="2" t="n">
        <v>0</v>
      </c>
      <c r="DG518" s="2" t="n">
        <v>93.17</v>
      </c>
      <c r="DH518" s="2" t="n">
        <v>93.7</v>
      </c>
      <c r="DI518" s="2" t="n">
        <v>0</v>
      </c>
      <c r="DJ518" s="2" t="n">
        <v>94.65000000000001</v>
      </c>
      <c r="DK518" s="2" t="n">
        <v>95.59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02/06/2028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89.37</v>
      </c>
      <c r="DC519" s="2" t="n">
        <v>0</v>
      </c>
      <c r="DD519" s="2" t="n">
        <v>93.87</v>
      </c>
      <c r="DE519" s="2" t="n">
        <v>94.11</v>
      </c>
      <c r="DF519" s="2" t="n">
        <v>0</v>
      </c>
      <c r="DG519" s="2" t="n">
        <v>94.38</v>
      </c>
      <c r="DH519" s="2" t="n">
        <v>94.48</v>
      </c>
      <c r="DI519" s="2" t="n">
        <v>0</v>
      </c>
      <c r="DJ519" s="2" t="n">
        <v>99.53</v>
      </c>
      <c r="DK519" s="2" t="n">
        <v>99.81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04/02/2027</t>
        </is>
      </c>
      <c r="E520" s="2" t="inlineStr">
        <is>
          <t>03/03/2027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0</v>
      </c>
      <c r="BP520" s="2" t="n">
        <v>0</v>
      </c>
      <c r="BQ520" s="2" t="n">
        <v>100</v>
      </c>
      <c r="BR520" s="2" t="n">
        <v>85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04/02/2027</t>
        </is>
      </c>
      <c r="E521" s="2" t="inlineStr">
        <is>
          <t>03/03/2027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0</v>
      </c>
      <c r="BP521" s="2" t="n">
        <v>0</v>
      </c>
      <c r="BQ521" s="2" t="n">
        <v>100</v>
      </c>
      <c r="BR521" s="2" t="n">
        <v>85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02/06/2028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89.37</v>
      </c>
      <c r="DC522" s="2" t="n">
        <v>0</v>
      </c>
      <c r="DD522" s="2" t="n">
        <v>93.87</v>
      </c>
      <c r="DE522" s="2" t="n">
        <v>94.11</v>
      </c>
      <c r="DF522" s="2" t="n">
        <v>0</v>
      </c>
      <c r="DG522" s="2" t="n">
        <v>94.38</v>
      </c>
      <c r="DH522" s="2" t="n">
        <v>94.48</v>
      </c>
      <c r="DI522" s="2" t="n">
        <v>0</v>
      </c>
      <c r="DJ522" s="2" t="n">
        <v>99.53</v>
      </c>
      <c r="DK522" s="2" t="n">
        <v>99.81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02/06/2028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89.37</v>
      </c>
      <c r="DC523" s="2" t="n">
        <v>0</v>
      </c>
      <c r="DD523" s="2" t="n">
        <v>93.87</v>
      </c>
      <c r="DE523" s="2" t="n">
        <v>94.11</v>
      </c>
      <c r="DF523" s="2" t="n">
        <v>0</v>
      </c>
      <c r="DG523" s="2" t="n">
        <v>94.38</v>
      </c>
      <c r="DH523" s="2" t="n">
        <v>94.48</v>
      </c>
      <c r="DI523" s="2" t="n">
        <v>0</v>
      </c>
      <c r="DJ523" s="2" t="n">
        <v>99.53</v>
      </c>
      <c r="DK523" s="2" t="n">
        <v>99.81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02/06/2028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89.37</v>
      </c>
      <c r="DC524" s="2" t="n">
        <v>0</v>
      </c>
      <c r="DD524" s="2" t="n">
        <v>93.87</v>
      </c>
      <c r="DE524" s="2" t="n">
        <v>94.11</v>
      </c>
      <c r="DF524" s="2" t="n">
        <v>0</v>
      </c>
      <c r="DG524" s="2" t="n">
        <v>94.38</v>
      </c>
      <c r="DH524" s="2" t="n">
        <v>94.48</v>
      </c>
      <c r="DI524" s="2" t="n">
        <v>0</v>
      </c>
      <c r="DJ524" s="2" t="n">
        <v>99.53</v>
      </c>
      <c r="DK524" s="2" t="n">
        <v>99.81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02/06/2028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89.37</v>
      </c>
      <c r="DC525" s="2" t="n">
        <v>0</v>
      </c>
      <c r="DD525" s="2" t="n">
        <v>93.87</v>
      </c>
      <c r="DE525" s="2" t="n">
        <v>94.11</v>
      </c>
      <c r="DF525" s="2" t="n">
        <v>0</v>
      </c>
      <c r="DG525" s="2" t="n">
        <v>94.38</v>
      </c>
      <c r="DH525" s="2" t="n">
        <v>94.48</v>
      </c>
      <c r="DI525" s="2" t="n">
        <v>0</v>
      </c>
      <c r="DJ525" s="2" t="n">
        <v>99.53</v>
      </c>
      <c r="DK525" s="2" t="n">
        <v>99.81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04/02/2027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0</v>
      </c>
      <c r="BP526" s="2" t="n">
        <v>0</v>
      </c>
      <c r="BQ526" s="2" t="n">
        <v>19.62</v>
      </c>
      <c r="BR526" s="2" t="n">
        <v>16.67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66.59</v>
      </c>
      <c r="DF526" s="2" t="n">
        <v>0</v>
      </c>
      <c r="DG526" s="2" t="n">
        <v>67.45999999999999</v>
      </c>
      <c r="DH526" s="2" t="n">
        <v>67.84999999999999</v>
      </c>
      <c r="DI526" s="2" t="n">
        <v>0</v>
      </c>
      <c r="DJ526" s="2" t="n">
        <v>70.73999999999999</v>
      </c>
      <c r="DK526" s="2" t="n">
        <v>71.15000000000001</v>
      </c>
      <c r="DL526" s="2" t="n">
        <v>0</v>
      </c>
      <c r="DM526" s="2" t="n">
        <v>72.98</v>
      </c>
      <c r="DN526" s="2" t="n">
        <v>77.16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91.34999999999999</v>
      </c>
      <c r="DF527" s="2" t="n">
        <v>0</v>
      </c>
      <c r="DG527" s="2" t="n">
        <v>92.59</v>
      </c>
      <c r="DH527" s="2" t="n">
        <v>93.12</v>
      </c>
      <c r="DI527" s="2" t="n">
        <v>0</v>
      </c>
      <c r="DJ527" s="2" t="n">
        <v>98.23</v>
      </c>
      <c r="DK527" s="2" t="n">
        <v>98.81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82.04000000000001</v>
      </c>
      <c r="DF528" s="2" t="n">
        <v>0</v>
      </c>
      <c r="DG528" s="2" t="n">
        <v>85.34999999999999</v>
      </c>
      <c r="DH528" s="2" t="n">
        <v>86.95</v>
      </c>
      <c r="DI528" s="2" t="n">
        <v>0</v>
      </c>
      <c r="DJ528" s="2" t="n">
        <v>93.98</v>
      </c>
      <c r="DK528" s="2" t="n">
        <v>95.58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27/06/2028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20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04/02/2027</t>
        </is>
      </c>
      <c r="E530" s="2" t="inlineStr">
        <is>
          <t>03/03/2027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0</v>
      </c>
      <c r="BP530" s="2" t="n">
        <v>0</v>
      </c>
      <c r="BQ530" s="2" t="n">
        <v>100</v>
      </c>
      <c r="BR530" s="2" t="n">
        <v>85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26.32</v>
      </c>
      <c r="CH531" s="2" t="n">
        <v>0</v>
      </c>
      <c r="CI531" s="2" t="n">
        <v>32.74</v>
      </c>
      <c r="CJ531" s="2" t="n">
        <v>33.93</v>
      </c>
      <c r="CK531" s="2" t="n">
        <v>0</v>
      </c>
      <c r="CL531" s="2" t="n">
        <v>39.74</v>
      </c>
      <c r="CM531" s="2" t="n">
        <v>41.05</v>
      </c>
      <c r="CN531" s="2" t="n">
        <v>0</v>
      </c>
      <c r="CO531" s="2" t="n">
        <v>48.23</v>
      </c>
      <c r="CP531" s="2" t="n">
        <v>49.61</v>
      </c>
      <c r="CQ531" s="2" t="n">
        <v>0</v>
      </c>
      <c r="CR531" s="2" t="n">
        <v>56.92</v>
      </c>
      <c r="CS531" s="2" t="n">
        <v>57.84</v>
      </c>
      <c r="CT531" s="2" t="n">
        <v>0</v>
      </c>
      <c r="CU531" s="2" t="n">
        <v>63.7</v>
      </c>
      <c r="CV531" s="2" t="n">
        <v>65.18000000000001</v>
      </c>
      <c r="CW531" s="2" t="n">
        <v>0</v>
      </c>
      <c r="CX531" s="2" t="n">
        <v>70.70999999999999</v>
      </c>
      <c r="CY531" s="2" t="n">
        <v>72.53</v>
      </c>
      <c r="CZ531" s="2" t="n">
        <v>0</v>
      </c>
      <c r="DA531" s="2" t="n">
        <v>78</v>
      </c>
      <c r="DB531" s="2" t="n">
        <v>80.83</v>
      </c>
      <c r="DC531" s="2" t="n">
        <v>0</v>
      </c>
      <c r="DD531" s="2" t="n">
        <v>90.84999999999999</v>
      </c>
      <c r="DE531" s="2" t="n">
        <v>91.25</v>
      </c>
      <c r="DF531" s="2" t="n">
        <v>0</v>
      </c>
      <c r="DG531" s="2" t="n">
        <v>95.22</v>
      </c>
      <c r="DH531" s="2" t="n">
        <v>95.28</v>
      </c>
      <c r="DI531" s="2" t="n">
        <v>0</v>
      </c>
      <c r="DJ531" s="2" t="n">
        <v>95.84</v>
      </c>
      <c r="DK531" s="2" t="n">
        <v>96.23999999999999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98.65000000000001</v>
      </c>
      <c r="DU531" s="2" t="n">
        <v>0</v>
      </c>
      <c r="DV531" s="2" t="n">
        <v>98.84999999999999</v>
      </c>
      <c r="DW531" s="2" t="n">
        <v>98.92</v>
      </c>
      <c r="DX531" s="2" t="n">
        <v>0</v>
      </c>
      <c r="DY531" s="2" t="n">
        <v>99.14</v>
      </c>
      <c r="DZ531" s="2" t="n">
        <v>99.2</v>
      </c>
      <c r="EA531" s="2" t="n">
        <v>0</v>
      </c>
      <c r="EB531" s="2" t="n">
        <v>99.40000000000001</v>
      </c>
      <c r="EC531" s="2" t="n">
        <v>99.47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37.59</v>
      </c>
      <c r="CH532" s="2" t="n">
        <v>0</v>
      </c>
      <c r="CI532" s="2" t="n">
        <v>46.77</v>
      </c>
      <c r="CJ532" s="2" t="n">
        <v>48.47</v>
      </c>
      <c r="CK532" s="2" t="n">
        <v>0</v>
      </c>
      <c r="CL532" s="2" t="n">
        <v>56.77</v>
      </c>
      <c r="CM532" s="2" t="n">
        <v>58.64</v>
      </c>
      <c r="CN532" s="2" t="n">
        <v>0</v>
      </c>
      <c r="CO532" s="2" t="n">
        <v>65.69</v>
      </c>
      <c r="CP532" s="2" t="n">
        <v>67.66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37.59</v>
      </c>
      <c r="CH533" s="2" t="n">
        <v>0</v>
      </c>
      <c r="CI533" s="2" t="n">
        <v>46.77</v>
      </c>
      <c r="CJ533" s="2" t="n">
        <v>48.47</v>
      </c>
      <c r="CK533" s="2" t="n">
        <v>0</v>
      </c>
      <c r="CL533" s="2" t="n">
        <v>56.77</v>
      </c>
      <c r="CM533" s="2" t="n">
        <v>58.64</v>
      </c>
      <c r="CN533" s="2" t="n">
        <v>0</v>
      </c>
      <c r="CO533" s="2" t="n">
        <v>65.69</v>
      </c>
      <c r="CP533" s="2" t="n">
        <v>67.66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14/10/2027</t>
        </is>
      </c>
      <c r="E534" s="2" t="inlineStr">
        <is>
          <t>21/06/2028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8.33</v>
      </c>
      <c r="CQ534" s="2" t="n">
        <v>0</v>
      </c>
      <c r="CR534" s="2" t="n">
        <v>17.5</v>
      </c>
      <c r="CS534" s="2" t="n">
        <v>15.42</v>
      </c>
      <c r="CT534" s="2" t="n">
        <v>0</v>
      </c>
      <c r="CU534" s="2" t="n">
        <v>25</v>
      </c>
      <c r="CV534" s="2" t="n">
        <v>25</v>
      </c>
      <c r="CW534" s="2" t="n">
        <v>0</v>
      </c>
      <c r="CX534" s="2" t="n">
        <v>27.92</v>
      </c>
      <c r="CY534" s="2" t="n">
        <v>29.17</v>
      </c>
      <c r="CZ534" s="2" t="n">
        <v>0</v>
      </c>
      <c r="DA534" s="2" t="n">
        <v>40</v>
      </c>
      <c r="DB534" s="2" t="n">
        <v>50</v>
      </c>
      <c r="DC534" s="2" t="n">
        <v>0</v>
      </c>
      <c r="DD534" s="2" t="n">
        <v>86.25</v>
      </c>
      <c r="DE534" s="2" t="n">
        <v>87.5</v>
      </c>
      <c r="DF534" s="2" t="n">
        <v>0</v>
      </c>
      <c r="DG534" s="2" t="n">
        <v>91.67</v>
      </c>
      <c r="DH534" s="2" t="n">
        <v>91.67</v>
      </c>
      <c r="DI534" s="2" t="n">
        <v>0</v>
      </c>
      <c r="DJ534" s="2" t="n">
        <v>92.92</v>
      </c>
      <c r="DK534" s="2" t="n">
        <v>94.17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14/10/2027</t>
        </is>
      </c>
      <c r="E535" s="2" t="inlineStr">
        <is>
          <t>21/06/2028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8.33</v>
      </c>
      <c r="CQ535" s="2" t="n">
        <v>0</v>
      </c>
      <c r="CR535" s="2" t="n">
        <v>17.5</v>
      </c>
      <c r="CS535" s="2" t="n">
        <v>15.42</v>
      </c>
      <c r="CT535" s="2" t="n">
        <v>0</v>
      </c>
      <c r="CU535" s="2" t="n">
        <v>25</v>
      </c>
      <c r="CV535" s="2" t="n">
        <v>25</v>
      </c>
      <c r="CW535" s="2" t="n">
        <v>0</v>
      </c>
      <c r="CX535" s="2" t="n">
        <v>27.92</v>
      </c>
      <c r="CY535" s="2" t="n">
        <v>29.17</v>
      </c>
      <c r="CZ535" s="2" t="n">
        <v>0</v>
      </c>
      <c r="DA535" s="2" t="n">
        <v>40</v>
      </c>
      <c r="DB535" s="2" t="n">
        <v>50</v>
      </c>
      <c r="DC535" s="2" t="n">
        <v>0</v>
      </c>
      <c r="DD535" s="2" t="n">
        <v>86.25</v>
      </c>
      <c r="DE535" s="2" t="n">
        <v>87.5</v>
      </c>
      <c r="DF535" s="2" t="n">
        <v>0</v>
      </c>
      <c r="DG535" s="2" t="n">
        <v>91.67</v>
      </c>
      <c r="DH535" s="2" t="n">
        <v>91.67</v>
      </c>
      <c r="DI535" s="2" t="n">
        <v>0</v>
      </c>
      <c r="DJ535" s="2" t="n">
        <v>92.92</v>
      </c>
      <c r="DK535" s="2" t="n">
        <v>94.17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55.1</v>
      </c>
      <c r="DU536" s="2" t="n">
        <v>0</v>
      </c>
      <c r="DV536" s="2" t="n">
        <v>61.8</v>
      </c>
      <c r="DW536" s="2" t="n">
        <v>64.12</v>
      </c>
      <c r="DX536" s="2" t="n">
        <v>0</v>
      </c>
      <c r="DY536" s="2" t="n">
        <v>71.25</v>
      </c>
      <c r="DZ536" s="2" t="n">
        <v>73.43000000000001</v>
      </c>
      <c r="EA536" s="2" t="n">
        <v>0</v>
      </c>
      <c r="EB536" s="2" t="n">
        <v>80.08</v>
      </c>
      <c r="EC536" s="2" t="n">
        <v>82.41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06/03/2029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19.07</v>
      </c>
      <c r="CQ537" s="2" t="n">
        <v>0</v>
      </c>
      <c r="CR537" s="2" t="n">
        <v>27.65</v>
      </c>
      <c r="CS537" s="2" t="n">
        <v>27.65</v>
      </c>
      <c r="CT537" s="2" t="n">
        <v>0</v>
      </c>
      <c r="CU537" s="2" t="n">
        <v>32.39</v>
      </c>
      <c r="CV537" s="2" t="n">
        <v>33.56</v>
      </c>
      <c r="CW537" s="2" t="n">
        <v>0</v>
      </c>
      <c r="CX537" s="2" t="n">
        <v>37.37</v>
      </c>
      <c r="CY537" s="2" t="n">
        <v>38.53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56.55</v>
      </c>
      <c r="DI537" s="2" t="n">
        <v>0</v>
      </c>
      <c r="DJ537" s="2" t="n">
        <v>62.34</v>
      </c>
      <c r="DK537" s="2" t="n">
        <v>60.83</v>
      </c>
      <c r="DL537" s="2" t="n">
        <v>0</v>
      </c>
      <c r="DM537" s="2" t="n">
        <v>64.34</v>
      </c>
      <c r="DN537" s="2" t="n">
        <v>67.41</v>
      </c>
      <c r="DO537" s="2" t="n">
        <v>0</v>
      </c>
      <c r="DP537" s="2" t="n">
        <v>71.61</v>
      </c>
      <c r="DQ537" s="2" t="n">
        <v>72.3</v>
      </c>
      <c r="DR537" s="2" t="n">
        <v>0</v>
      </c>
      <c r="DS537" s="2" t="n">
        <v>79.12</v>
      </c>
      <c r="DT537" s="2" t="n">
        <v>81.95999999999999</v>
      </c>
      <c r="DU537" s="2" t="n">
        <v>0</v>
      </c>
      <c r="DV537" s="2" t="n">
        <v>86.81</v>
      </c>
      <c r="DW537" s="2" t="n">
        <v>87.44</v>
      </c>
      <c r="DX537" s="2" t="n">
        <v>0</v>
      </c>
      <c r="DY537" s="2" t="n">
        <v>88.67</v>
      </c>
      <c r="DZ537" s="2" t="n">
        <v>88.87</v>
      </c>
      <c r="EA537" s="2" t="n">
        <v>0</v>
      </c>
      <c r="EB537" s="2" t="n">
        <v>91.56</v>
      </c>
      <c r="EC537" s="2" t="n">
        <v>91.68000000000001</v>
      </c>
      <c r="ED537" s="2" t="n">
        <v>0</v>
      </c>
      <c r="EE537" s="2" t="n">
        <v>92.40000000000001</v>
      </c>
      <c r="EF537" s="2" t="n">
        <v>93.23999999999999</v>
      </c>
      <c r="EG537" s="2" t="n">
        <v>0</v>
      </c>
      <c r="EH537" s="2" t="n">
        <v>95.91</v>
      </c>
      <c r="EI537" s="2" t="n">
        <v>96.63</v>
      </c>
      <c r="EJ537" s="2" t="n">
        <v>0</v>
      </c>
      <c r="EK537" s="2" t="n">
        <v>98.31999999999999</v>
      </c>
      <c r="EL537" s="2" t="n">
        <v>99.04000000000001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30/05/2028</t>
        </is>
      </c>
      <c r="E538" s="2" t="inlineStr">
        <is>
          <t>06/03/2029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5.5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27.48</v>
      </c>
      <c r="EA538" s="2" t="n">
        <v>0</v>
      </c>
      <c r="EB538" s="2" t="n">
        <v>45.61</v>
      </c>
      <c r="EC538" s="2" t="n">
        <v>45.61</v>
      </c>
      <c r="ED538" s="2" t="n">
        <v>0</v>
      </c>
      <c r="EE538" s="2" t="n">
        <v>47.42</v>
      </c>
      <c r="EF538" s="2" t="n">
        <v>52.86</v>
      </c>
      <c r="EG538" s="2" t="n">
        <v>0</v>
      </c>
      <c r="EH538" s="2" t="n">
        <v>69.18000000000001</v>
      </c>
      <c r="EI538" s="2" t="n">
        <v>74.62</v>
      </c>
      <c r="EJ538" s="2" t="n">
        <v>0</v>
      </c>
      <c r="EK538" s="2" t="n">
        <v>87.31</v>
      </c>
      <c r="EL538" s="2" t="n">
        <v>92.75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30/05/2028</t>
        </is>
      </c>
      <c r="E539" s="2" t="inlineStr">
        <is>
          <t>06/03/2029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5.5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27.48</v>
      </c>
      <c r="EA539" s="2" t="n">
        <v>0</v>
      </c>
      <c r="EB539" s="2" t="n">
        <v>45.61</v>
      </c>
      <c r="EC539" s="2" t="n">
        <v>45.61</v>
      </c>
      <c r="ED539" s="2" t="n">
        <v>0</v>
      </c>
      <c r="EE539" s="2" t="n">
        <v>47.42</v>
      </c>
      <c r="EF539" s="2" t="n">
        <v>52.86</v>
      </c>
      <c r="EG539" s="2" t="n">
        <v>0</v>
      </c>
      <c r="EH539" s="2" t="n">
        <v>69.18000000000001</v>
      </c>
      <c r="EI539" s="2" t="n">
        <v>74.62</v>
      </c>
      <c r="EJ539" s="2" t="n">
        <v>0</v>
      </c>
      <c r="EK539" s="2" t="n">
        <v>87.31</v>
      </c>
      <c r="EL539" s="2" t="n">
        <v>92.75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30/05/2028</t>
        </is>
      </c>
      <c r="E540" s="2" t="inlineStr">
        <is>
          <t>06/03/2029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5.5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27.48</v>
      </c>
      <c r="EA540" s="2" t="n">
        <v>0</v>
      </c>
      <c r="EB540" s="2" t="n">
        <v>45.61</v>
      </c>
      <c r="EC540" s="2" t="n">
        <v>45.61</v>
      </c>
      <c r="ED540" s="2" t="n">
        <v>0</v>
      </c>
      <c r="EE540" s="2" t="n">
        <v>47.42</v>
      </c>
      <c r="EF540" s="2" t="n">
        <v>52.86</v>
      </c>
      <c r="EG540" s="2" t="n">
        <v>0</v>
      </c>
      <c r="EH540" s="2" t="n">
        <v>69.18000000000001</v>
      </c>
      <c r="EI540" s="2" t="n">
        <v>74.62</v>
      </c>
      <c r="EJ540" s="2" t="n">
        <v>0</v>
      </c>
      <c r="EK540" s="2" t="n">
        <v>87.31</v>
      </c>
      <c r="EL540" s="2" t="n">
        <v>92.75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21.81</v>
      </c>
      <c r="CQ541" s="2" t="n">
        <v>0</v>
      </c>
      <c r="CR541" s="2" t="n">
        <v>35.25</v>
      </c>
      <c r="CS541" s="2" t="n">
        <v>34.56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72.56999999999999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86.33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22/08/2028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93.56999999999999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96.84999999999999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28/10/2027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2.02</v>
      </c>
      <c r="CQ543" s="2" t="n">
        <v>0</v>
      </c>
      <c r="CR543" s="2" t="n">
        <v>28.28</v>
      </c>
      <c r="CS543" s="2" t="n">
        <v>22.22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28/10/2027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2.02</v>
      </c>
      <c r="CQ544" s="2" t="n">
        <v>0</v>
      </c>
      <c r="CR544" s="2" t="n">
        <v>28.28</v>
      </c>
      <c r="CS544" s="2" t="n">
        <v>22.22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28/10/2027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2.02</v>
      </c>
      <c r="CQ545" s="2" t="n">
        <v>0</v>
      </c>
      <c r="CR545" s="2" t="n">
        <v>28.28</v>
      </c>
      <c r="CS545" s="2" t="n">
        <v>22.22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06/03/2029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0.38</v>
      </c>
      <c r="CQ546" s="2" t="n">
        <v>0</v>
      </c>
      <c r="CR546" s="2" t="n">
        <v>0.86</v>
      </c>
      <c r="CS546" s="2" t="n">
        <v>0.86</v>
      </c>
      <c r="CT546" s="2" t="n">
        <v>0</v>
      </c>
      <c r="CU546" s="2" t="n">
        <v>1.26</v>
      </c>
      <c r="CV546" s="2" t="n">
        <v>1.26</v>
      </c>
      <c r="CW546" s="2" t="n">
        <v>0</v>
      </c>
      <c r="CX546" s="2" t="n">
        <v>1.91</v>
      </c>
      <c r="CY546" s="2" t="n">
        <v>1.89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21.72</v>
      </c>
      <c r="DF546" s="2" t="n">
        <v>0</v>
      </c>
      <c r="DG546" s="2" t="n">
        <v>34.75</v>
      </c>
      <c r="DH546" s="2" t="n">
        <v>34.71</v>
      </c>
      <c r="DI546" s="2" t="n">
        <v>0</v>
      </c>
      <c r="DJ546" s="2" t="n">
        <v>35.34</v>
      </c>
      <c r="DK546" s="2" t="n">
        <v>35.2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36.03</v>
      </c>
      <c r="DR546" s="2" t="n">
        <v>0</v>
      </c>
      <c r="DS546" s="2" t="n">
        <v>83.02</v>
      </c>
      <c r="DT546" s="2" t="n">
        <v>85.39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88</v>
      </c>
      <c r="EA546" s="2" t="n">
        <v>0</v>
      </c>
      <c r="EB546" s="2" t="n">
        <v>88.90000000000001</v>
      </c>
      <c r="EC546" s="2" t="n">
        <v>89.91</v>
      </c>
      <c r="ED546" s="2" t="n">
        <v>0</v>
      </c>
      <c r="EE546" s="2" t="n">
        <v>93.97</v>
      </c>
      <c r="EF546" s="2" t="n">
        <v>95.04000000000001</v>
      </c>
      <c r="EG546" s="2" t="n">
        <v>0</v>
      </c>
      <c r="EH546" s="2" t="n">
        <v>99.61</v>
      </c>
      <c r="EI546" s="2" t="n">
        <v>99.68000000000001</v>
      </c>
      <c r="EJ546" s="2" t="n">
        <v>0</v>
      </c>
      <c r="EK546" s="2" t="n">
        <v>99.84</v>
      </c>
      <c r="EL546" s="2" t="n">
        <v>99.91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06/03/2029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5.48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27.19</v>
      </c>
      <c r="EA549" s="2" t="n">
        <v>0</v>
      </c>
      <c r="EB549" s="2" t="n">
        <v>45.07</v>
      </c>
      <c r="EC549" s="2" t="n">
        <v>45.4</v>
      </c>
      <c r="ED549" s="2" t="n">
        <v>0</v>
      </c>
      <c r="EE549" s="2" t="n">
        <v>48.36</v>
      </c>
      <c r="EF549" s="2" t="n">
        <v>53.7</v>
      </c>
      <c r="EG549" s="2" t="n">
        <v>0</v>
      </c>
      <c r="EH549" s="2" t="n">
        <v>69.73999999999999</v>
      </c>
      <c r="EI549" s="2" t="n">
        <v>75.08</v>
      </c>
      <c r="EJ549" s="2" t="n">
        <v>0</v>
      </c>
      <c r="EK549" s="2" t="n">
        <v>87.54000000000001</v>
      </c>
      <c r="EL549" s="2" t="n">
        <v>92.88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24/11/2028</t>
        </is>
      </c>
      <c r="E550" s="2" t="inlineStr">
        <is>
          <t>18/01/2029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0</v>
      </c>
      <c r="EA550" s="2" t="n">
        <v>0</v>
      </c>
      <c r="EB550" s="2" t="n">
        <v>6.06</v>
      </c>
      <c r="EC550" s="2" t="n">
        <v>15.15</v>
      </c>
      <c r="ED550" s="2" t="n">
        <v>0</v>
      </c>
      <c r="EE550" s="2" t="n">
        <v>51.52</v>
      </c>
      <c r="EF550" s="2" t="n">
        <v>60.61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8.06</v>
      </c>
      <c r="CQ551" s="2" t="n">
        <v>0</v>
      </c>
      <c r="CR551" s="2" t="n">
        <v>18.22</v>
      </c>
      <c r="CS551" s="2" t="n">
        <v>18.11</v>
      </c>
      <c r="CT551" s="2" t="n">
        <v>0</v>
      </c>
      <c r="CU551" s="2" t="n">
        <v>26.67</v>
      </c>
      <c r="CV551" s="2" t="n">
        <v>26.56</v>
      </c>
      <c r="CW551" s="2" t="n">
        <v>0</v>
      </c>
      <c r="CX551" s="2" t="n">
        <v>40.25</v>
      </c>
      <c r="CY551" s="2" t="n">
        <v>39.89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58.36</v>
      </c>
      <c r="DF551" s="2" t="n">
        <v>0</v>
      </c>
      <c r="DG551" s="2" t="n">
        <v>66.72</v>
      </c>
      <c r="DH551" s="2" t="n">
        <v>65.86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86.39</v>
      </c>
      <c r="DR551" s="2" t="n">
        <v>0</v>
      </c>
      <c r="DS551" s="2" t="n">
        <v>93.5</v>
      </c>
      <c r="DT551" s="2" t="n">
        <v>94.25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01/09/2028</t>
        </is>
      </c>
      <c r="E553" s="2" t="inlineStr">
        <is>
          <t>06/11/2028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0</v>
      </c>
      <c r="DU553" s="2" t="n">
        <v>0</v>
      </c>
      <c r="DV553" s="2" t="n">
        <v>38.64</v>
      </c>
      <c r="DW553" s="2" t="n">
        <v>45.45</v>
      </c>
      <c r="DX553" s="2" t="n">
        <v>0</v>
      </c>
      <c r="DY553" s="2" t="n">
        <v>86.36</v>
      </c>
      <c r="DZ553" s="2" t="n">
        <v>93.18000000000001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01/09/2028</t>
        </is>
      </c>
      <c r="E554" s="2" t="inlineStr">
        <is>
          <t>06/11/2028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0</v>
      </c>
      <c r="DU554" s="2" t="n">
        <v>0</v>
      </c>
      <c r="DV554" s="2" t="n">
        <v>38.64</v>
      </c>
      <c r="DW554" s="2" t="n">
        <v>45.45</v>
      </c>
      <c r="DX554" s="2" t="n">
        <v>0</v>
      </c>
      <c r="DY554" s="2" t="n">
        <v>86.36</v>
      </c>
      <c r="DZ554" s="2" t="n">
        <v>93.18000000000001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31/08/2028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92.03</v>
      </c>
      <c r="DI555" s="2" t="n">
        <v>0</v>
      </c>
      <c r="DJ555" s="2" t="n">
        <v>93.56999999999999</v>
      </c>
      <c r="DK555" s="2" t="n">
        <v>93.58</v>
      </c>
      <c r="DL555" s="2" t="n">
        <v>0</v>
      </c>
      <c r="DM555" s="2" t="n">
        <v>93.68000000000001</v>
      </c>
      <c r="DN555" s="2" t="n">
        <v>94.23</v>
      </c>
      <c r="DO555" s="2" t="n">
        <v>0</v>
      </c>
      <c r="DP555" s="2" t="n">
        <v>98.73</v>
      </c>
      <c r="DQ555" s="2" t="n">
        <v>99.02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31/08/2028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92.03</v>
      </c>
      <c r="DI556" s="2" t="n">
        <v>0</v>
      </c>
      <c r="DJ556" s="2" t="n">
        <v>93.56999999999999</v>
      </c>
      <c r="DK556" s="2" t="n">
        <v>93.58</v>
      </c>
      <c r="DL556" s="2" t="n">
        <v>0</v>
      </c>
      <c r="DM556" s="2" t="n">
        <v>93.68000000000001</v>
      </c>
      <c r="DN556" s="2" t="n">
        <v>94.23</v>
      </c>
      <c r="DO556" s="2" t="n">
        <v>0</v>
      </c>
      <c r="DP556" s="2" t="n">
        <v>98.73</v>
      </c>
      <c r="DQ556" s="2" t="n">
        <v>99.02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31/08/2028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92.03</v>
      </c>
      <c r="DI557" s="2" t="n">
        <v>0</v>
      </c>
      <c r="DJ557" s="2" t="n">
        <v>93.56999999999999</v>
      </c>
      <c r="DK557" s="2" t="n">
        <v>93.58</v>
      </c>
      <c r="DL557" s="2" t="n">
        <v>0</v>
      </c>
      <c r="DM557" s="2" t="n">
        <v>93.68000000000001</v>
      </c>
      <c r="DN557" s="2" t="n">
        <v>94.23</v>
      </c>
      <c r="DO557" s="2" t="n">
        <v>0</v>
      </c>
      <c r="DP557" s="2" t="n">
        <v>98.73</v>
      </c>
      <c r="DQ557" s="2" t="n">
        <v>99.02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31/08/2028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92.03</v>
      </c>
      <c r="DI558" s="2" t="n">
        <v>0</v>
      </c>
      <c r="DJ558" s="2" t="n">
        <v>93.56999999999999</v>
      </c>
      <c r="DK558" s="2" t="n">
        <v>93.58</v>
      </c>
      <c r="DL558" s="2" t="n">
        <v>0</v>
      </c>
      <c r="DM558" s="2" t="n">
        <v>93.68000000000001</v>
      </c>
      <c r="DN558" s="2" t="n">
        <v>94.23</v>
      </c>
      <c r="DO558" s="2" t="n">
        <v>0</v>
      </c>
      <c r="DP558" s="2" t="n">
        <v>98.73</v>
      </c>
      <c r="DQ558" s="2" t="n">
        <v>99.02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31/08/2028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92.03</v>
      </c>
      <c r="DI559" s="2" t="n">
        <v>0</v>
      </c>
      <c r="DJ559" s="2" t="n">
        <v>93.56999999999999</v>
      </c>
      <c r="DK559" s="2" t="n">
        <v>93.58</v>
      </c>
      <c r="DL559" s="2" t="n">
        <v>0</v>
      </c>
      <c r="DM559" s="2" t="n">
        <v>93.68000000000001</v>
      </c>
      <c r="DN559" s="2" t="n">
        <v>94.23</v>
      </c>
      <c r="DO559" s="2" t="n">
        <v>0</v>
      </c>
      <c r="DP559" s="2" t="n">
        <v>98.73</v>
      </c>
      <c r="DQ559" s="2" t="n">
        <v>99.02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31/08/2028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92.03</v>
      </c>
      <c r="DI560" s="2" t="n">
        <v>0</v>
      </c>
      <c r="DJ560" s="2" t="n">
        <v>93.56999999999999</v>
      </c>
      <c r="DK560" s="2" t="n">
        <v>93.58</v>
      </c>
      <c r="DL560" s="2" t="n">
        <v>0</v>
      </c>
      <c r="DM560" s="2" t="n">
        <v>93.68000000000001</v>
      </c>
      <c r="DN560" s="2" t="n">
        <v>94.23</v>
      </c>
      <c r="DO560" s="2" t="n">
        <v>0</v>
      </c>
      <c r="DP560" s="2" t="n">
        <v>98.73</v>
      </c>
      <c r="DQ560" s="2" t="n">
        <v>99.02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31/08/2028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92.03</v>
      </c>
      <c r="DI561" s="2" t="n">
        <v>0</v>
      </c>
      <c r="DJ561" s="2" t="n">
        <v>93.56999999999999</v>
      </c>
      <c r="DK561" s="2" t="n">
        <v>93.58</v>
      </c>
      <c r="DL561" s="2" t="n">
        <v>0</v>
      </c>
      <c r="DM561" s="2" t="n">
        <v>93.68000000000001</v>
      </c>
      <c r="DN561" s="2" t="n">
        <v>94.23</v>
      </c>
      <c r="DO561" s="2" t="n">
        <v>0</v>
      </c>
      <c r="DP561" s="2" t="n">
        <v>98.73</v>
      </c>
      <c r="DQ561" s="2" t="n">
        <v>99.02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31/08/2028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92.03</v>
      </c>
      <c r="DI562" s="2" t="n">
        <v>0</v>
      </c>
      <c r="DJ562" s="2" t="n">
        <v>93.56999999999999</v>
      </c>
      <c r="DK562" s="2" t="n">
        <v>93.58</v>
      </c>
      <c r="DL562" s="2" t="n">
        <v>0</v>
      </c>
      <c r="DM562" s="2" t="n">
        <v>93.68000000000001</v>
      </c>
      <c r="DN562" s="2" t="n">
        <v>94.23</v>
      </c>
      <c r="DO562" s="2" t="n">
        <v>0</v>
      </c>
      <c r="DP562" s="2" t="n">
        <v>98.73</v>
      </c>
      <c r="DQ562" s="2" t="n">
        <v>99.02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21.66</v>
      </c>
      <c r="DC571" s="2" t="n">
        <v>0</v>
      </c>
      <c r="DD571" s="2" t="n">
        <v>31.93</v>
      </c>
      <c r="DE571" s="2" t="n">
        <v>33.77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49.77</v>
      </c>
      <c r="DL571" s="2" t="n">
        <v>0</v>
      </c>
      <c r="DM571" s="2" t="n">
        <v>57.31</v>
      </c>
      <c r="DN571" s="2" t="n">
        <v>58.55</v>
      </c>
      <c r="DO571" s="2" t="n">
        <v>0</v>
      </c>
      <c r="DP571" s="2" t="n">
        <v>66.15000000000001</v>
      </c>
      <c r="DQ571" s="2" t="n">
        <v>68.25</v>
      </c>
      <c r="DR571" s="2" t="n">
        <v>0</v>
      </c>
      <c r="DS571" s="2" t="n">
        <v>75.76000000000001</v>
      </c>
      <c r="DT571" s="2" t="n">
        <v>78.03</v>
      </c>
      <c r="DU571" s="2" t="n">
        <v>0</v>
      </c>
      <c r="DV571" s="2" t="n">
        <v>85.72</v>
      </c>
      <c r="DW571" s="2" t="n">
        <v>88.06999999999999</v>
      </c>
      <c r="DX571" s="2" t="n">
        <v>0</v>
      </c>
      <c r="DY571" s="2" t="n">
        <v>95.36</v>
      </c>
      <c r="DZ571" s="2" t="n">
        <v>96.04000000000001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21.66</v>
      </c>
      <c r="DC572" s="2" t="n">
        <v>0</v>
      </c>
      <c r="DD572" s="2" t="n">
        <v>31.93</v>
      </c>
      <c r="DE572" s="2" t="n">
        <v>33.77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49.77</v>
      </c>
      <c r="DL572" s="2" t="n">
        <v>0</v>
      </c>
      <c r="DM572" s="2" t="n">
        <v>57.31</v>
      </c>
      <c r="DN572" s="2" t="n">
        <v>58.55</v>
      </c>
      <c r="DO572" s="2" t="n">
        <v>0</v>
      </c>
      <c r="DP572" s="2" t="n">
        <v>66.15000000000001</v>
      </c>
      <c r="DQ572" s="2" t="n">
        <v>68.25</v>
      </c>
      <c r="DR572" s="2" t="n">
        <v>0</v>
      </c>
      <c r="DS572" s="2" t="n">
        <v>75.76000000000001</v>
      </c>
      <c r="DT572" s="2" t="n">
        <v>78.03</v>
      </c>
      <c r="DU572" s="2" t="n">
        <v>0</v>
      </c>
      <c r="DV572" s="2" t="n">
        <v>85.72</v>
      </c>
      <c r="DW572" s="2" t="n">
        <v>88.06999999999999</v>
      </c>
      <c r="DX572" s="2" t="n">
        <v>0</v>
      </c>
      <c r="DY572" s="2" t="n">
        <v>95.36</v>
      </c>
      <c r="DZ572" s="2" t="n">
        <v>96.04000000000001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22.53</v>
      </c>
      <c r="DC573" s="2" t="n">
        <v>0</v>
      </c>
      <c r="DD573" s="2" t="n">
        <v>33.22</v>
      </c>
      <c r="DE573" s="2" t="n">
        <v>35.14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51.77</v>
      </c>
      <c r="DL573" s="2" t="n">
        <v>0</v>
      </c>
      <c r="DM573" s="2" t="n">
        <v>59.62</v>
      </c>
      <c r="DN573" s="2" t="n">
        <v>60.91</v>
      </c>
      <c r="DO573" s="2" t="n">
        <v>0</v>
      </c>
      <c r="DP573" s="2" t="n">
        <v>68.81</v>
      </c>
      <c r="DQ573" s="2" t="n">
        <v>71</v>
      </c>
      <c r="DR573" s="2" t="n">
        <v>0</v>
      </c>
      <c r="DS573" s="2" t="n">
        <v>78.20999999999999</v>
      </c>
      <c r="DT573" s="2" t="n">
        <v>80.27</v>
      </c>
      <c r="DU573" s="2" t="n">
        <v>0</v>
      </c>
      <c r="DV573" s="2" t="n">
        <v>86.55</v>
      </c>
      <c r="DW573" s="2" t="n">
        <v>88.7</v>
      </c>
      <c r="DX573" s="2" t="n">
        <v>0</v>
      </c>
      <c r="DY573" s="2" t="n">
        <v>95.18000000000001</v>
      </c>
      <c r="DZ573" s="2" t="n">
        <v>95.88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22.53</v>
      </c>
      <c r="DC574" s="2" t="n">
        <v>0</v>
      </c>
      <c r="DD574" s="2" t="n">
        <v>33.22</v>
      </c>
      <c r="DE574" s="2" t="n">
        <v>35.14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51.77</v>
      </c>
      <c r="DL574" s="2" t="n">
        <v>0</v>
      </c>
      <c r="DM574" s="2" t="n">
        <v>59.62</v>
      </c>
      <c r="DN574" s="2" t="n">
        <v>60.91</v>
      </c>
      <c r="DO574" s="2" t="n">
        <v>0</v>
      </c>
      <c r="DP574" s="2" t="n">
        <v>68.81</v>
      </c>
      <c r="DQ574" s="2" t="n">
        <v>71</v>
      </c>
      <c r="DR574" s="2" t="n">
        <v>0</v>
      </c>
      <c r="DS574" s="2" t="n">
        <v>78.20999999999999</v>
      </c>
      <c r="DT574" s="2" t="n">
        <v>80.27</v>
      </c>
      <c r="DU574" s="2" t="n">
        <v>0</v>
      </c>
      <c r="DV574" s="2" t="n">
        <v>86.55</v>
      </c>
      <c r="DW574" s="2" t="n">
        <v>88.7</v>
      </c>
      <c r="DX574" s="2" t="n">
        <v>0</v>
      </c>
      <c r="DY574" s="2" t="n">
        <v>95.18000000000001</v>
      </c>
      <c r="DZ574" s="2" t="n">
        <v>95.88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22.53</v>
      </c>
      <c r="DC575" s="2" t="n">
        <v>0</v>
      </c>
      <c r="DD575" s="2" t="n">
        <v>33.22</v>
      </c>
      <c r="DE575" s="2" t="n">
        <v>35.14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51.77</v>
      </c>
      <c r="DL575" s="2" t="n">
        <v>0</v>
      </c>
      <c r="DM575" s="2" t="n">
        <v>59.62</v>
      </c>
      <c r="DN575" s="2" t="n">
        <v>60.91</v>
      </c>
      <c r="DO575" s="2" t="n">
        <v>0</v>
      </c>
      <c r="DP575" s="2" t="n">
        <v>68.81</v>
      </c>
      <c r="DQ575" s="2" t="n">
        <v>71</v>
      </c>
      <c r="DR575" s="2" t="n">
        <v>0</v>
      </c>
      <c r="DS575" s="2" t="n">
        <v>78.20999999999999</v>
      </c>
      <c r="DT575" s="2" t="n">
        <v>80.27</v>
      </c>
      <c r="DU575" s="2" t="n">
        <v>0</v>
      </c>
      <c r="DV575" s="2" t="n">
        <v>86.55</v>
      </c>
      <c r="DW575" s="2" t="n">
        <v>88.7</v>
      </c>
      <c r="DX575" s="2" t="n">
        <v>0</v>
      </c>
      <c r="DY575" s="2" t="n">
        <v>95.18000000000001</v>
      </c>
      <c r="DZ575" s="2" t="n">
        <v>95.88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21/08/2028</t>
        </is>
      </c>
      <c r="E576" s="2" t="inlineStr">
        <is>
          <t>20/10/2028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0</v>
      </c>
      <c r="DR576" s="2" t="n">
        <v>0</v>
      </c>
      <c r="DS576" s="2" t="n">
        <v>15</v>
      </c>
      <c r="DT576" s="2" t="n">
        <v>22.5</v>
      </c>
      <c r="DU576" s="2" t="n">
        <v>0</v>
      </c>
      <c r="DV576" s="2" t="n">
        <v>65</v>
      </c>
      <c r="DW576" s="2" t="n">
        <v>72.5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22.53</v>
      </c>
      <c r="DC577" s="2" t="n">
        <v>0</v>
      </c>
      <c r="DD577" s="2" t="n">
        <v>33.22</v>
      </c>
      <c r="DE577" s="2" t="n">
        <v>35.14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51.77</v>
      </c>
      <c r="DL577" s="2" t="n">
        <v>0</v>
      </c>
      <c r="DM577" s="2" t="n">
        <v>59.62</v>
      </c>
      <c r="DN577" s="2" t="n">
        <v>60.91</v>
      </c>
      <c r="DO577" s="2" t="n">
        <v>0</v>
      </c>
      <c r="DP577" s="2" t="n">
        <v>68.81</v>
      </c>
      <c r="DQ577" s="2" t="n">
        <v>71</v>
      </c>
      <c r="DR577" s="2" t="n">
        <v>0</v>
      </c>
      <c r="DS577" s="2" t="n">
        <v>78.20999999999999</v>
      </c>
      <c r="DT577" s="2" t="n">
        <v>80.27</v>
      </c>
      <c r="DU577" s="2" t="n">
        <v>0</v>
      </c>
      <c r="DV577" s="2" t="n">
        <v>86.55</v>
      </c>
      <c r="DW577" s="2" t="n">
        <v>88.7</v>
      </c>
      <c r="DX577" s="2" t="n">
        <v>0</v>
      </c>
      <c r="DY577" s="2" t="n">
        <v>95.18000000000001</v>
      </c>
      <c r="DZ577" s="2" t="n">
        <v>95.88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22.53</v>
      </c>
      <c r="DC578" s="2" t="n">
        <v>0</v>
      </c>
      <c r="DD578" s="2" t="n">
        <v>33.22</v>
      </c>
      <c r="DE578" s="2" t="n">
        <v>35.14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51.77</v>
      </c>
      <c r="DL578" s="2" t="n">
        <v>0</v>
      </c>
      <c r="DM578" s="2" t="n">
        <v>59.62</v>
      </c>
      <c r="DN578" s="2" t="n">
        <v>60.91</v>
      </c>
      <c r="DO578" s="2" t="n">
        <v>0</v>
      </c>
      <c r="DP578" s="2" t="n">
        <v>68.81</v>
      </c>
      <c r="DQ578" s="2" t="n">
        <v>71</v>
      </c>
      <c r="DR578" s="2" t="n">
        <v>0</v>
      </c>
      <c r="DS578" s="2" t="n">
        <v>78.20999999999999</v>
      </c>
      <c r="DT578" s="2" t="n">
        <v>80.27</v>
      </c>
      <c r="DU578" s="2" t="n">
        <v>0</v>
      </c>
      <c r="DV578" s="2" t="n">
        <v>86.55</v>
      </c>
      <c r="DW578" s="2" t="n">
        <v>88.7</v>
      </c>
      <c r="DX578" s="2" t="n">
        <v>0</v>
      </c>
      <c r="DY578" s="2" t="n">
        <v>95.18000000000001</v>
      </c>
      <c r="DZ578" s="2" t="n">
        <v>95.88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11/08/2027</t>
        </is>
      </c>
      <c r="E579" s="2" t="inlineStr">
        <is>
          <t>19/02/2029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5.31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10.61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15.92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25.56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69.79000000000001</v>
      </c>
      <c r="DO579" s="2" t="n">
        <v>0</v>
      </c>
      <c r="DP579" s="2" t="n">
        <v>74.18000000000001</v>
      </c>
      <c r="DQ579" s="2" t="n">
        <v>74.56</v>
      </c>
      <c r="DR579" s="2" t="n">
        <v>0</v>
      </c>
      <c r="DS579" s="2" t="n">
        <v>75.87</v>
      </c>
      <c r="DT579" s="2" t="n">
        <v>76.26000000000001</v>
      </c>
      <c r="DU579" s="2" t="n">
        <v>0</v>
      </c>
      <c r="DV579" s="2" t="n">
        <v>77.47</v>
      </c>
      <c r="DW579" s="2" t="n">
        <v>77.87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84.34999999999999</v>
      </c>
      <c r="ED579" s="2" t="n">
        <v>0</v>
      </c>
      <c r="EE579" s="2" t="n">
        <v>98.73999999999999</v>
      </c>
      <c r="EF579" s="2" t="n">
        <v>99.12</v>
      </c>
      <c r="EG579" s="2" t="n">
        <v>0</v>
      </c>
      <c r="EH579" s="2" t="n">
        <v>99.97</v>
      </c>
      <c r="EI579" s="2" t="n">
        <v>99.97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54.22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54.22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54.22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54.22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54.22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11/08/2027</t>
        </is>
      </c>
      <c r="E585" s="2" t="inlineStr">
        <is>
          <t>10/07/2028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14.29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28.57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42.86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57.14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91.43000000000001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11/08/2027</t>
        </is>
      </c>
      <c r="E586" s="2" t="inlineStr">
        <is>
          <t>10/07/2028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14.29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28.57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42.86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57.14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91.43000000000001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11/08/2027</t>
        </is>
      </c>
      <c r="E587" s="2" t="inlineStr">
        <is>
          <t>10/07/2028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14.29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28.57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42.86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57.14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91.43000000000001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11/08/2027</t>
        </is>
      </c>
      <c r="E588" s="2" t="inlineStr">
        <is>
          <t>10/07/2028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14.29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28.57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42.86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57.14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91.43000000000001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11/08/2027</t>
        </is>
      </c>
      <c r="E589" s="2" t="inlineStr">
        <is>
          <t>10/07/2028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14.29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28.57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42.86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57.14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91.43000000000001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11/08/2027</t>
        </is>
      </c>
      <c r="E590" s="2" t="inlineStr">
        <is>
          <t>10/07/2028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14.29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28.57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42.86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57.14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91.43000000000001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11/08/2027</t>
        </is>
      </c>
      <c r="E591" s="2" t="inlineStr">
        <is>
          <t>10/07/2028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14.29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28.57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42.86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57.14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91.43000000000001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11/08/2027</t>
        </is>
      </c>
      <c r="E592" s="2" t="inlineStr">
        <is>
          <t>10/07/2028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14.29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28.57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42.86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57.14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91.43000000000001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19/02/2029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99.23999999999999</v>
      </c>
      <c r="DR593" s="2" t="n">
        <v>0</v>
      </c>
      <c r="DS593" s="2" t="n">
        <v>99.33</v>
      </c>
      <c r="DT593" s="2" t="n">
        <v>99.38</v>
      </c>
      <c r="DU593" s="2" t="n">
        <v>0</v>
      </c>
      <c r="DV593" s="2" t="n">
        <v>99.64</v>
      </c>
      <c r="DW593" s="2" t="n">
        <v>99.68000000000001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99.84999999999999</v>
      </c>
      <c r="EG593" s="2" t="n">
        <v>0</v>
      </c>
      <c r="EH593" s="2" t="n">
        <v>99.89</v>
      </c>
      <c r="EI593" s="2" t="n">
        <v>99.91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21/08/2028</t>
        </is>
      </c>
      <c r="E595" s="2" t="inlineStr">
        <is>
          <t>19/02/2029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0</v>
      </c>
      <c r="DR595" s="2" t="n">
        <v>0</v>
      </c>
      <c r="DS595" s="2" t="n">
        <v>12</v>
      </c>
      <c r="DT595" s="2" t="n">
        <v>18</v>
      </c>
      <c r="DU595" s="2" t="n">
        <v>0</v>
      </c>
      <c r="DV595" s="2" t="n">
        <v>52</v>
      </c>
      <c r="DW595" s="2" t="n">
        <v>58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80</v>
      </c>
      <c r="EG595" s="2" t="n">
        <v>0</v>
      </c>
      <c r="EH595" s="2" t="n">
        <v>85.45</v>
      </c>
      <c r="EI595" s="2" t="n">
        <v>88.18000000000001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11/08/2027</t>
        </is>
      </c>
      <c r="E596" s="2" t="inlineStr">
        <is>
          <t>10/07/2028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14.29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28.57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42.86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57.14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91.43000000000001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11/08/2027</t>
        </is>
      </c>
      <c r="E597" s="2" t="inlineStr">
        <is>
          <t>10/07/2028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14.29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28.57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42.86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57.14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91.43000000000001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11/08/2027</t>
        </is>
      </c>
      <c r="E598" s="2" t="inlineStr">
        <is>
          <t>10/07/2028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14.29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28.57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42.86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57.14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91.43000000000001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11/08/2027</t>
        </is>
      </c>
      <c r="E599" s="2" t="inlineStr">
        <is>
          <t>10/07/2028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14.29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28.57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42.86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57.14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91.43000000000001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11/08/2027</t>
        </is>
      </c>
      <c r="E600" s="2" t="inlineStr">
        <is>
          <t>10/07/2028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14.29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28.57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42.86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57.14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91.43000000000001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11/08/2027</t>
        </is>
      </c>
      <c r="E601" s="2" t="inlineStr">
        <is>
          <t>10/07/2028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14.29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28.57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42.86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57.14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91.43000000000001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11/08/2027</t>
        </is>
      </c>
      <c r="E602" s="2" t="inlineStr">
        <is>
          <t>10/07/2028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14.29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28.57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42.86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57.14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91.43000000000001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15.35</v>
      </c>
      <c r="DF603" s="2" t="n">
        <v>0</v>
      </c>
      <c r="DG603" s="2" t="n">
        <v>21.05</v>
      </c>
      <c r="DH603" s="2" t="n">
        <v>22.73</v>
      </c>
      <c r="DI603" s="2" t="n">
        <v>0</v>
      </c>
      <c r="DJ603" s="2" t="n">
        <v>30.76</v>
      </c>
      <c r="DK603" s="2" t="n">
        <v>32.31</v>
      </c>
      <c r="DL603" s="2" t="n">
        <v>0</v>
      </c>
      <c r="DM603" s="2" t="n">
        <v>39.66</v>
      </c>
      <c r="DN603" s="2" t="n">
        <v>41.33</v>
      </c>
      <c r="DO603" s="2" t="n">
        <v>0</v>
      </c>
      <c r="DP603" s="2" t="n">
        <v>48.54</v>
      </c>
      <c r="DQ603" s="2" t="n">
        <v>50.1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75.20999999999999</v>
      </c>
      <c r="EA603" s="2" t="n">
        <v>0</v>
      </c>
      <c r="EB603" s="2" t="n">
        <v>81.13</v>
      </c>
      <c r="EC603" s="2" t="n">
        <v>84.78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16.86</v>
      </c>
      <c r="DF604" s="2" t="n">
        <v>0</v>
      </c>
      <c r="DG604" s="2" t="n">
        <v>23.12</v>
      </c>
      <c r="DH604" s="2" t="n">
        <v>24.91</v>
      </c>
      <c r="DI604" s="2" t="n">
        <v>0</v>
      </c>
      <c r="DJ604" s="2" t="n">
        <v>33.79</v>
      </c>
      <c r="DK604" s="2" t="n">
        <v>35.43</v>
      </c>
      <c r="DL604" s="2" t="n">
        <v>0</v>
      </c>
      <c r="DM604" s="2" t="n">
        <v>43.54</v>
      </c>
      <c r="DN604" s="2" t="n">
        <v>45.32</v>
      </c>
      <c r="DO604" s="2" t="n">
        <v>0</v>
      </c>
      <c r="DP604" s="2" t="n">
        <v>53.26</v>
      </c>
      <c r="DQ604" s="2" t="n">
        <v>54.92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82.23999999999999</v>
      </c>
      <c r="EA604" s="2" t="n">
        <v>0</v>
      </c>
      <c r="EB604" s="2" t="n">
        <v>88.72</v>
      </c>
      <c r="EC604" s="2" t="n">
        <v>90.88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16.86</v>
      </c>
      <c r="DF605" s="2" t="n">
        <v>0</v>
      </c>
      <c r="DG605" s="2" t="n">
        <v>23.12</v>
      </c>
      <c r="DH605" s="2" t="n">
        <v>24.91</v>
      </c>
      <c r="DI605" s="2" t="n">
        <v>0</v>
      </c>
      <c r="DJ605" s="2" t="n">
        <v>33.79</v>
      </c>
      <c r="DK605" s="2" t="n">
        <v>35.43</v>
      </c>
      <c r="DL605" s="2" t="n">
        <v>0</v>
      </c>
      <c r="DM605" s="2" t="n">
        <v>43.54</v>
      </c>
      <c r="DN605" s="2" t="n">
        <v>45.32</v>
      </c>
      <c r="DO605" s="2" t="n">
        <v>0</v>
      </c>
      <c r="DP605" s="2" t="n">
        <v>53.26</v>
      </c>
      <c r="DQ605" s="2" t="n">
        <v>54.92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82.23999999999999</v>
      </c>
      <c r="EA605" s="2" t="n">
        <v>0</v>
      </c>
      <c r="EB605" s="2" t="n">
        <v>88.72</v>
      </c>
      <c r="EC605" s="2" t="n">
        <v>90.88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16.86</v>
      </c>
      <c r="DF606" s="2" t="n">
        <v>0</v>
      </c>
      <c r="DG606" s="2" t="n">
        <v>23.12</v>
      </c>
      <c r="DH606" s="2" t="n">
        <v>24.91</v>
      </c>
      <c r="DI606" s="2" t="n">
        <v>0</v>
      </c>
      <c r="DJ606" s="2" t="n">
        <v>33.79</v>
      </c>
      <c r="DK606" s="2" t="n">
        <v>35.43</v>
      </c>
      <c r="DL606" s="2" t="n">
        <v>0</v>
      </c>
      <c r="DM606" s="2" t="n">
        <v>43.54</v>
      </c>
      <c r="DN606" s="2" t="n">
        <v>45.32</v>
      </c>
      <c r="DO606" s="2" t="n">
        <v>0</v>
      </c>
      <c r="DP606" s="2" t="n">
        <v>53.26</v>
      </c>
      <c r="DQ606" s="2" t="n">
        <v>54.92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82.23999999999999</v>
      </c>
      <c r="EA606" s="2" t="n">
        <v>0</v>
      </c>
      <c r="EB606" s="2" t="n">
        <v>88.72</v>
      </c>
      <c r="EC606" s="2" t="n">
        <v>90.88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16.86</v>
      </c>
      <c r="DF607" s="2" t="n">
        <v>0</v>
      </c>
      <c r="DG607" s="2" t="n">
        <v>23.12</v>
      </c>
      <c r="DH607" s="2" t="n">
        <v>24.91</v>
      </c>
      <c r="DI607" s="2" t="n">
        <v>0</v>
      </c>
      <c r="DJ607" s="2" t="n">
        <v>33.79</v>
      </c>
      <c r="DK607" s="2" t="n">
        <v>35.43</v>
      </c>
      <c r="DL607" s="2" t="n">
        <v>0</v>
      </c>
      <c r="DM607" s="2" t="n">
        <v>43.54</v>
      </c>
      <c r="DN607" s="2" t="n">
        <v>45.32</v>
      </c>
      <c r="DO607" s="2" t="n">
        <v>0</v>
      </c>
      <c r="DP607" s="2" t="n">
        <v>53.26</v>
      </c>
      <c r="DQ607" s="2" t="n">
        <v>54.92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82.23999999999999</v>
      </c>
      <c r="EA607" s="2" t="n">
        <v>0</v>
      </c>
      <c r="EB607" s="2" t="n">
        <v>88.72</v>
      </c>
      <c r="EC607" s="2" t="n">
        <v>90.88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16.86</v>
      </c>
      <c r="DF608" s="2" t="n">
        <v>0</v>
      </c>
      <c r="DG608" s="2" t="n">
        <v>23.12</v>
      </c>
      <c r="DH608" s="2" t="n">
        <v>24.91</v>
      </c>
      <c r="DI608" s="2" t="n">
        <v>0</v>
      </c>
      <c r="DJ608" s="2" t="n">
        <v>33.79</v>
      </c>
      <c r="DK608" s="2" t="n">
        <v>35.43</v>
      </c>
      <c r="DL608" s="2" t="n">
        <v>0</v>
      </c>
      <c r="DM608" s="2" t="n">
        <v>43.54</v>
      </c>
      <c r="DN608" s="2" t="n">
        <v>45.32</v>
      </c>
      <c r="DO608" s="2" t="n">
        <v>0</v>
      </c>
      <c r="DP608" s="2" t="n">
        <v>53.26</v>
      </c>
      <c r="DQ608" s="2" t="n">
        <v>54.92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82.23999999999999</v>
      </c>
      <c r="EA608" s="2" t="n">
        <v>0</v>
      </c>
      <c r="EB608" s="2" t="n">
        <v>88.72</v>
      </c>
      <c r="EC608" s="2" t="n">
        <v>90.88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16.86</v>
      </c>
      <c r="DF609" s="2" t="n">
        <v>0</v>
      </c>
      <c r="DG609" s="2" t="n">
        <v>23.12</v>
      </c>
      <c r="DH609" s="2" t="n">
        <v>24.91</v>
      </c>
      <c r="DI609" s="2" t="n">
        <v>0</v>
      </c>
      <c r="DJ609" s="2" t="n">
        <v>33.79</v>
      </c>
      <c r="DK609" s="2" t="n">
        <v>35.43</v>
      </c>
      <c r="DL609" s="2" t="n">
        <v>0</v>
      </c>
      <c r="DM609" s="2" t="n">
        <v>43.54</v>
      </c>
      <c r="DN609" s="2" t="n">
        <v>45.32</v>
      </c>
      <c r="DO609" s="2" t="n">
        <v>0</v>
      </c>
      <c r="DP609" s="2" t="n">
        <v>53.26</v>
      </c>
      <c r="DQ609" s="2" t="n">
        <v>54.92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82.23999999999999</v>
      </c>
      <c r="EA609" s="2" t="n">
        <v>0</v>
      </c>
      <c r="EB609" s="2" t="n">
        <v>88.72</v>
      </c>
      <c r="EC609" s="2" t="n">
        <v>90.88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16.86</v>
      </c>
      <c r="DF610" s="2" t="n">
        <v>0</v>
      </c>
      <c r="DG610" s="2" t="n">
        <v>23.12</v>
      </c>
      <c r="DH610" s="2" t="n">
        <v>24.91</v>
      </c>
      <c r="DI610" s="2" t="n">
        <v>0</v>
      </c>
      <c r="DJ610" s="2" t="n">
        <v>33.79</v>
      </c>
      <c r="DK610" s="2" t="n">
        <v>35.43</v>
      </c>
      <c r="DL610" s="2" t="n">
        <v>0</v>
      </c>
      <c r="DM610" s="2" t="n">
        <v>43.54</v>
      </c>
      <c r="DN610" s="2" t="n">
        <v>45.32</v>
      </c>
      <c r="DO610" s="2" t="n">
        <v>0</v>
      </c>
      <c r="DP610" s="2" t="n">
        <v>53.26</v>
      </c>
      <c r="DQ610" s="2" t="n">
        <v>54.92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82.23999999999999</v>
      </c>
      <c r="EA610" s="2" t="n">
        <v>0</v>
      </c>
      <c r="EB610" s="2" t="n">
        <v>88.72</v>
      </c>
      <c r="EC610" s="2" t="n">
        <v>90.88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16.86</v>
      </c>
      <c r="DF611" s="2" t="n">
        <v>0</v>
      </c>
      <c r="DG611" s="2" t="n">
        <v>23.12</v>
      </c>
      <c r="DH611" s="2" t="n">
        <v>24.91</v>
      </c>
      <c r="DI611" s="2" t="n">
        <v>0</v>
      </c>
      <c r="DJ611" s="2" t="n">
        <v>33.79</v>
      </c>
      <c r="DK611" s="2" t="n">
        <v>35.43</v>
      </c>
      <c r="DL611" s="2" t="n">
        <v>0</v>
      </c>
      <c r="DM611" s="2" t="n">
        <v>43.54</v>
      </c>
      <c r="DN611" s="2" t="n">
        <v>45.32</v>
      </c>
      <c r="DO611" s="2" t="n">
        <v>0</v>
      </c>
      <c r="DP611" s="2" t="n">
        <v>53.26</v>
      </c>
      <c r="DQ611" s="2" t="n">
        <v>54.92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82.23999999999999</v>
      </c>
      <c r="EA611" s="2" t="n">
        <v>0</v>
      </c>
      <c r="EB611" s="2" t="n">
        <v>88.72</v>
      </c>
      <c r="EC611" s="2" t="n">
        <v>90.88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16.86</v>
      </c>
      <c r="DF612" s="2" t="n">
        <v>0</v>
      </c>
      <c r="DG612" s="2" t="n">
        <v>23.12</v>
      </c>
      <c r="DH612" s="2" t="n">
        <v>24.91</v>
      </c>
      <c r="DI612" s="2" t="n">
        <v>0</v>
      </c>
      <c r="DJ612" s="2" t="n">
        <v>33.79</v>
      </c>
      <c r="DK612" s="2" t="n">
        <v>35.43</v>
      </c>
      <c r="DL612" s="2" t="n">
        <v>0</v>
      </c>
      <c r="DM612" s="2" t="n">
        <v>43.54</v>
      </c>
      <c r="DN612" s="2" t="n">
        <v>45.32</v>
      </c>
      <c r="DO612" s="2" t="n">
        <v>0</v>
      </c>
      <c r="DP612" s="2" t="n">
        <v>53.26</v>
      </c>
      <c r="DQ612" s="2" t="n">
        <v>54.92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82.23999999999999</v>
      </c>
      <c r="EA612" s="2" t="n">
        <v>0</v>
      </c>
      <c r="EB612" s="2" t="n">
        <v>88.72</v>
      </c>
      <c r="EC612" s="2" t="n">
        <v>90.88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16.86</v>
      </c>
      <c r="DF613" s="2" t="n">
        <v>0</v>
      </c>
      <c r="DG613" s="2" t="n">
        <v>23.12</v>
      </c>
      <c r="DH613" s="2" t="n">
        <v>24.91</v>
      </c>
      <c r="DI613" s="2" t="n">
        <v>0</v>
      </c>
      <c r="DJ613" s="2" t="n">
        <v>33.79</v>
      </c>
      <c r="DK613" s="2" t="n">
        <v>35.43</v>
      </c>
      <c r="DL613" s="2" t="n">
        <v>0</v>
      </c>
      <c r="DM613" s="2" t="n">
        <v>43.54</v>
      </c>
      <c r="DN613" s="2" t="n">
        <v>45.32</v>
      </c>
      <c r="DO613" s="2" t="n">
        <v>0</v>
      </c>
      <c r="DP613" s="2" t="n">
        <v>53.26</v>
      </c>
      <c r="DQ613" s="2" t="n">
        <v>54.92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82.23999999999999</v>
      </c>
      <c r="EA613" s="2" t="n">
        <v>0</v>
      </c>
      <c r="EB613" s="2" t="n">
        <v>88.72</v>
      </c>
      <c r="EC613" s="2" t="n">
        <v>90.88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16.86</v>
      </c>
      <c r="DF614" s="2" t="n">
        <v>0</v>
      </c>
      <c r="DG614" s="2" t="n">
        <v>23.12</v>
      </c>
      <c r="DH614" s="2" t="n">
        <v>24.91</v>
      </c>
      <c r="DI614" s="2" t="n">
        <v>0</v>
      </c>
      <c r="DJ614" s="2" t="n">
        <v>33.79</v>
      </c>
      <c r="DK614" s="2" t="n">
        <v>35.43</v>
      </c>
      <c r="DL614" s="2" t="n">
        <v>0</v>
      </c>
      <c r="DM614" s="2" t="n">
        <v>43.54</v>
      </c>
      <c r="DN614" s="2" t="n">
        <v>45.32</v>
      </c>
      <c r="DO614" s="2" t="n">
        <v>0</v>
      </c>
      <c r="DP614" s="2" t="n">
        <v>53.26</v>
      </c>
      <c r="DQ614" s="2" t="n">
        <v>54.92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82.23999999999999</v>
      </c>
      <c r="EA614" s="2" t="n">
        <v>0</v>
      </c>
      <c r="EB614" s="2" t="n">
        <v>88.72</v>
      </c>
      <c r="EC614" s="2" t="n">
        <v>90.88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16.86</v>
      </c>
      <c r="DF615" s="2" t="n">
        <v>0</v>
      </c>
      <c r="DG615" s="2" t="n">
        <v>23.12</v>
      </c>
      <c r="DH615" s="2" t="n">
        <v>24.91</v>
      </c>
      <c r="DI615" s="2" t="n">
        <v>0</v>
      </c>
      <c r="DJ615" s="2" t="n">
        <v>33.79</v>
      </c>
      <c r="DK615" s="2" t="n">
        <v>35.43</v>
      </c>
      <c r="DL615" s="2" t="n">
        <v>0</v>
      </c>
      <c r="DM615" s="2" t="n">
        <v>43.54</v>
      </c>
      <c r="DN615" s="2" t="n">
        <v>45.32</v>
      </c>
      <c r="DO615" s="2" t="n">
        <v>0</v>
      </c>
      <c r="DP615" s="2" t="n">
        <v>53.26</v>
      </c>
      <c r="DQ615" s="2" t="n">
        <v>54.92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82.23999999999999</v>
      </c>
      <c r="EA615" s="2" t="n">
        <v>0</v>
      </c>
      <c r="EB615" s="2" t="n">
        <v>88.72</v>
      </c>
      <c r="EC615" s="2" t="n">
        <v>90.88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16.86</v>
      </c>
      <c r="DF616" s="2" t="n">
        <v>0</v>
      </c>
      <c r="DG616" s="2" t="n">
        <v>23.12</v>
      </c>
      <c r="DH616" s="2" t="n">
        <v>24.91</v>
      </c>
      <c r="DI616" s="2" t="n">
        <v>0</v>
      </c>
      <c r="DJ616" s="2" t="n">
        <v>33.79</v>
      </c>
      <c r="DK616" s="2" t="n">
        <v>35.43</v>
      </c>
      <c r="DL616" s="2" t="n">
        <v>0</v>
      </c>
      <c r="DM616" s="2" t="n">
        <v>43.54</v>
      </c>
      <c r="DN616" s="2" t="n">
        <v>45.32</v>
      </c>
      <c r="DO616" s="2" t="n">
        <v>0</v>
      </c>
      <c r="DP616" s="2" t="n">
        <v>53.26</v>
      </c>
      <c r="DQ616" s="2" t="n">
        <v>54.92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82.23999999999999</v>
      </c>
      <c r="EA616" s="2" t="n">
        <v>0</v>
      </c>
      <c r="EB616" s="2" t="n">
        <v>88.72</v>
      </c>
      <c r="EC616" s="2" t="n">
        <v>90.88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16.86</v>
      </c>
      <c r="DF617" s="2" t="n">
        <v>0</v>
      </c>
      <c r="DG617" s="2" t="n">
        <v>23.12</v>
      </c>
      <c r="DH617" s="2" t="n">
        <v>24.91</v>
      </c>
      <c r="DI617" s="2" t="n">
        <v>0</v>
      </c>
      <c r="DJ617" s="2" t="n">
        <v>33.79</v>
      </c>
      <c r="DK617" s="2" t="n">
        <v>35.43</v>
      </c>
      <c r="DL617" s="2" t="n">
        <v>0</v>
      </c>
      <c r="DM617" s="2" t="n">
        <v>43.54</v>
      </c>
      <c r="DN617" s="2" t="n">
        <v>45.32</v>
      </c>
      <c r="DO617" s="2" t="n">
        <v>0</v>
      </c>
      <c r="DP617" s="2" t="n">
        <v>53.26</v>
      </c>
      <c r="DQ617" s="2" t="n">
        <v>54.92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82.23999999999999</v>
      </c>
      <c r="EA617" s="2" t="n">
        <v>0</v>
      </c>
      <c r="EB617" s="2" t="n">
        <v>88.72</v>
      </c>
      <c r="EC617" s="2" t="n">
        <v>90.88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16.86</v>
      </c>
      <c r="DF618" s="2" t="n">
        <v>0</v>
      </c>
      <c r="DG618" s="2" t="n">
        <v>23.12</v>
      </c>
      <c r="DH618" s="2" t="n">
        <v>24.91</v>
      </c>
      <c r="DI618" s="2" t="n">
        <v>0</v>
      </c>
      <c r="DJ618" s="2" t="n">
        <v>33.79</v>
      </c>
      <c r="DK618" s="2" t="n">
        <v>35.43</v>
      </c>
      <c r="DL618" s="2" t="n">
        <v>0</v>
      </c>
      <c r="DM618" s="2" t="n">
        <v>43.54</v>
      </c>
      <c r="DN618" s="2" t="n">
        <v>45.32</v>
      </c>
      <c r="DO618" s="2" t="n">
        <v>0</v>
      </c>
      <c r="DP618" s="2" t="n">
        <v>53.26</v>
      </c>
      <c r="DQ618" s="2" t="n">
        <v>54.92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82.23999999999999</v>
      </c>
      <c r="EA618" s="2" t="n">
        <v>0</v>
      </c>
      <c r="EB618" s="2" t="n">
        <v>88.72</v>
      </c>
      <c r="EC618" s="2" t="n">
        <v>90.88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16.86</v>
      </c>
      <c r="DF619" s="2" t="n">
        <v>0</v>
      </c>
      <c r="DG619" s="2" t="n">
        <v>23.12</v>
      </c>
      <c r="DH619" s="2" t="n">
        <v>24.91</v>
      </c>
      <c r="DI619" s="2" t="n">
        <v>0</v>
      </c>
      <c r="DJ619" s="2" t="n">
        <v>33.79</v>
      </c>
      <c r="DK619" s="2" t="n">
        <v>35.43</v>
      </c>
      <c r="DL619" s="2" t="n">
        <v>0</v>
      </c>
      <c r="DM619" s="2" t="n">
        <v>43.54</v>
      </c>
      <c r="DN619" s="2" t="n">
        <v>45.32</v>
      </c>
      <c r="DO619" s="2" t="n">
        <v>0</v>
      </c>
      <c r="DP619" s="2" t="n">
        <v>53.26</v>
      </c>
      <c r="DQ619" s="2" t="n">
        <v>54.92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82.23999999999999</v>
      </c>
      <c r="EA619" s="2" t="n">
        <v>0</v>
      </c>
      <c r="EB619" s="2" t="n">
        <v>88.72</v>
      </c>
      <c r="EC619" s="2" t="n">
        <v>90.88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16.86</v>
      </c>
      <c r="DF620" s="2" t="n">
        <v>0</v>
      </c>
      <c r="DG620" s="2" t="n">
        <v>23.12</v>
      </c>
      <c r="DH620" s="2" t="n">
        <v>24.91</v>
      </c>
      <c r="DI620" s="2" t="n">
        <v>0</v>
      </c>
      <c r="DJ620" s="2" t="n">
        <v>33.79</v>
      </c>
      <c r="DK620" s="2" t="n">
        <v>35.43</v>
      </c>
      <c r="DL620" s="2" t="n">
        <v>0</v>
      </c>
      <c r="DM620" s="2" t="n">
        <v>43.54</v>
      </c>
      <c r="DN620" s="2" t="n">
        <v>45.32</v>
      </c>
      <c r="DO620" s="2" t="n">
        <v>0</v>
      </c>
      <c r="DP620" s="2" t="n">
        <v>53.26</v>
      </c>
      <c r="DQ620" s="2" t="n">
        <v>54.92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82.23999999999999</v>
      </c>
      <c r="EA620" s="2" t="n">
        <v>0</v>
      </c>
      <c r="EB620" s="2" t="n">
        <v>88.72</v>
      </c>
      <c r="EC620" s="2" t="n">
        <v>90.88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16.86</v>
      </c>
      <c r="DF621" s="2" t="n">
        <v>0</v>
      </c>
      <c r="DG621" s="2" t="n">
        <v>23.12</v>
      </c>
      <c r="DH621" s="2" t="n">
        <v>24.91</v>
      </c>
      <c r="DI621" s="2" t="n">
        <v>0</v>
      </c>
      <c r="DJ621" s="2" t="n">
        <v>33.79</v>
      </c>
      <c r="DK621" s="2" t="n">
        <v>35.43</v>
      </c>
      <c r="DL621" s="2" t="n">
        <v>0</v>
      </c>
      <c r="DM621" s="2" t="n">
        <v>43.54</v>
      </c>
      <c r="DN621" s="2" t="n">
        <v>45.32</v>
      </c>
      <c r="DO621" s="2" t="n">
        <v>0</v>
      </c>
      <c r="DP621" s="2" t="n">
        <v>53.26</v>
      </c>
      <c r="DQ621" s="2" t="n">
        <v>54.92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82.23999999999999</v>
      </c>
      <c r="EA621" s="2" t="n">
        <v>0</v>
      </c>
      <c r="EB621" s="2" t="n">
        <v>88.72</v>
      </c>
      <c r="EC621" s="2" t="n">
        <v>90.88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54.22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54.22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31/08/2028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3.31</v>
      </c>
      <c r="CE624" s="2" t="n">
        <v>0</v>
      </c>
      <c r="CF624" s="2" t="n">
        <v>9.970000000000001</v>
      </c>
      <c r="CG624" s="2" t="n">
        <v>11.67</v>
      </c>
      <c r="CH624" s="2" t="n">
        <v>0</v>
      </c>
      <c r="CI624" s="2" t="n">
        <v>17.69</v>
      </c>
      <c r="CJ624" s="2" t="n">
        <v>19.28</v>
      </c>
      <c r="CK624" s="2" t="n">
        <v>0</v>
      </c>
      <c r="CL624" s="2" t="n">
        <v>26.2</v>
      </c>
      <c r="CM624" s="2" t="n">
        <v>27.59</v>
      </c>
      <c r="CN624" s="2" t="n">
        <v>0</v>
      </c>
      <c r="CO624" s="2" t="n">
        <v>34.24</v>
      </c>
      <c r="CP624" s="2" t="n">
        <v>35.65</v>
      </c>
      <c r="CQ624" s="2" t="n">
        <v>0</v>
      </c>
      <c r="CR624" s="2" t="n">
        <v>51.67</v>
      </c>
      <c r="CS624" s="2" t="n">
        <v>46.17</v>
      </c>
      <c r="CT624" s="2" t="n">
        <v>0</v>
      </c>
      <c r="CU624" s="2" t="n">
        <v>59.72</v>
      </c>
      <c r="CV624" s="2" t="n">
        <v>61.4</v>
      </c>
      <c r="CW624" s="2" t="n">
        <v>0</v>
      </c>
      <c r="CX624" s="2" t="n">
        <v>67.41</v>
      </c>
      <c r="CY624" s="2" t="n">
        <v>69.06999999999999</v>
      </c>
      <c r="CZ624" s="2" t="n">
        <v>0</v>
      </c>
      <c r="DA624" s="2" t="n">
        <v>76.02</v>
      </c>
      <c r="DB624" s="2" t="n">
        <v>77.72</v>
      </c>
      <c r="DC624" s="2" t="n">
        <v>0</v>
      </c>
      <c r="DD624" s="2" t="n">
        <v>83.67</v>
      </c>
      <c r="DE624" s="2" t="n">
        <v>85.3</v>
      </c>
      <c r="DF624" s="2" t="n">
        <v>0</v>
      </c>
      <c r="DG624" s="2" t="n">
        <v>89.58</v>
      </c>
      <c r="DH624" s="2" t="n">
        <v>90.98999999999999</v>
      </c>
      <c r="DI624" s="2" t="n">
        <v>0</v>
      </c>
      <c r="DJ624" s="2" t="n">
        <v>94.18000000000001</v>
      </c>
      <c r="DK624" s="2" t="n">
        <v>94.18000000000001</v>
      </c>
      <c r="DL624" s="2" t="n">
        <v>0</v>
      </c>
      <c r="DM624" s="2" t="n">
        <v>94.38</v>
      </c>
      <c r="DN624" s="2" t="n">
        <v>94.97</v>
      </c>
      <c r="DO624" s="2" t="n">
        <v>0</v>
      </c>
      <c r="DP624" s="2" t="n">
        <v>98.97</v>
      </c>
      <c r="DQ624" s="2" t="n">
        <v>99.28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31/08/2028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3.41</v>
      </c>
      <c r="CE625" s="2" t="n">
        <v>0</v>
      </c>
      <c r="CF625" s="2" t="n">
        <v>10.14</v>
      </c>
      <c r="CG625" s="2" t="n">
        <v>11.85</v>
      </c>
      <c r="CH625" s="2" t="n">
        <v>0</v>
      </c>
      <c r="CI625" s="2" t="n">
        <v>17.86</v>
      </c>
      <c r="CJ625" s="2" t="n">
        <v>19.44</v>
      </c>
      <c r="CK625" s="2" t="n">
        <v>0</v>
      </c>
      <c r="CL625" s="2" t="n">
        <v>26.4</v>
      </c>
      <c r="CM625" s="2" t="n">
        <v>27.79</v>
      </c>
      <c r="CN625" s="2" t="n">
        <v>0</v>
      </c>
      <c r="CO625" s="2" t="n">
        <v>34.43</v>
      </c>
      <c r="CP625" s="2" t="n">
        <v>35.83</v>
      </c>
      <c r="CQ625" s="2" t="n">
        <v>0</v>
      </c>
      <c r="CR625" s="2" t="n">
        <v>51.81</v>
      </c>
      <c r="CS625" s="2" t="n">
        <v>46.37</v>
      </c>
      <c r="CT625" s="2" t="n">
        <v>0</v>
      </c>
      <c r="CU625" s="2" t="n">
        <v>59.84</v>
      </c>
      <c r="CV625" s="2" t="n">
        <v>61.52</v>
      </c>
      <c r="CW625" s="2" t="n">
        <v>0</v>
      </c>
      <c r="CX625" s="2" t="n">
        <v>67.54000000000001</v>
      </c>
      <c r="CY625" s="2" t="n">
        <v>69.20999999999999</v>
      </c>
      <c r="CZ625" s="2" t="n">
        <v>0</v>
      </c>
      <c r="DA625" s="2" t="n">
        <v>76.15000000000001</v>
      </c>
      <c r="DB625" s="2" t="n">
        <v>77.84</v>
      </c>
      <c r="DC625" s="2" t="n">
        <v>0</v>
      </c>
      <c r="DD625" s="2" t="n">
        <v>83.76000000000001</v>
      </c>
      <c r="DE625" s="2" t="n">
        <v>85.38</v>
      </c>
      <c r="DF625" s="2" t="n">
        <v>0</v>
      </c>
      <c r="DG625" s="2" t="n">
        <v>89.63</v>
      </c>
      <c r="DH625" s="2" t="n">
        <v>91.04000000000001</v>
      </c>
      <c r="DI625" s="2" t="n">
        <v>0</v>
      </c>
      <c r="DJ625" s="2" t="n">
        <v>94.22</v>
      </c>
      <c r="DK625" s="2" t="n">
        <v>94.22</v>
      </c>
      <c r="DL625" s="2" t="n">
        <v>0</v>
      </c>
      <c r="DM625" s="2" t="n">
        <v>94.42</v>
      </c>
      <c r="DN625" s="2" t="n">
        <v>95.01000000000001</v>
      </c>
      <c r="DO625" s="2" t="n">
        <v>0</v>
      </c>
      <c r="DP625" s="2" t="n">
        <v>98.98</v>
      </c>
      <c r="DQ625" s="2" t="n">
        <v>99.28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19/05/2028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16.74</v>
      </c>
      <c r="CE626" s="2" t="n">
        <v>0</v>
      </c>
      <c r="CF626" s="2" t="n">
        <v>34.6</v>
      </c>
      <c r="CG626" s="2" t="n">
        <v>35.75</v>
      </c>
      <c r="CH626" s="2" t="n">
        <v>0</v>
      </c>
      <c r="CI626" s="2" t="n">
        <v>41.37</v>
      </c>
      <c r="CJ626" s="2" t="n">
        <v>42.41</v>
      </c>
      <c r="CK626" s="2" t="n">
        <v>0</v>
      </c>
      <c r="CL626" s="2" t="n">
        <v>54.13</v>
      </c>
      <c r="CM626" s="2" t="n">
        <v>55.26</v>
      </c>
      <c r="CN626" s="2" t="n">
        <v>0</v>
      </c>
      <c r="CO626" s="2" t="n">
        <v>59.89</v>
      </c>
      <c r="CP626" s="2" t="n">
        <v>61.18</v>
      </c>
      <c r="CQ626" s="2" t="n">
        <v>0</v>
      </c>
      <c r="CR626" s="2" t="n">
        <v>71.90000000000001</v>
      </c>
      <c r="CS626" s="2" t="n">
        <v>73.09</v>
      </c>
      <c r="CT626" s="2" t="n">
        <v>0</v>
      </c>
      <c r="CU626" s="2" t="n">
        <v>77.02</v>
      </c>
      <c r="CV626" s="2" t="n">
        <v>77.86</v>
      </c>
      <c r="CW626" s="2" t="n">
        <v>0</v>
      </c>
      <c r="CX626" s="2" t="n">
        <v>84.52</v>
      </c>
      <c r="CY626" s="2" t="n">
        <v>87.73999999999999</v>
      </c>
      <c r="CZ626" s="2" t="n">
        <v>0</v>
      </c>
      <c r="DA626" s="2" t="n">
        <v>94.36</v>
      </c>
      <c r="DB626" s="2" t="n">
        <v>95.41</v>
      </c>
      <c r="DC626" s="2" t="n">
        <v>0</v>
      </c>
      <c r="DD626" s="2" t="n">
        <v>96.45999999999999</v>
      </c>
      <c r="DE626" s="2" t="n">
        <v>96.47</v>
      </c>
      <c r="DF626" s="2" t="n">
        <v>0</v>
      </c>
      <c r="DG626" s="2" t="n">
        <v>96.79000000000001</v>
      </c>
      <c r="DH626" s="2" t="n">
        <v>97.69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31/08/2028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17.77</v>
      </c>
      <c r="CK627" s="2" t="n">
        <v>0</v>
      </c>
      <c r="CL627" s="2" t="n">
        <v>24.38</v>
      </c>
      <c r="CM627" s="2" t="n">
        <v>25.78</v>
      </c>
      <c r="CN627" s="2" t="n">
        <v>0</v>
      </c>
      <c r="CO627" s="2" t="n">
        <v>32.57</v>
      </c>
      <c r="CP627" s="2" t="n">
        <v>33.98</v>
      </c>
      <c r="CQ627" s="2" t="n">
        <v>0</v>
      </c>
      <c r="CR627" s="2" t="n">
        <v>50.34</v>
      </c>
      <c r="CS627" s="2" t="n">
        <v>44.41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67.84999999999999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90.55</v>
      </c>
      <c r="DI627" s="2" t="n">
        <v>0</v>
      </c>
      <c r="DJ627" s="2" t="n">
        <v>93.8</v>
      </c>
      <c r="DK627" s="2" t="n">
        <v>93.8</v>
      </c>
      <c r="DL627" s="2" t="n">
        <v>0</v>
      </c>
      <c r="DM627" s="2" t="n">
        <v>94.01000000000001</v>
      </c>
      <c r="DN627" s="2" t="n">
        <v>94.64</v>
      </c>
      <c r="DO627" s="2" t="n">
        <v>0</v>
      </c>
      <c r="DP627" s="2" t="n">
        <v>98.90000000000001</v>
      </c>
      <c r="DQ627" s="2" t="n">
        <v>99.23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31/08/2028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17.77</v>
      </c>
      <c r="CK628" s="2" t="n">
        <v>0</v>
      </c>
      <c r="CL628" s="2" t="n">
        <v>24.38</v>
      </c>
      <c r="CM628" s="2" t="n">
        <v>25.78</v>
      </c>
      <c r="CN628" s="2" t="n">
        <v>0</v>
      </c>
      <c r="CO628" s="2" t="n">
        <v>32.57</v>
      </c>
      <c r="CP628" s="2" t="n">
        <v>33.98</v>
      </c>
      <c r="CQ628" s="2" t="n">
        <v>0</v>
      </c>
      <c r="CR628" s="2" t="n">
        <v>50.34</v>
      </c>
      <c r="CS628" s="2" t="n">
        <v>44.41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67.84999999999999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90.55</v>
      </c>
      <c r="DI628" s="2" t="n">
        <v>0</v>
      </c>
      <c r="DJ628" s="2" t="n">
        <v>93.8</v>
      </c>
      <c r="DK628" s="2" t="n">
        <v>93.8</v>
      </c>
      <c r="DL628" s="2" t="n">
        <v>0</v>
      </c>
      <c r="DM628" s="2" t="n">
        <v>94.01000000000001</v>
      </c>
      <c r="DN628" s="2" t="n">
        <v>94.64</v>
      </c>
      <c r="DO628" s="2" t="n">
        <v>0</v>
      </c>
      <c r="DP628" s="2" t="n">
        <v>98.90000000000001</v>
      </c>
      <c r="DQ628" s="2" t="n">
        <v>99.23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31/08/2028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17.77</v>
      </c>
      <c r="CK629" s="2" t="n">
        <v>0</v>
      </c>
      <c r="CL629" s="2" t="n">
        <v>24.38</v>
      </c>
      <c r="CM629" s="2" t="n">
        <v>25.78</v>
      </c>
      <c r="CN629" s="2" t="n">
        <v>0</v>
      </c>
      <c r="CO629" s="2" t="n">
        <v>32.57</v>
      </c>
      <c r="CP629" s="2" t="n">
        <v>33.98</v>
      </c>
      <c r="CQ629" s="2" t="n">
        <v>0</v>
      </c>
      <c r="CR629" s="2" t="n">
        <v>50.34</v>
      </c>
      <c r="CS629" s="2" t="n">
        <v>44.41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67.84999999999999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90.55</v>
      </c>
      <c r="DI629" s="2" t="n">
        <v>0</v>
      </c>
      <c r="DJ629" s="2" t="n">
        <v>93.8</v>
      </c>
      <c r="DK629" s="2" t="n">
        <v>93.8</v>
      </c>
      <c r="DL629" s="2" t="n">
        <v>0</v>
      </c>
      <c r="DM629" s="2" t="n">
        <v>94.01000000000001</v>
      </c>
      <c r="DN629" s="2" t="n">
        <v>94.64</v>
      </c>
      <c r="DO629" s="2" t="n">
        <v>0</v>
      </c>
      <c r="DP629" s="2" t="n">
        <v>98.90000000000001</v>
      </c>
      <c r="DQ629" s="2" t="n">
        <v>99.23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31/08/2028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17.77</v>
      </c>
      <c r="CK630" s="2" t="n">
        <v>0</v>
      </c>
      <c r="CL630" s="2" t="n">
        <v>24.38</v>
      </c>
      <c r="CM630" s="2" t="n">
        <v>25.78</v>
      </c>
      <c r="CN630" s="2" t="n">
        <v>0</v>
      </c>
      <c r="CO630" s="2" t="n">
        <v>32.57</v>
      </c>
      <c r="CP630" s="2" t="n">
        <v>33.98</v>
      </c>
      <c r="CQ630" s="2" t="n">
        <v>0</v>
      </c>
      <c r="CR630" s="2" t="n">
        <v>50.34</v>
      </c>
      <c r="CS630" s="2" t="n">
        <v>44.41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67.84999999999999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90.55</v>
      </c>
      <c r="DI630" s="2" t="n">
        <v>0</v>
      </c>
      <c r="DJ630" s="2" t="n">
        <v>93.8</v>
      </c>
      <c r="DK630" s="2" t="n">
        <v>93.8</v>
      </c>
      <c r="DL630" s="2" t="n">
        <v>0</v>
      </c>
      <c r="DM630" s="2" t="n">
        <v>94.01000000000001</v>
      </c>
      <c r="DN630" s="2" t="n">
        <v>94.64</v>
      </c>
      <c r="DO630" s="2" t="n">
        <v>0</v>
      </c>
      <c r="DP630" s="2" t="n">
        <v>98.90000000000001</v>
      </c>
      <c r="DQ630" s="2" t="n">
        <v>99.23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31/08/2028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17.77</v>
      </c>
      <c r="CK631" s="2" t="n">
        <v>0</v>
      </c>
      <c r="CL631" s="2" t="n">
        <v>24.38</v>
      </c>
      <c r="CM631" s="2" t="n">
        <v>25.78</v>
      </c>
      <c r="CN631" s="2" t="n">
        <v>0</v>
      </c>
      <c r="CO631" s="2" t="n">
        <v>32.57</v>
      </c>
      <c r="CP631" s="2" t="n">
        <v>33.98</v>
      </c>
      <c r="CQ631" s="2" t="n">
        <v>0</v>
      </c>
      <c r="CR631" s="2" t="n">
        <v>50.34</v>
      </c>
      <c r="CS631" s="2" t="n">
        <v>44.41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67.84999999999999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90.55</v>
      </c>
      <c r="DI631" s="2" t="n">
        <v>0</v>
      </c>
      <c r="DJ631" s="2" t="n">
        <v>93.8</v>
      </c>
      <c r="DK631" s="2" t="n">
        <v>93.8</v>
      </c>
      <c r="DL631" s="2" t="n">
        <v>0</v>
      </c>
      <c r="DM631" s="2" t="n">
        <v>94.01000000000001</v>
      </c>
      <c r="DN631" s="2" t="n">
        <v>94.64</v>
      </c>
      <c r="DO631" s="2" t="n">
        <v>0</v>
      </c>
      <c r="DP631" s="2" t="n">
        <v>98.90000000000001</v>
      </c>
      <c r="DQ631" s="2" t="n">
        <v>99.23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31/08/2028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17.77</v>
      </c>
      <c r="CK632" s="2" t="n">
        <v>0</v>
      </c>
      <c r="CL632" s="2" t="n">
        <v>24.38</v>
      </c>
      <c r="CM632" s="2" t="n">
        <v>25.78</v>
      </c>
      <c r="CN632" s="2" t="n">
        <v>0</v>
      </c>
      <c r="CO632" s="2" t="n">
        <v>32.57</v>
      </c>
      <c r="CP632" s="2" t="n">
        <v>33.98</v>
      </c>
      <c r="CQ632" s="2" t="n">
        <v>0</v>
      </c>
      <c r="CR632" s="2" t="n">
        <v>50.34</v>
      </c>
      <c r="CS632" s="2" t="n">
        <v>44.41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67.84999999999999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90.55</v>
      </c>
      <c r="DI632" s="2" t="n">
        <v>0</v>
      </c>
      <c r="DJ632" s="2" t="n">
        <v>93.8</v>
      </c>
      <c r="DK632" s="2" t="n">
        <v>93.8</v>
      </c>
      <c r="DL632" s="2" t="n">
        <v>0</v>
      </c>
      <c r="DM632" s="2" t="n">
        <v>94.01000000000001</v>
      </c>
      <c r="DN632" s="2" t="n">
        <v>94.64</v>
      </c>
      <c r="DO632" s="2" t="n">
        <v>0</v>
      </c>
      <c r="DP632" s="2" t="n">
        <v>98.90000000000001</v>
      </c>
      <c r="DQ632" s="2" t="n">
        <v>99.23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26/06/2028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7.5</v>
      </c>
      <c r="CE633" s="2" t="n">
        <v>0</v>
      </c>
      <c r="CF633" s="2" t="n">
        <v>13.16</v>
      </c>
      <c r="CG633" s="2" t="n">
        <v>14.47</v>
      </c>
      <c r="CH633" s="2" t="n">
        <v>0</v>
      </c>
      <c r="CI633" s="2" t="n">
        <v>19.43</v>
      </c>
      <c r="CJ633" s="2" t="n">
        <v>20.57</v>
      </c>
      <c r="CK633" s="2" t="n">
        <v>0</v>
      </c>
      <c r="CL633" s="2" t="n">
        <v>36.62</v>
      </c>
      <c r="CM633" s="2" t="n">
        <v>35.69</v>
      </c>
      <c r="CN633" s="2" t="n">
        <v>0</v>
      </c>
      <c r="CO633" s="2" t="n">
        <v>46.07</v>
      </c>
      <c r="CP633" s="2" t="n">
        <v>47.59</v>
      </c>
      <c r="CQ633" s="2" t="n">
        <v>0</v>
      </c>
      <c r="CR633" s="2" t="n">
        <v>54.93</v>
      </c>
      <c r="CS633" s="2" t="n">
        <v>56.59</v>
      </c>
      <c r="CT633" s="2" t="n">
        <v>0</v>
      </c>
      <c r="CU633" s="2" t="n">
        <v>61.41</v>
      </c>
      <c r="CV633" s="2" t="n">
        <v>63.03</v>
      </c>
      <c r="CW633" s="2" t="n">
        <v>0</v>
      </c>
      <c r="CX633" s="2" t="n">
        <v>70.68000000000001</v>
      </c>
      <c r="CY633" s="2" t="n">
        <v>72.26000000000001</v>
      </c>
      <c r="CZ633" s="2" t="n">
        <v>0</v>
      </c>
      <c r="DA633" s="2" t="n">
        <v>79.54000000000001</v>
      </c>
      <c r="DB633" s="2" t="n">
        <v>81.23</v>
      </c>
      <c r="DC633" s="2" t="n">
        <v>0</v>
      </c>
      <c r="DD633" s="2" t="n">
        <v>88.27</v>
      </c>
      <c r="DE633" s="2" t="n">
        <v>89.67</v>
      </c>
      <c r="DF633" s="2" t="n">
        <v>0</v>
      </c>
      <c r="DG633" s="2" t="n">
        <v>93.23</v>
      </c>
      <c r="DH633" s="2" t="n">
        <v>93.81</v>
      </c>
      <c r="DI633" s="2" t="n">
        <v>0</v>
      </c>
      <c r="DJ633" s="2" t="n">
        <v>96.37</v>
      </c>
      <c r="DK633" s="2" t="n">
        <v>96.54000000000001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26/06/2028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7.5</v>
      </c>
      <c r="CE634" s="2" t="n">
        <v>0</v>
      </c>
      <c r="CF634" s="2" t="n">
        <v>13.16</v>
      </c>
      <c r="CG634" s="2" t="n">
        <v>14.47</v>
      </c>
      <c r="CH634" s="2" t="n">
        <v>0</v>
      </c>
      <c r="CI634" s="2" t="n">
        <v>19.43</v>
      </c>
      <c r="CJ634" s="2" t="n">
        <v>20.57</v>
      </c>
      <c r="CK634" s="2" t="n">
        <v>0</v>
      </c>
      <c r="CL634" s="2" t="n">
        <v>36.62</v>
      </c>
      <c r="CM634" s="2" t="n">
        <v>35.69</v>
      </c>
      <c r="CN634" s="2" t="n">
        <v>0</v>
      </c>
      <c r="CO634" s="2" t="n">
        <v>46.07</v>
      </c>
      <c r="CP634" s="2" t="n">
        <v>47.59</v>
      </c>
      <c r="CQ634" s="2" t="n">
        <v>0</v>
      </c>
      <c r="CR634" s="2" t="n">
        <v>54.93</v>
      </c>
      <c r="CS634" s="2" t="n">
        <v>56.59</v>
      </c>
      <c r="CT634" s="2" t="n">
        <v>0</v>
      </c>
      <c r="CU634" s="2" t="n">
        <v>61.41</v>
      </c>
      <c r="CV634" s="2" t="n">
        <v>63.03</v>
      </c>
      <c r="CW634" s="2" t="n">
        <v>0</v>
      </c>
      <c r="CX634" s="2" t="n">
        <v>70.68000000000001</v>
      </c>
      <c r="CY634" s="2" t="n">
        <v>72.26000000000001</v>
      </c>
      <c r="CZ634" s="2" t="n">
        <v>0</v>
      </c>
      <c r="DA634" s="2" t="n">
        <v>79.54000000000001</v>
      </c>
      <c r="DB634" s="2" t="n">
        <v>81.23</v>
      </c>
      <c r="DC634" s="2" t="n">
        <v>0</v>
      </c>
      <c r="DD634" s="2" t="n">
        <v>88.27</v>
      </c>
      <c r="DE634" s="2" t="n">
        <v>89.67</v>
      </c>
      <c r="DF634" s="2" t="n">
        <v>0</v>
      </c>
      <c r="DG634" s="2" t="n">
        <v>93.23</v>
      </c>
      <c r="DH634" s="2" t="n">
        <v>93.81</v>
      </c>
      <c r="DI634" s="2" t="n">
        <v>0</v>
      </c>
      <c r="DJ634" s="2" t="n">
        <v>96.37</v>
      </c>
      <c r="DK634" s="2" t="n">
        <v>96.54000000000001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19/05/2028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16.74</v>
      </c>
      <c r="CE635" s="2" t="n">
        <v>0</v>
      </c>
      <c r="CF635" s="2" t="n">
        <v>34.6</v>
      </c>
      <c r="CG635" s="2" t="n">
        <v>35.75</v>
      </c>
      <c r="CH635" s="2" t="n">
        <v>0</v>
      </c>
      <c r="CI635" s="2" t="n">
        <v>41.37</v>
      </c>
      <c r="CJ635" s="2" t="n">
        <v>42.41</v>
      </c>
      <c r="CK635" s="2" t="n">
        <v>0</v>
      </c>
      <c r="CL635" s="2" t="n">
        <v>54.13</v>
      </c>
      <c r="CM635" s="2" t="n">
        <v>55.26</v>
      </c>
      <c r="CN635" s="2" t="n">
        <v>0</v>
      </c>
      <c r="CO635" s="2" t="n">
        <v>59.89</v>
      </c>
      <c r="CP635" s="2" t="n">
        <v>61.18</v>
      </c>
      <c r="CQ635" s="2" t="n">
        <v>0</v>
      </c>
      <c r="CR635" s="2" t="n">
        <v>71.90000000000001</v>
      </c>
      <c r="CS635" s="2" t="n">
        <v>73.09</v>
      </c>
      <c r="CT635" s="2" t="n">
        <v>0</v>
      </c>
      <c r="CU635" s="2" t="n">
        <v>77.02</v>
      </c>
      <c r="CV635" s="2" t="n">
        <v>77.86</v>
      </c>
      <c r="CW635" s="2" t="n">
        <v>0</v>
      </c>
      <c r="CX635" s="2" t="n">
        <v>84.52</v>
      </c>
      <c r="CY635" s="2" t="n">
        <v>87.73999999999999</v>
      </c>
      <c r="CZ635" s="2" t="n">
        <v>0</v>
      </c>
      <c r="DA635" s="2" t="n">
        <v>94.36</v>
      </c>
      <c r="DB635" s="2" t="n">
        <v>95.41</v>
      </c>
      <c r="DC635" s="2" t="n">
        <v>0</v>
      </c>
      <c r="DD635" s="2" t="n">
        <v>96.45999999999999</v>
      </c>
      <c r="DE635" s="2" t="n">
        <v>96.47</v>
      </c>
      <c r="DF635" s="2" t="n">
        <v>0</v>
      </c>
      <c r="DG635" s="2" t="n">
        <v>96.79000000000001</v>
      </c>
      <c r="DH635" s="2" t="n">
        <v>97.69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26/06/2028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18.51</v>
      </c>
      <c r="CK636" s="2" t="n">
        <v>0</v>
      </c>
      <c r="CL636" s="2" t="n">
        <v>34.96</v>
      </c>
      <c r="CM636" s="2" t="n">
        <v>33.84</v>
      </c>
      <c r="CN636" s="2" t="n">
        <v>0</v>
      </c>
      <c r="CO636" s="2" t="n">
        <v>44.76</v>
      </c>
      <c r="CP636" s="2" t="n">
        <v>46.31</v>
      </c>
      <c r="CQ636" s="2" t="n">
        <v>0</v>
      </c>
      <c r="CR636" s="2" t="n">
        <v>53.32</v>
      </c>
      <c r="CS636" s="2" t="n">
        <v>55.03</v>
      </c>
      <c r="CT636" s="2" t="n">
        <v>0</v>
      </c>
      <c r="CU636" s="2" t="n">
        <v>59.94</v>
      </c>
      <c r="CV636" s="2" t="n">
        <v>61.63</v>
      </c>
      <c r="CW636" s="2" t="n">
        <v>0</v>
      </c>
      <c r="CX636" s="2" t="n">
        <v>69.38</v>
      </c>
      <c r="CY636" s="2" t="n">
        <v>70.8</v>
      </c>
      <c r="CZ636" s="2" t="n">
        <v>0</v>
      </c>
      <c r="DA636" s="2" t="n">
        <v>78.14</v>
      </c>
      <c r="DB636" s="2" t="n">
        <v>79.89</v>
      </c>
      <c r="DC636" s="2" t="n">
        <v>0</v>
      </c>
      <c r="DD636" s="2" t="n">
        <v>87.5</v>
      </c>
      <c r="DE636" s="2" t="n">
        <v>89.03</v>
      </c>
      <c r="DF636" s="2" t="n">
        <v>0</v>
      </c>
      <c r="DG636" s="2" t="n">
        <v>92.89</v>
      </c>
      <c r="DH636" s="2" t="n">
        <v>93.44</v>
      </c>
      <c r="DI636" s="2" t="n">
        <v>0</v>
      </c>
      <c r="DJ636" s="2" t="n">
        <v>96.03</v>
      </c>
      <c r="DK636" s="2" t="n">
        <v>96.20999999999999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26/06/2028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18.51</v>
      </c>
      <c r="CK637" s="2" t="n">
        <v>0</v>
      </c>
      <c r="CL637" s="2" t="n">
        <v>34.96</v>
      </c>
      <c r="CM637" s="2" t="n">
        <v>33.84</v>
      </c>
      <c r="CN637" s="2" t="n">
        <v>0</v>
      </c>
      <c r="CO637" s="2" t="n">
        <v>44.76</v>
      </c>
      <c r="CP637" s="2" t="n">
        <v>46.31</v>
      </c>
      <c r="CQ637" s="2" t="n">
        <v>0</v>
      </c>
      <c r="CR637" s="2" t="n">
        <v>53.32</v>
      </c>
      <c r="CS637" s="2" t="n">
        <v>55.03</v>
      </c>
      <c r="CT637" s="2" t="n">
        <v>0</v>
      </c>
      <c r="CU637" s="2" t="n">
        <v>59.94</v>
      </c>
      <c r="CV637" s="2" t="n">
        <v>61.63</v>
      </c>
      <c r="CW637" s="2" t="n">
        <v>0</v>
      </c>
      <c r="CX637" s="2" t="n">
        <v>69.38</v>
      </c>
      <c r="CY637" s="2" t="n">
        <v>70.8</v>
      </c>
      <c r="CZ637" s="2" t="n">
        <v>0</v>
      </c>
      <c r="DA637" s="2" t="n">
        <v>78.14</v>
      </c>
      <c r="DB637" s="2" t="n">
        <v>79.89</v>
      </c>
      <c r="DC637" s="2" t="n">
        <v>0</v>
      </c>
      <c r="DD637" s="2" t="n">
        <v>87.5</v>
      </c>
      <c r="DE637" s="2" t="n">
        <v>89.03</v>
      </c>
      <c r="DF637" s="2" t="n">
        <v>0</v>
      </c>
      <c r="DG637" s="2" t="n">
        <v>92.89</v>
      </c>
      <c r="DH637" s="2" t="n">
        <v>93.44</v>
      </c>
      <c r="DI637" s="2" t="n">
        <v>0</v>
      </c>
      <c r="DJ637" s="2" t="n">
        <v>96.03</v>
      </c>
      <c r="DK637" s="2" t="n">
        <v>96.20999999999999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26/06/2028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18.51</v>
      </c>
      <c r="CK638" s="2" t="n">
        <v>0</v>
      </c>
      <c r="CL638" s="2" t="n">
        <v>34.96</v>
      </c>
      <c r="CM638" s="2" t="n">
        <v>33.84</v>
      </c>
      <c r="CN638" s="2" t="n">
        <v>0</v>
      </c>
      <c r="CO638" s="2" t="n">
        <v>44.76</v>
      </c>
      <c r="CP638" s="2" t="n">
        <v>46.31</v>
      </c>
      <c r="CQ638" s="2" t="n">
        <v>0</v>
      </c>
      <c r="CR638" s="2" t="n">
        <v>53.32</v>
      </c>
      <c r="CS638" s="2" t="n">
        <v>55.03</v>
      </c>
      <c r="CT638" s="2" t="n">
        <v>0</v>
      </c>
      <c r="CU638" s="2" t="n">
        <v>59.94</v>
      </c>
      <c r="CV638" s="2" t="n">
        <v>61.63</v>
      </c>
      <c r="CW638" s="2" t="n">
        <v>0</v>
      </c>
      <c r="CX638" s="2" t="n">
        <v>69.38</v>
      </c>
      <c r="CY638" s="2" t="n">
        <v>70.8</v>
      </c>
      <c r="CZ638" s="2" t="n">
        <v>0</v>
      </c>
      <c r="DA638" s="2" t="n">
        <v>78.14</v>
      </c>
      <c r="DB638" s="2" t="n">
        <v>79.89</v>
      </c>
      <c r="DC638" s="2" t="n">
        <v>0</v>
      </c>
      <c r="DD638" s="2" t="n">
        <v>87.5</v>
      </c>
      <c r="DE638" s="2" t="n">
        <v>89.03</v>
      </c>
      <c r="DF638" s="2" t="n">
        <v>0</v>
      </c>
      <c r="DG638" s="2" t="n">
        <v>92.89</v>
      </c>
      <c r="DH638" s="2" t="n">
        <v>93.44</v>
      </c>
      <c r="DI638" s="2" t="n">
        <v>0</v>
      </c>
      <c r="DJ638" s="2" t="n">
        <v>96.03</v>
      </c>
      <c r="DK638" s="2" t="n">
        <v>96.20999999999999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26/06/2028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18.51</v>
      </c>
      <c r="CK639" s="2" t="n">
        <v>0</v>
      </c>
      <c r="CL639" s="2" t="n">
        <v>34.96</v>
      </c>
      <c r="CM639" s="2" t="n">
        <v>33.84</v>
      </c>
      <c r="CN639" s="2" t="n">
        <v>0</v>
      </c>
      <c r="CO639" s="2" t="n">
        <v>44.76</v>
      </c>
      <c r="CP639" s="2" t="n">
        <v>46.31</v>
      </c>
      <c r="CQ639" s="2" t="n">
        <v>0</v>
      </c>
      <c r="CR639" s="2" t="n">
        <v>53.32</v>
      </c>
      <c r="CS639" s="2" t="n">
        <v>55.03</v>
      </c>
      <c r="CT639" s="2" t="n">
        <v>0</v>
      </c>
      <c r="CU639" s="2" t="n">
        <v>59.94</v>
      </c>
      <c r="CV639" s="2" t="n">
        <v>61.63</v>
      </c>
      <c r="CW639" s="2" t="n">
        <v>0</v>
      </c>
      <c r="CX639" s="2" t="n">
        <v>69.38</v>
      </c>
      <c r="CY639" s="2" t="n">
        <v>70.8</v>
      </c>
      <c r="CZ639" s="2" t="n">
        <v>0</v>
      </c>
      <c r="DA639" s="2" t="n">
        <v>78.14</v>
      </c>
      <c r="DB639" s="2" t="n">
        <v>79.89</v>
      </c>
      <c r="DC639" s="2" t="n">
        <v>0</v>
      </c>
      <c r="DD639" s="2" t="n">
        <v>87.5</v>
      </c>
      <c r="DE639" s="2" t="n">
        <v>89.03</v>
      </c>
      <c r="DF639" s="2" t="n">
        <v>0</v>
      </c>
      <c r="DG639" s="2" t="n">
        <v>92.89</v>
      </c>
      <c r="DH639" s="2" t="n">
        <v>93.44</v>
      </c>
      <c r="DI639" s="2" t="n">
        <v>0</v>
      </c>
      <c r="DJ639" s="2" t="n">
        <v>96.03</v>
      </c>
      <c r="DK639" s="2" t="n">
        <v>96.20999999999999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26/02/2029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4.48</v>
      </c>
      <c r="CN640" s="2" t="n">
        <v>0</v>
      </c>
      <c r="CO640" s="2" t="n">
        <v>8.699999999999999</v>
      </c>
      <c r="CP640" s="2" t="n">
        <v>9.890000000000001</v>
      </c>
      <c r="CQ640" s="2" t="n">
        <v>0</v>
      </c>
      <c r="CR640" s="2" t="n">
        <v>14.45</v>
      </c>
      <c r="CS640" s="2" t="n">
        <v>15.6</v>
      </c>
      <c r="CT640" s="2" t="n">
        <v>0</v>
      </c>
      <c r="CU640" s="2" t="n">
        <v>21.96</v>
      </c>
      <c r="CV640" s="2" t="n">
        <v>22.54</v>
      </c>
      <c r="CW640" s="2" t="n">
        <v>0</v>
      </c>
      <c r="CX640" s="2" t="n">
        <v>30.98</v>
      </c>
      <c r="CY640" s="2" t="n">
        <v>32.08</v>
      </c>
      <c r="CZ640" s="2" t="n">
        <v>0</v>
      </c>
      <c r="DA640" s="2" t="n">
        <v>37.48</v>
      </c>
      <c r="DB640" s="2" t="n">
        <v>39.14</v>
      </c>
      <c r="DC640" s="2" t="n">
        <v>0</v>
      </c>
      <c r="DD640" s="2" t="n">
        <v>45.94</v>
      </c>
      <c r="DE640" s="2" t="n">
        <v>47.24</v>
      </c>
      <c r="DF640" s="2" t="n">
        <v>0</v>
      </c>
      <c r="DG640" s="2" t="n">
        <v>52.94</v>
      </c>
      <c r="DH640" s="2" t="n">
        <v>54.43</v>
      </c>
      <c r="DI640" s="2" t="n">
        <v>0</v>
      </c>
      <c r="DJ640" s="2" t="n">
        <v>60.38</v>
      </c>
      <c r="DK640" s="2" t="n">
        <v>62.09</v>
      </c>
      <c r="DL640" s="2" t="n">
        <v>0</v>
      </c>
      <c r="DM640" s="2" t="n">
        <v>68.66</v>
      </c>
      <c r="DN640" s="2" t="n">
        <v>70.34999999999999</v>
      </c>
      <c r="DO640" s="2" t="n">
        <v>0</v>
      </c>
      <c r="DP640" s="2" t="n">
        <v>75.81</v>
      </c>
      <c r="DQ640" s="2" t="n">
        <v>76.81</v>
      </c>
      <c r="DR640" s="2" t="n">
        <v>0</v>
      </c>
      <c r="DS640" s="2" t="n">
        <v>80.09999999999999</v>
      </c>
      <c r="DT640" s="2" t="n">
        <v>80.05</v>
      </c>
      <c r="DU640" s="2" t="n">
        <v>0</v>
      </c>
      <c r="DV640" s="2" t="n">
        <v>85.06</v>
      </c>
      <c r="DW640" s="2" t="n">
        <v>85.38</v>
      </c>
      <c r="DX640" s="2" t="n">
        <v>0</v>
      </c>
      <c r="DY640" s="2" t="n">
        <v>89.40000000000001</v>
      </c>
      <c r="DZ640" s="2" t="n">
        <v>89.81999999999999</v>
      </c>
      <c r="EA640" s="2" t="n">
        <v>0</v>
      </c>
      <c r="EB640" s="2" t="n">
        <v>91.33</v>
      </c>
      <c r="EC640" s="2" t="n">
        <v>91.95</v>
      </c>
      <c r="ED640" s="2" t="n">
        <v>0</v>
      </c>
      <c r="EE640" s="2" t="n">
        <v>94.48999999999999</v>
      </c>
      <c r="EF640" s="2" t="n">
        <v>94.66</v>
      </c>
      <c r="EG640" s="2" t="n">
        <v>0</v>
      </c>
      <c r="EH640" s="2" t="n">
        <v>98.95999999999999</v>
      </c>
      <c r="EI640" s="2" t="n">
        <v>98.45999999999999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17/01/2029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</v>
      </c>
      <c r="DC641" s="2" t="n">
        <v>0</v>
      </c>
      <c r="DD641" s="2" t="n">
        <v>44.31</v>
      </c>
      <c r="DE641" s="2" t="n">
        <v>45.19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64.11</v>
      </c>
      <c r="DL641" s="2" t="n">
        <v>0</v>
      </c>
      <c r="DM641" s="2" t="n">
        <v>71.59999999999999</v>
      </c>
      <c r="DN641" s="2" t="n">
        <v>73.56999999999999</v>
      </c>
      <c r="DO641" s="2" t="n">
        <v>0</v>
      </c>
      <c r="DP641" s="2" t="n">
        <v>79.5</v>
      </c>
      <c r="DQ641" s="2" t="n">
        <v>80.62</v>
      </c>
      <c r="DR641" s="2" t="n">
        <v>0</v>
      </c>
      <c r="DS641" s="2" t="n">
        <v>83.81999999999999</v>
      </c>
      <c r="DT641" s="2" t="n">
        <v>84.48</v>
      </c>
      <c r="DU641" s="2" t="n">
        <v>0</v>
      </c>
      <c r="DV641" s="2" t="n">
        <v>88.51000000000001</v>
      </c>
      <c r="DW641" s="2" t="n">
        <v>90.17</v>
      </c>
      <c r="DX641" s="2" t="n">
        <v>0</v>
      </c>
      <c r="DY641" s="2" t="n">
        <v>93.03</v>
      </c>
      <c r="DZ641" s="2" t="n">
        <v>93.73999999999999</v>
      </c>
      <c r="EA641" s="2" t="n">
        <v>0</v>
      </c>
      <c r="EB641" s="2" t="n">
        <v>96.20999999999999</v>
      </c>
      <c r="EC641" s="2" t="n">
        <v>96.81999999999999</v>
      </c>
      <c r="ED641" s="2" t="n">
        <v>0</v>
      </c>
      <c r="EE641" s="2" t="n">
        <v>97.95999999999999</v>
      </c>
      <c r="EF641" s="2" t="n">
        <v>98.84999999999999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49.13</v>
      </c>
      <c r="DC642" s="2" t="n">
        <v>0</v>
      </c>
      <c r="DD642" s="2" t="n">
        <v>57.62</v>
      </c>
      <c r="DE642" s="2" t="n">
        <v>59.11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86.63</v>
      </c>
      <c r="DO642" s="2" t="n">
        <v>0</v>
      </c>
      <c r="DP642" s="2" t="n">
        <v>92.72</v>
      </c>
      <c r="DQ642" s="2" t="n">
        <v>93.28</v>
      </c>
      <c r="DR642" s="2" t="n">
        <v>0</v>
      </c>
      <c r="DS642" s="2" t="n">
        <v>95.48</v>
      </c>
      <c r="DT642" s="2" t="n">
        <v>95.76000000000001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49.13</v>
      </c>
      <c r="DC643" s="2" t="n">
        <v>0</v>
      </c>
      <c r="DD643" s="2" t="n">
        <v>57.62</v>
      </c>
      <c r="DE643" s="2" t="n">
        <v>59.11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86.63</v>
      </c>
      <c r="DO643" s="2" t="n">
        <v>0</v>
      </c>
      <c r="DP643" s="2" t="n">
        <v>92.72</v>
      </c>
      <c r="DQ643" s="2" t="n">
        <v>93.28</v>
      </c>
      <c r="DR643" s="2" t="n">
        <v>0</v>
      </c>
      <c r="DS643" s="2" t="n">
        <v>95.48</v>
      </c>
      <c r="DT643" s="2" t="n">
        <v>95.76000000000001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49.13</v>
      </c>
      <c r="DC644" s="2" t="n">
        <v>0</v>
      </c>
      <c r="DD644" s="2" t="n">
        <v>57.62</v>
      </c>
      <c r="DE644" s="2" t="n">
        <v>59.11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86.63</v>
      </c>
      <c r="DO644" s="2" t="n">
        <v>0</v>
      </c>
      <c r="DP644" s="2" t="n">
        <v>92.72</v>
      </c>
      <c r="DQ644" s="2" t="n">
        <v>93.28</v>
      </c>
      <c r="DR644" s="2" t="n">
        <v>0</v>
      </c>
      <c r="DS644" s="2" t="n">
        <v>95.48</v>
      </c>
      <c r="DT644" s="2" t="n">
        <v>95.76000000000001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49.13</v>
      </c>
      <c r="DC645" s="2" t="n">
        <v>0</v>
      </c>
      <c r="DD645" s="2" t="n">
        <v>57.62</v>
      </c>
      <c r="DE645" s="2" t="n">
        <v>59.11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86.63</v>
      </c>
      <c r="DO645" s="2" t="n">
        <v>0</v>
      </c>
      <c r="DP645" s="2" t="n">
        <v>92.72</v>
      </c>
      <c r="DQ645" s="2" t="n">
        <v>93.28</v>
      </c>
      <c r="DR645" s="2" t="n">
        <v>0</v>
      </c>
      <c r="DS645" s="2" t="n">
        <v>95.48</v>
      </c>
      <c r="DT645" s="2" t="n">
        <v>95.76000000000001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49.13</v>
      </c>
      <c r="DC646" s="2" t="n">
        <v>0</v>
      </c>
      <c r="DD646" s="2" t="n">
        <v>57.62</v>
      </c>
      <c r="DE646" s="2" t="n">
        <v>59.11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86.63</v>
      </c>
      <c r="DO646" s="2" t="n">
        <v>0</v>
      </c>
      <c r="DP646" s="2" t="n">
        <v>92.72</v>
      </c>
      <c r="DQ646" s="2" t="n">
        <v>93.28</v>
      </c>
      <c r="DR646" s="2" t="n">
        <v>0</v>
      </c>
      <c r="DS646" s="2" t="n">
        <v>95.48</v>
      </c>
      <c r="DT646" s="2" t="n">
        <v>95.76000000000001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49.13</v>
      </c>
      <c r="DC647" s="2" t="n">
        <v>0</v>
      </c>
      <c r="DD647" s="2" t="n">
        <v>57.62</v>
      </c>
      <c r="DE647" s="2" t="n">
        <v>59.11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86.63</v>
      </c>
      <c r="DO647" s="2" t="n">
        <v>0</v>
      </c>
      <c r="DP647" s="2" t="n">
        <v>92.72</v>
      </c>
      <c r="DQ647" s="2" t="n">
        <v>93.28</v>
      </c>
      <c r="DR647" s="2" t="n">
        <v>0</v>
      </c>
      <c r="DS647" s="2" t="n">
        <v>95.48</v>
      </c>
      <c r="DT647" s="2" t="n">
        <v>95.76000000000001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49.13</v>
      </c>
      <c r="DC648" s="2" t="n">
        <v>0</v>
      </c>
      <c r="DD648" s="2" t="n">
        <v>57.62</v>
      </c>
      <c r="DE648" s="2" t="n">
        <v>59.11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86.63</v>
      </c>
      <c r="DO648" s="2" t="n">
        <v>0</v>
      </c>
      <c r="DP648" s="2" t="n">
        <v>92.72</v>
      </c>
      <c r="DQ648" s="2" t="n">
        <v>93.28</v>
      </c>
      <c r="DR648" s="2" t="n">
        <v>0</v>
      </c>
      <c r="DS648" s="2" t="n">
        <v>95.48</v>
      </c>
      <c r="DT648" s="2" t="n">
        <v>95.76000000000001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49.13</v>
      </c>
      <c r="DC649" s="2" t="n">
        <v>0</v>
      </c>
      <c r="DD649" s="2" t="n">
        <v>57.62</v>
      </c>
      <c r="DE649" s="2" t="n">
        <v>59.11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86.63</v>
      </c>
      <c r="DO649" s="2" t="n">
        <v>0</v>
      </c>
      <c r="DP649" s="2" t="n">
        <v>92.72</v>
      </c>
      <c r="DQ649" s="2" t="n">
        <v>93.28</v>
      </c>
      <c r="DR649" s="2" t="n">
        <v>0</v>
      </c>
      <c r="DS649" s="2" t="n">
        <v>95.48</v>
      </c>
      <c r="DT649" s="2" t="n">
        <v>95.76000000000001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12/06/2028</t>
        </is>
      </c>
      <c r="E650" s="2" t="inlineStr">
        <is>
          <t>26/06/2028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12/06/2028</t>
        </is>
      </c>
      <c r="E651" s="2" t="inlineStr">
        <is>
          <t>26/06/2028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04/04/2028</t>
        </is>
      </c>
      <c r="E659" s="2" t="inlineStr">
        <is>
          <t>17/01/2029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0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27.48</v>
      </c>
      <c r="DU659" s="2" t="n">
        <v>0</v>
      </c>
      <c r="DV659" s="2" t="n">
        <v>41.99</v>
      </c>
      <c r="DW659" s="2" t="n">
        <v>44.7</v>
      </c>
      <c r="DX659" s="2" t="n">
        <v>0</v>
      </c>
      <c r="DY659" s="2" t="n">
        <v>59.62</v>
      </c>
      <c r="DZ659" s="2" t="n">
        <v>62.09</v>
      </c>
      <c r="EA659" s="2" t="n">
        <v>0</v>
      </c>
      <c r="EB659" s="2" t="n">
        <v>75.28</v>
      </c>
      <c r="EC659" s="2" t="n">
        <v>77.75</v>
      </c>
      <c r="ED659" s="2" t="n">
        <v>0</v>
      </c>
      <c r="EE659" s="2" t="n">
        <v>87.64</v>
      </c>
      <c r="EF659" s="2" t="n">
        <v>90.11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04/04/2028</t>
        </is>
      </c>
      <c r="E660" s="2" t="inlineStr">
        <is>
          <t>17/01/2029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0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27.48</v>
      </c>
      <c r="DU660" s="2" t="n">
        <v>0</v>
      </c>
      <c r="DV660" s="2" t="n">
        <v>41.99</v>
      </c>
      <c r="DW660" s="2" t="n">
        <v>44.7</v>
      </c>
      <c r="DX660" s="2" t="n">
        <v>0</v>
      </c>
      <c r="DY660" s="2" t="n">
        <v>59.62</v>
      </c>
      <c r="DZ660" s="2" t="n">
        <v>62.09</v>
      </c>
      <c r="EA660" s="2" t="n">
        <v>0</v>
      </c>
      <c r="EB660" s="2" t="n">
        <v>75.28</v>
      </c>
      <c r="EC660" s="2" t="n">
        <v>77.75</v>
      </c>
      <c r="ED660" s="2" t="n">
        <v>0</v>
      </c>
      <c r="EE660" s="2" t="n">
        <v>87.64</v>
      </c>
      <c r="EF660" s="2" t="n">
        <v>90.11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04/04/2028</t>
        </is>
      </c>
      <c r="E661" s="2" t="inlineStr">
        <is>
          <t>17/01/2029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0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27.48</v>
      </c>
      <c r="DU661" s="2" t="n">
        <v>0</v>
      </c>
      <c r="DV661" s="2" t="n">
        <v>41.99</v>
      </c>
      <c r="DW661" s="2" t="n">
        <v>44.7</v>
      </c>
      <c r="DX661" s="2" t="n">
        <v>0</v>
      </c>
      <c r="DY661" s="2" t="n">
        <v>59.62</v>
      </c>
      <c r="DZ661" s="2" t="n">
        <v>62.09</v>
      </c>
      <c r="EA661" s="2" t="n">
        <v>0</v>
      </c>
      <c r="EB661" s="2" t="n">
        <v>75.28</v>
      </c>
      <c r="EC661" s="2" t="n">
        <v>77.75</v>
      </c>
      <c r="ED661" s="2" t="n">
        <v>0</v>
      </c>
      <c r="EE661" s="2" t="n">
        <v>87.64</v>
      </c>
      <c r="EF661" s="2" t="n">
        <v>90.11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04/04/2028</t>
        </is>
      </c>
      <c r="E662" s="2" t="inlineStr">
        <is>
          <t>17/01/2029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0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27.48</v>
      </c>
      <c r="DU662" s="2" t="n">
        <v>0</v>
      </c>
      <c r="DV662" s="2" t="n">
        <v>41.99</v>
      </c>
      <c r="DW662" s="2" t="n">
        <v>44.7</v>
      </c>
      <c r="DX662" s="2" t="n">
        <v>0</v>
      </c>
      <c r="DY662" s="2" t="n">
        <v>59.62</v>
      </c>
      <c r="DZ662" s="2" t="n">
        <v>62.09</v>
      </c>
      <c r="EA662" s="2" t="n">
        <v>0</v>
      </c>
      <c r="EB662" s="2" t="n">
        <v>75.28</v>
      </c>
      <c r="EC662" s="2" t="n">
        <v>77.75</v>
      </c>
      <c r="ED662" s="2" t="n">
        <v>0</v>
      </c>
      <c r="EE662" s="2" t="n">
        <v>87.64</v>
      </c>
      <c r="EF662" s="2" t="n">
        <v>90.11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04/04/2028</t>
        </is>
      </c>
      <c r="E663" s="2" t="inlineStr">
        <is>
          <t>17/01/2029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0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27.48</v>
      </c>
      <c r="DU663" s="2" t="n">
        <v>0</v>
      </c>
      <c r="DV663" s="2" t="n">
        <v>41.99</v>
      </c>
      <c r="DW663" s="2" t="n">
        <v>44.7</v>
      </c>
      <c r="DX663" s="2" t="n">
        <v>0</v>
      </c>
      <c r="DY663" s="2" t="n">
        <v>59.62</v>
      </c>
      <c r="DZ663" s="2" t="n">
        <v>62.09</v>
      </c>
      <c r="EA663" s="2" t="n">
        <v>0</v>
      </c>
      <c r="EB663" s="2" t="n">
        <v>75.28</v>
      </c>
      <c r="EC663" s="2" t="n">
        <v>77.75</v>
      </c>
      <c r="ED663" s="2" t="n">
        <v>0</v>
      </c>
      <c r="EE663" s="2" t="n">
        <v>87.64</v>
      </c>
      <c r="EF663" s="2" t="n">
        <v>90.11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26/02/2029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8.41</v>
      </c>
      <c r="DU677" s="2" t="n">
        <v>0</v>
      </c>
      <c r="DV677" s="2" t="n">
        <v>29.1</v>
      </c>
      <c r="DW677" s="2" t="n">
        <v>24.33</v>
      </c>
      <c r="DX677" s="2" t="n">
        <v>0</v>
      </c>
      <c r="DY677" s="2" t="n">
        <v>41.04</v>
      </c>
      <c r="DZ677" s="2" t="n">
        <v>41.04</v>
      </c>
      <c r="EA677" s="2" t="n">
        <v>0</v>
      </c>
      <c r="EB677" s="2" t="n">
        <v>42.49</v>
      </c>
      <c r="EC677" s="2" t="n">
        <v>44.67</v>
      </c>
      <c r="ED677" s="2" t="n">
        <v>0</v>
      </c>
      <c r="EE677" s="2" t="n">
        <v>61.33</v>
      </c>
      <c r="EF677" s="2" t="n">
        <v>58.74</v>
      </c>
      <c r="EG677" s="2" t="n">
        <v>0</v>
      </c>
      <c r="EH677" s="2" t="n">
        <v>90.45</v>
      </c>
      <c r="EI677" s="2" t="n">
        <v>85.68000000000001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29/08/2028</t>
        </is>
      </c>
      <c r="E678" s="2" t="inlineStr">
        <is>
          <t>26/02/2029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3.41</v>
      </c>
      <c r="DU678" s="2" t="n">
        <v>0</v>
      </c>
      <c r="DV678" s="2" t="n">
        <v>32.95</v>
      </c>
      <c r="DW678" s="2" t="n">
        <v>26.14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54.55</v>
      </c>
      <c r="EG678" s="2" t="n">
        <v>0</v>
      </c>
      <c r="EH678" s="2" t="n">
        <v>86.36</v>
      </c>
      <c r="EI678" s="2" t="n">
        <v>79.55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29/08/2028</t>
        </is>
      </c>
      <c r="E679" s="2" t="inlineStr">
        <is>
          <t>26/02/2029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3.41</v>
      </c>
      <c r="DU679" s="2" t="n">
        <v>0</v>
      </c>
      <c r="DV679" s="2" t="n">
        <v>32.95</v>
      </c>
      <c r="DW679" s="2" t="n">
        <v>26.14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54.55</v>
      </c>
      <c r="EG679" s="2" t="n">
        <v>0</v>
      </c>
      <c r="EH679" s="2" t="n">
        <v>86.36</v>
      </c>
      <c r="EI679" s="2" t="n">
        <v>79.55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29/08/2028</t>
        </is>
      </c>
      <c r="E680" s="2" t="inlineStr">
        <is>
          <t>26/02/2029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3.41</v>
      </c>
      <c r="DU680" s="2" t="n">
        <v>0</v>
      </c>
      <c r="DV680" s="2" t="n">
        <v>32.95</v>
      </c>
      <c r="DW680" s="2" t="n">
        <v>26.14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54.55</v>
      </c>
      <c r="EG680" s="2" t="n">
        <v>0</v>
      </c>
      <c r="EH680" s="2" t="n">
        <v>86.36</v>
      </c>
      <c r="EI680" s="2" t="n">
        <v>79.55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24/11/2028</t>
        </is>
      </c>
      <c r="E683" s="2" t="inlineStr">
        <is>
          <t>18/01/2029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0</v>
      </c>
      <c r="EA683" s="2" t="n">
        <v>0</v>
      </c>
      <c r="EB683" s="2" t="n">
        <v>6.06</v>
      </c>
      <c r="EC683" s="2" t="n">
        <v>15.15</v>
      </c>
      <c r="ED683" s="2" t="n">
        <v>0</v>
      </c>
      <c r="EE683" s="2" t="n">
        <v>51.52</v>
      </c>
      <c r="EF683" s="2" t="n">
        <v>60.61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24/11/2028</t>
        </is>
      </c>
      <c r="E684" s="2" t="inlineStr">
        <is>
          <t>18/01/2029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0</v>
      </c>
      <c r="EA684" s="2" t="n">
        <v>0</v>
      </c>
      <c r="EB684" s="2" t="n">
        <v>6.06</v>
      </c>
      <c r="EC684" s="2" t="n">
        <v>15.15</v>
      </c>
      <c r="ED684" s="2" t="n">
        <v>0</v>
      </c>
      <c r="EE684" s="2" t="n">
        <v>51.52</v>
      </c>
      <c r="EF684" s="2" t="n">
        <v>60.61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24/11/2028</t>
        </is>
      </c>
      <c r="E685" s="2" t="inlineStr">
        <is>
          <t>18/01/2029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0</v>
      </c>
      <c r="EA685" s="2" t="n">
        <v>0</v>
      </c>
      <c r="EB685" s="2" t="n">
        <v>6.06</v>
      </c>
      <c r="EC685" s="2" t="n">
        <v>15.15</v>
      </c>
      <c r="ED685" s="2" t="n">
        <v>0</v>
      </c>
      <c r="EE685" s="2" t="n">
        <v>51.52</v>
      </c>
      <c r="EF685" s="2" t="n">
        <v>60.61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26/02/2029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50</v>
      </c>
      <c r="EA686" s="2" t="n">
        <v>0</v>
      </c>
      <c r="EB686" s="2" t="n">
        <v>51.52</v>
      </c>
      <c r="EC686" s="2" t="n">
        <v>53.79</v>
      </c>
      <c r="ED686" s="2" t="n">
        <v>0</v>
      </c>
      <c r="EE686" s="2" t="n">
        <v>68.56</v>
      </c>
      <c r="EF686" s="2" t="n">
        <v>67.42</v>
      </c>
      <c r="EG686" s="2" t="n">
        <v>0</v>
      </c>
      <c r="EH686" s="2" t="n">
        <v>93.18000000000001</v>
      </c>
      <c r="EI686" s="2" t="n">
        <v>89.77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26/02/2029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50</v>
      </c>
      <c r="EA687" s="2" t="n">
        <v>0</v>
      </c>
      <c r="EB687" s="2" t="n">
        <v>51.52</v>
      </c>
      <c r="EC687" s="2" t="n">
        <v>53.79</v>
      </c>
      <c r="ED687" s="2" t="n">
        <v>0</v>
      </c>
      <c r="EE687" s="2" t="n">
        <v>68.56</v>
      </c>
      <c r="EF687" s="2" t="n">
        <v>67.42</v>
      </c>
      <c r="EG687" s="2" t="n">
        <v>0</v>
      </c>
      <c r="EH687" s="2" t="n">
        <v>93.18000000000001</v>
      </c>
      <c r="EI687" s="2" t="n">
        <v>89.77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9.67</v>
      </c>
      <c r="CN688" s="2" t="n">
        <v>0</v>
      </c>
      <c r="CO688" s="2" t="n">
        <v>16.11</v>
      </c>
      <c r="CP688" s="2" t="n">
        <v>17.56</v>
      </c>
      <c r="CQ688" s="2" t="n">
        <v>0</v>
      </c>
      <c r="CR688" s="2" t="n">
        <v>24.53</v>
      </c>
      <c r="CS688" s="2" t="n">
        <v>25.99</v>
      </c>
      <c r="CT688" s="2" t="n">
        <v>0</v>
      </c>
      <c r="CU688" s="2" t="n">
        <v>43.83</v>
      </c>
      <c r="CV688" s="2" t="n">
        <v>42.8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70.75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92.58</v>
      </c>
      <c r="DO688" s="2" t="n">
        <v>0</v>
      </c>
      <c r="DP688" s="2" t="n">
        <v>95.65000000000001</v>
      </c>
      <c r="DQ688" s="2" t="n">
        <v>95.78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9.67</v>
      </c>
      <c r="CN689" s="2" t="n">
        <v>0</v>
      </c>
      <c r="CO689" s="2" t="n">
        <v>16.11</v>
      </c>
      <c r="CP689" s="2" t="n">
        <v>17.56</v>
      </c>
      <c r="CQ689" s="2" t="n">
        <v>0</v>
      </c>
      <c r="CR689" s="2" t="n">
        <v>24.53</v>
      </c>
      <c r="CS689" s="2" t="n">
        <v>25.99</v>
      </c>
      <c r="CT689" s="2" t="n">
        <v>0</v>
      </c>
      <c r="CU689" s="2" t="n">
        <v>43.83</v>
      </c>
      <c r="CV689" s="2" t="n">
        <v>42.8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70.75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92.58</v>
      </c>
      <c r="DO689" s="2" t="n">
        <v>0</v>
      </c>
      <c r="DP689" s="2" t="n">
        <v>95.65000000000001</v>
      </c>
      <c r="DQ689" s="2" t="n">
        <v>95.78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9.67</v>
      </c>
      <c r="CN690" s="2" t="n">
        <v>0</v>
      </c>
      <c r="CO690" s="2" t="n">
        <v>16.11</v>
      </c>
      <c r="CP690" s="2" t="n">
        <v>17.56</v>
      </c>
      <c r="CQ690" s="2" t="n">
        <v>0</v>
      </c>
      <c r="CR690" s="2" t="n">
        <v>24.53</v>
      </c>
      <c r="CS690" s="2" t="n">
        <v>25.99</v>
      </c>
      <c r="CT690" s="2" t="n">
        <v>0</v>
      </c>
      <c r="CU690" s="2" t="n">
        <v>43.83</v>
      </c>
      <c r="CV690" s="2" t="n">
        <v>42.8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70.75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92.58</v>
      </c>
      <c r="DO690" s="2" t="n">
        <v>0</v>
      </c>
      <c r="DP690" s="2" t="n">
        <v>95.65000000000001</v>
      </c>
      <c r="DQ690" s="2" t="n">
        <v>95.78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9.67</v>
      </c>
      <c r="CN691" s="2" t="n">
        <v>0</v>
      </c>
      <c r="CO691" s="2" t="n">
        <v>16.11</v>
      </c>
      <c r="CP691" s="2" t="n">
        <v>17.56</v>
      </c>
      <c r="CQ691" s="2" t="n">
        <v>0</v>
      </c>
      <c r="CR691" s="2" t="n">
        <v>24.53</v>
      </c>
      <c r="CS691" s="2" t="n">
        <v>25.99</v>
      </c>
      <c r="CT691" s="2" t="n">
        <v>0</v>
      </c>
      <c r="CU691" s="2" t="n">
        <v>43.83</v>
      </c>
      <c r="CV691" s="2" t="n">
        <v>42.8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70.75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92.58</v>
      </c>
      <c r="DO691" s="2" t="n">
        <v>0</v>
      </c>
      <c r="DP691" s="2" t="n">
        <v>95.65000000000001</v>
      </c>
      <c r="DQ691" s="2" t="n">
        <v>95.78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9.67</v>
      </c>
      <c r="CN692" s="2" t="n">
        <v>0</v>
      </c>
      <c r="CO692" s="2" t="n">
        <v>16.11</v>
      </c>
      <c r="CP692" s="2" t="n">
        <v>17.56</v>
      </c>
      <c r="CQ692" s="2" t="n">
        <v>0</v>
      </c>
      <c r="CR692" s="2" t="n">
        <v>24.53</v>
      </c>
      <c r="CS692" s="2" t="n">
        <v>25.99</v>
      </c>
      <c r="CT692" s="2" t="n">
        <v>0</v>
      </c>
      <c r="CU692" s="2" t="n">
        <v>43.83</v>
      </c>
      <c r="CV692" s="2" t="n">
        <v>42.8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70.75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92.58</v>
      </c>
      <c r="DO692" s="2" t="n">
        <v>0</v>
      </c>
      <c r="DP692" s="2" t="n">
        <v>95.65000000000001</v>
      </c>
      <c r="DQ692" s="2" t="n">
        <v>95.78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9.67</v>
      </c>
      <c r="CN693" s="2" t="n">
        <v>0</v>
      </c>
      <c r="CO693" s="2" t="n">
        <v>16.11</v>
      </c>
      <c r="CP693" s="2" t="n">
        <v>17.56</v>
      </c>
      <c r="CQ693" s="2" t="n">
        <v>0</v>
      </c>
      <c r="CR693" s="2" t="n">
        <v>24.53</v>
      </c>
      <c r="CS693" s="2" t="n">
        <v>25.99</v>
      </c>
      <c r="CT693" s="2" t="n">
        <v>0</v>
      </c>
      <c r="CU693" s="2" t="n">
        <v>43.83</v>
      </c>
      <c r="CV693" s="2" t="n">
        <v>42.8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70.75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92.58</v>
      </c>
      <c r="DO693" s="2" t="n">
        <v>0</v>
      </c>
      <c r="DP693" s="2" t="n">
        <v>95.65000000000001</v>
      </c>
      <c r="DQ693" s="2" t="n">
        <v>95.78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9.67</v>
      </c>
      <c r="CN694" s="2" t="n">
        <v>0</v>
      </c>
      <c r="CO694" s="2" t="n">
        <v>16.11</v>
      </c>
      <c r="CP694" s="2" t="n">
        <v>17.56</v>
      </c>
      <c r="CQ694" s="2" t="n">
        <v>0</v>
      </c>
      <c r="CR694" s="2" t="n">
        <v>24.53</v>
      </c>
      <c r="CS694" s="2" t="n">
        <v>25.99</v>
      </c>
      <c r="CT694" s="2" t="n">
        <v>0</v>
      </c>
      <c r="CU694" s="2" t="n">
        <v>43.83</v>
      </c>
      <c r="CV694" s="2" t="n">
        <v>42.8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70.75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92.58</v>
      </c>
      <c r="DO694" s="2" t="n">
        <v>0</v>
      </c>
      <c r="DP694" s="2" t="n">
        <v>95.65000000000001</v>
      </c>
      <c r="DQ694" s="2" t="n">
        <v>95.78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9.67</v>
      </c>
      <c r="CN695" s="2" t="n">
        <v>0</v>
      </c>
      <c r="CO695" s="2" t="n">
        <v>16.11</v>
      </c>
      <c r="CP695" s="2" t="n">
        <v>17.56</v>
      </c>
      <c r="CQ695" s="2" t="n">
        <v>0</v>
      </c>
      <c r="CR695" s="2" t="n">
        <v>24.53</v>
      </c>
      <c r="CS695" s="2" t="n">
        <v>25.99</v>
      </c>
      <c r="CT695" s="2" t="n">
        <v>0</v>
      </c>
      <c r="CU695" s="2" t="n">
        <v>43.83</v>
      </c>
      <c r="CV695" s="2" t="n">
        <v>42.8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70.75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92.58</v>
      </c>
      <c r="DO695" s="2" t="n">
        <v>0</v>
      </c>
      <c r="DP695" s="2" t="n">
        <v>95.65000000000001</v>
      </c>
      <c r="DQ695" s="2" t="n">
        <v>95.78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9.67</v>
      </c>
      <c r="CN696" s="2" t="n">
        <v>0</v>
      </c>
      <c r="CO696" s="2" t="n">
        <v>16.11</v>
      </c>
      <c r="CP696" s="2" t="n">
        <v>17.56</v>
      </c>
      <c r="CQ696" s="2" t="n">
        <v>0</v>
      </c>
      <c r="CR696" s="2" t="n">
        <v>24.53</v>
      </c>
      <c r="CS696" s="2" t="n">
        <v>25.99</v>
      </c>
      <c r="CT696" s="2" t="n">
        <v>0</v>
      </c>
      <c r="CU696" s="2" t="n">
        <v>43.83</v>
      </c>
      <c r="CV696" s="2" t="n">
        <v>42.8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70.75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92.58</v>
      </c>
      <c r="DO696" s="2" t="n">
        <v>0</v>
      </c>
      <c r="DP696" s="2" t="n">
        <v>95.65000000000001</v>
      </c>
      <c r="DQ696" s="2" t="n">
        <v>95.78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9.67</v>
      </c>
      <c r="CN697" s="2" t="n">
        <v>0</v>
      </c>
      <c r="CO697" s="2" t="n">
        <v>16.11</v>
      </c>
      <c r="CP697" s="2" t="n">
        <v>17.56</v>
      </c>
      <c r="CQ697" s="2" t="n">
        <v>0</v>
      </c>
      <c r="CR697" s="2" t="n">
        <v>24.53</v>
      </c>
      <c r="CS697" s="2" t="n">
        <v>25.99</v>
      </c>
      <c r="CT697" s="2" t="n">
        <v>0</v>
      </c>
      <c r="CU697" s="2" t="n">
        <v>43.83</v>
      </c>
      <c r="CV697" s="2" t="n">
        <v>42.8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70.75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92.58</v>
      </c>
      <c r="DO697" s="2" t="n">
        <v>0</v>
      </c>
      <c r="DP697" s="2" t="n">
        <v>95.65000000000001</v>
      </c>
      <c r="DQ697" s="2" t="n">
        <v>95.78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9.67</v>
      </c>
      <c r="CN698" s="2" t="n">
        <v>0</v>
      </c>
      <c r="CO698" s="2" t="n">
        <v>16.11</v>
      </c>
      <c r="CP698" s="2" t="n">
        <v>17.56</v>
      </c>
      <c r="CQ698" s="2" t="n">
        <v>0</v>
      </c>
      <c r="CR698" s="2" t="n">
        <v>24.53</v>
      </c>
      <c r="CS698" s="2" t="n">
        <v>25.99</v>
      </c>
      <c r="CT698" s="2" t="n">
        <v>0</v>
      </c>
      <c r="CU698" s="2" t="n">
        <v>43.83</v>
      </c>
      <c r="CV698" s="2" t="n">
        <v>42.8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70.75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92.58</v>
      </c>
      <c r="DO698" s="2" t="n">
        <v>0</v>
      </c>
      <c r="DP698" s="2" t="n">
        <v>95.65000000000001</v>
      </c>
      <c r="DQ698" s="2" t="n">
        <v>95.78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9.67</v>
      </c>
      <c r="CN699" s="2" t="n">
        <v>0</v>
      </c>
      <c r="CO699" s="2" t="n">
        <v>16.11</v>
      </c>
      <c r="CP699" s="2" t="n">
        <v>17.56</v>
      </c>
      <c r="CQ699" s="2" t="n">
        <v>0</v>
      </c>
      <c r="CR699" s="2" t="n">
        <v>24.53</v>
      </c>
      <c r="CS699" s="2" t="n">
        <v>25.99</v>
      </c>
      <c r="CT699" s="2" t="n">
        <v>0</v>
      </c>
      <c r="CU699" s="2" t="n">
        <v>43.83</v>
      </c>
      <c r="CV699" s="2" t="n">
        <v>42.8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70.75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92.58</v>
      </c>
      <c r="DO699" s="2" t="n">
        <v>0</v>
      </c>
      <c r="DP699" s="2" t="n">
        <v>95.65000000000001</v>
      </c>
      <c r="DQ699" s="2" t="n">
        <v>95.78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9.67</v>
      </c>
      <c r="CN700" s="2" t="n">
        <v>0</v>
      </c>
      <c r="CO700" s="2" t="n">
        <v>16.11</v>
      </c>
      <c r="CP700" s="2" t="n">
        <v>17.56</v>
      </c>
      <c r="CQ700" s="2" t="n">
        <v>0</v>
      </c>
      <c r="CR700" s="2" t="n">
        <v>24.53</v>
      </c>
      <c r="CS700" s="2" t="n">
        <v>25.99</v>
      </c>
      <c r="CT700" s="2" t="n">
        <v>0</v>
      </c>
      <c r="CU700" s="2" t="n">
        <v>43.83</v>
      </c>
      <c r="CV700" s="2" t="n">
        <v>42.8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70.75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92.58</v>
      </c>
      <c r="DO700" s="2" t="n">
        <v>0</v>
      </c>
      <c r="DP700" s="2" t="n">
        <v>95.65000000000001</v>
      </c>
      <c r="DQ700" s="2" t="n">
        <v>95.78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9.67</v>
      </c>
      <c r="CN701" s="2" t="n">
        <v>0</v>
      </c>
      <c r="CO701" s="2" t="n">
        <v>16.11</v>
      </c>
      <c r="CP701" s="2" t="n">
        <v>17.56</v>
      </c>
      <c r="CQ701" s="2" t="n">
        <v>0</v>
      </c>
      <c r="CR701" s="2" t="n">
        <v>24.53</v>
      </c>
      <c r="CS701" s="2" t="n">
        <v>25.99</v>
      </c>
      <c r="CT701" s="2" t="n">
        <v>0</v>
      </c>
      <c r="CU701" s="2" t="n">
        <v>43.83</v>
      </c>
      <c r="CV701" s="2" t="n">
        <v>42.8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70.75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92.58</v>
      </c>
      <c r="DO701" s="2" t="n">
        <v>0</v>
      </c>
      <c r="DP701" s="2" t="n">
        <v>95.65000000000001</v>
      </c>
      <c r="DQ701" s="2" t="n">
        <v>95.78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9.67</v>
      </c>
      <c r="CN702" s="2" t="n">
        <v>0</v>
      </c>
      <c r="CO702" s="2" t="n">
        <v>16.11</v>
      </c>
      <c r="CP702" s="2" t="n">
        <v>17.56</v>
      </c>
      <c r="CQ702" s="2" t="n">
        <v>0</v>
      </c>
      <c r="CR702" s="2" t="n">
        <v>24.53</v>
      </c>
      <c r="CS702" s="2" t="n">
        <v>25.99</v>
      </c>
      <c r="CT702" s="2" t="n">
        <v>0</v>
      </c>
      <c r="CU702" s="2" t="n">
        <v>43.83</v>
      </c>
      <c r="CV702" s="2" t="n">
        <v>42.8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70.75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92.58</v>
      </c>
      <c r="DO702" s="2" t="n">
        <v>0</v>
      </c>
      <c r="DP702" s="2" t="n">
        <v>95.65000000000001</v>
      </c>
      <c r="DQ702" s="2" t="n">
        <v>95.78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9.67</v>
      </c>
      <c r="CN703" s="2" t="n">
        <v>0</v>
      </c>
      <c r="CO703" s="2" t="n">
        <v>16.11</v>
      </c>
      <c r="CP703" s="2" t="n">
        <v>17.56</v>
      </c>
      <c r="CQ703" s="2" t="n">
        <v>0</v>
      </c>
      <c r="CR703" s="2" t="n">
        <v>24.53</v>
      </c>
      <c r="CS703" s="2" t="n">
        <v>25.99</v>
      </c>
      <c r="CT703" s="2" t="n">
        <v>0</v>
      </c>
      <c r="CU703" s="2" t="n">
        <v>43.83</v>
      </c>
      <c r="CV703" s="2" t="n">
        <v>42.8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70.75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92.58</v>
      </c>
      <c r="DO703" s="2" t="n">
        <v>0</v>
      </c>
      <c r="DP703" s="2" t="n">
        <v>95.65000000000001</v>
      </c>
      <c r="DQ703" s="2" t="n">
        <v>95.78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9.67</v>
      </c>
      <c r="CN704" s="2" t="n">
        <v>0</v>
      </c>
      <c r="CO704" s="2" t="n">
        <v>16.11</v>
      </c>
      <c r="CP704" s="2" t="n">
        <v>17.56</v>
      </c>
      <c r="CQ704" s="2" t="n">
        <v>0</v>
      </c>
      <c r="CR704" s="2" t="n">
        <v>24.53</v>
      </c>
      <c r="CS704" s="2" t="n">
        <v>25.99</v>
      </c>
      <c r="CT704" s="2" t="n">
        <v>0</v>
      </c>
      <c r="CU704" s="2" t="n">
        <v>43.83</v>
      </c>
      <c r="CV704" s="2" t="n">
        <v>42.8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70.75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92.58</v>
      </c>
      <c r="DO704" s="2" t="n">
        <v>0</v>
      </c>
      <c r="DP704" s="2" t="n">
        <v>95.65000000000001</v>
      </c>
      <c r="DQ704" s="2" t="n">
        <v>95.78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9.67</v>
      </c>
      <c r="CN705" s="2" t="n">
        <v>0</v>
      </c>
      <c r="CO705" s="2" t="n">
        <v>16.11</v>
      </c>
      <c r="CP705" s="2" t="n">
        <v>17.56</v>
      </c>
      <c r="CQ705" s="2" t="n">
        <v>0</v>
      </c>
      <c r="CR705" s="2" t="n">
        <v>24.53</v>
      </c>
      <c r="CS705" s="2" t="n">
        <v>25.99</v>
      </c>
      <c r="CT705" s="2" t="n">
        <v>0</v>
      </c>
      <c r="CU705" s="2" t="n">
        <v>43.83</v>
      </c>
      <c r="CV705" s="2" t="n">
        <v>42.8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70.75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92.58</v>
      </c>
      <c r="DO705" s="2" t="n">
        <v>0</v>
      </c>
      <c r="DP705" s="2" t="n">
        <v>95.65000000000001</v>
      </c>
      <c r="DQ705" s="2" t="n">
        <v>95.78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10.39</v>
      </c>
      <c r="CQ706" s="2" t="n">
        <v>0</v>
      </c>
      <c r="CR706" s="2" t="n">
        <v>16.84</v>
      </c>
      <c r="CS706" s="2" t="n">
        <v>18.28</v>
      </c>
      <c r="CT706" s="2" t="n">
        <v>0</v>
      </c>
      <c r="CU706" s="2" t="n">
        <v>23.62</v>
      </c>
      <c r="CV706" s="2" t="n">
        <v>25.02</v>
      </c>
      <c r="CW706" s="2" t="n">
        <v>0</v>
      </c>
      <c r="CX706" s="2" t="n">
        <v>44.96</v>
      </c>
      <c r="CY706" s="2" t="n">
        <v>45.22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62.99</v>
      </c>
      <c r="DF706" s="2" t="n">
        <v>0</v>
      </c>
      <c r="DG706" s="2" t="n">
        <v>68.88</v>
      </c>
      <c r="DH706" s="2" t="n">
        <v>69.91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93.45</v>
      </c>
      <c r="DR706" s="2" t="n">
        <v>0</v>
      </c>
      <c r="DS706" s="2" t="n">
        <v>95.73</v>
      </c>
      <c r="DT706" s="2" t="n">
        <v>95.86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10.39</v>
      </c>
      <c r="CQ707" s="2" t="n">
        <v>0</v>
      </c>
      <c r="CR707" s="2" t="n">
        <v>16.84</v>
      </c>
      <c r="CS707" s="2" t="n">
        <v>18.28</v>
      </c>
      <c r="CT707" s="2" t="n">
        <v>0</v>
      </c>
      <c r="CU707" s="2" t="n">
        <v>23.62</v>
      </c>
      <c r="CV707" s="2" t="n">
        <v>25.02</v>
      </c>
      <c r="CW707" s="2" t="n">
        <v>0</v>
      </c>
      <c r="CX707" s="2" t="n">
        <v>44.96</v>
      </c>
      <c r="CY707" s="2" t="n">
        <v>45.22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62.99</v>
      </c>
      <c r="DF707" s="2" t="n">
        <v>0</v>
      </c>
      <c r="DG707" s="2" t="n">
        <v>68.88</v>
      </c>
      <c r="DH707" s="2" t="n">
        <v>69.91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93.45</v>
      </c>
      <c r="DR707" s="2" t="n">
        <v>0</v>
      </c>
      <c r="DS707" s="2" t="n">
        <v>95.73</v>
      </c>
      <c r="DT707" s="2" t="n">
        <v>95.86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10.39</v>
      </c>
      <c r="CQ708" s="2" t="n">
        <v>0</v>
      </c>
      <c r="CR708" s="2" t="n">
        <v>16.84</v>
      </c>
      <c r="CS708" s="2" t="n">
        <v>18.28</v>
      </c>
      <c r="CT708" s="2" t="n">
        <v>0</v>
      </c>
      <c r="CU708" s="2" t="n">
        <v>23.62</v>
      </c>
      <c r="CV708" s="2" t="n">
        <v>25.02</v>
      </c>
      <c r="CW708" s="2" t="n">
        <v>0</v>
      </c>
      <c r="CX708" s="2" t="n">
        <v>44.96</v>
      </c>
      <c r="CY708" s="2" t="n">
        <v>45.22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62.99</v>
      </c>
      <c r="DF708" s="2" t="n">
        <v>0</v>
      </c>
      <c r="DG708" s="2" t="n">
        <v>68.88</v>
      </c>
      <c r="DH708" s="2" t="n">
        <v>69.91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93.45</v>
      </c>
      <c r="DR708" s="2" t="n">
        <v>0</v>
      </c>
      <c r="DS708" s="2" t="n">
        <v>95.73</v>
      </c>
      <c r="DT708" s="2" t="n">
        <v>95.86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10.39</v>
      </c>
      <c r="CQ709" s="2" t="n">
        <v>0</v>
      </c>
      <c r="CR709" s="2" t="n">
        <v>16.84</v>
      </c>
      <c r="CS709" s="2" t="n">
        <v>18.28</v>
      </c>
      <c r="CT709" s="2" t="n">
        <v>0</v>
      </c>
      <c r="CU709" s="2" t="n">
        <v>23.62</v>
      </c>
      <c r="CV709" s="2" t="n">
        <v>25.02</v>
      </c>
      <c r="CW709" s="2" t="n">
        <v>0</v>
      </c>
      <c r="CX709" s="2" t="n">
        <v>44.96</v>
      </c>
      <c r="CY709" s="2" t="n">
        <v>45.22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62.99</v>
      </c>
      <c r="DF709" s="2" t="n">
        <v>0</v>
      </c>
      <c r="DG709" s="2" t="n">
        <v>68.88</v>
      </c>
      <c r="DH709" s="2" t="n">
        <v>69.91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93.45</v>
      </c>
      <c r="DR709" s="2" t="n">
        <v>0</v>
      </c>
      <c r="DS709" s="2" t="n">
        <v>95.73</v>
      </c>
      <c r="DT709" s="2" t="n">
        <v>95.86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10.39</v>
      </c>
      <c r="CQ710" s="2" t="n">
        <v>0</v>
      </c>
      <c r="CR710" s="2" t="n">
        <v>16.84</v>
      </c>
      <c r="CS710" s="2" t="n">
        <v>18.28</v>
      </c>
      <c r="CT710" s="2" t="n">
        <v>0</v>
      </c>
      <c r="CU710" s="2" t="n">
        <v>23.62</v>
      </c>
      <c r="CV710" s="2" t="n">
        <v>25.02</v>
      </c>
      <c r="CW710" s="2" t="n">
        <v>0</v>
      </c>
      <c r="CX710" s="2" t="n">
        <v>44.96</v>
      </c>
      <c r="CY710" s="2" t="n">
        <v>45.22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62.99</v>
      </c>
      <c r="DF710" s="2" t="n">
        <v>0</v>
      </c>
      <c r="DG710" s="2" t="n">
        <v>68.88</v>
      </c>
      <c r="DH710" s="2" t="n">
        <v>69.91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93.45</v>
      </c>
      <c r="DR710" s="2" t="n">
        <v>0</v>
      </c>
      <c r="DS710" s="2" t="n">
        <v>95.73</v>
      </c>
      <c r="DT710" s="2" t="n">
        <v>95.86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10.39</v>
      </c>
      <c r="CQ711" s="2" t="n">
        <v>0</v>
      </c>
      <c r="CR711" s="2" t="n">
        <v>16.84</v>
      </c>
      <c r="CS711" s="2" t="n">
        <v>18.28</v>
      </c>
      <c r="CT711" s="2" t="n">
        <v>0</v>
      </c>
      <c r="CU711" s="2" t="n">
        <v>23.62</v>
      </c>
      <c r="CV711" s="2" t="n">
        <v>25.02</v>
      </c>
      <c r="CW711" s="2" t="n">
        <v>0</v>
      </c>
      <c r="CX711" s="2" t="n">
        <v>44.96</v>
      </c>
      <c r="CY711" s="2" t="n">
        <v>45.22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62.99</v>
      </c>
      <c r="DF711" s="2" t="n">
        <v>0</v>
      </c>
      <c r="DG711" s="2" t="n">
        <v>68.88</v>
      </c>
      <c r="DH711" s="2" t="n">
        <v>69.91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93.45</v>
      </c>
      <c r="DR711" s="2" t="n">
        <v>0</v>
      </c>
      <c r="DS711" s="2" t="n">
        <v>95.73</v>
      </c>
      <c r="DT711" s="2" t="n">
        <v>95.86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10.39</v>
      </c>
      <c r="CQ712" s="2" t="n">
        <v>0</v>
      </c>
      <c r="CR712" s="2" t="n">
        <v>16.84</v>
      </c>
      <c r="CS712" s="2" t="n">
        <v>18.28</v>
      </c>
      <c r="CT712" s="2" t="n">
        <v>0</v>
      </c>
      <c r="CU712" s="2" t="n">
        <v>23.62</v>
      </c>
      <c r="CV712" s="2" t="n">
        <v>25.02</v>
      </c>
      <c r="CW712" s="2" t="n">
        <v>0</v>
      </c>
      <c r="CX712" s="2" t="n">
        <v>44.96</v>
      </c>
      <c r="CY712" s="2" t="n">
        <v>45.22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62.99</v>
      </c>
      <c r="DF712" s="2" t="n">
        <v>0</v>
      </c>
      <c r="DG712" s="2" t="n">
        <v>68.88</v>
      </c>
      <c r="DH712" s="2" t="n">
        <v>69.91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93.45</v>
      </c>
      <c r="DR712" s="2" t="n">
        <v>0</v>
      </c>
      <c r="DS712" s="2" t="n">
        <v>95.73</v>
      </c>
      <c r="DT712" s="2" t="n">
        <v>95.86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10.39</v>
      </c>
      <c r="CQ713" s="2" t="n">
        <v>0</v>
      </c>
      <c r="CR713" s="2" t="n">
        <v>16.84</v>
      </c>
      <c r="CS713" s="2" t="n">
        <v>18.28</v>
      </c>
      <c r="CT713" s="2" t="n">
        <v>0</v>
      </c>
      <c r="CU713" s="2" t="n">
        <v>23.62</v>
      </c>
      <c r="CV713" s="2" t="n">
        <v>25.02</v>
      </c>
      <c r="CW713" s="2" t="n">
        <v>0</v>
      </c>
      <c r="CX713" s="2" t="n">
        <v>44.96</v>
      </c>
      <c r="CY713" s="2" t="n">
        <v>45.22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62.99</v>
      </c>
      <c r="DF713" s="2" t="n">
        <v>0</v>
      </c>
      <c r="DG713" s="2" t="n">
        <v>68.88</v>
      </c>
      <c r="DH713" s="2" t="n">
        <v>69.91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93.45</v>
      </c>
      <c r="DR713" s="2" t="n">
        <v>0</v>
      </c>
      <c r="DS713" s="2" t="n">
        <v>95.73</v>
      </c>
      <c r="DT713" s="2" t="n">
        <v>95.86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10.39</v>
      </c>
      <c r="CQ714" s="2" t="n">
        <v>0</v>
      </c>
      <c r="CR714" s="2" t="n">
        <v>16.84</v>
      </c>
      <c r="CS714" s="2" t="n">
        <v>18.28</v>
      </c>
      <c r="CT714" s="2" t="n">
        <v>0</v>
      </c>
      <c r="CU714" s="2" t="n">
        <v>23.62</v>
      </c>
      <c r="CV714" s="2" t="n">
        <v>25.02</v>
      </c>
      <c r="CW714" s="2" t="n">
        <v>0</v>
      </c>
      <c r="CX714" s="2" t="n">
        <v>44.96</v>
      </c>
      <c r="CY714" s="2" t="n">
        <v>45.22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62.99</v>
      </c>
      <c r="DF714" s="2" t="n">
        <v>0</v>
      </c>
      <c r="DG714" s="2" t="n">
        <v>68.88</v>
      </c>
      <c r="DH714" s="2" t="n">
        <v>69.91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93.45</v>
      </c>
      <c r="DR714" s="2" t="n">
        <v>0</v>
      </c>
      <c r="DS714" s="2" t="n">
        <v>95.73</v>
      </c>
      <c r="DT714" s="2" t="n">
        <v>95.86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10.39</v>
      </c>
      <c r="CQ715" s="2" t="n">
        <v>0</v>
      </c>
      <c r="CR715" s="2" t="n">
        <v>16.84</v>
      </c>
      <c r="CS715" s="2" t="n">
        <v>18.28</v>
      </c>
      <c r="CT715" s="2" t="n">
        <v>0</v>
      </c>
      <c r="CU715" s="2" t="n">
        <v>23.62</v>
      </c>
      <c r="CV715" s="2" t="n">
        <v>25.02</v>
      </c>
      <c r="CW715" s="2" t="n">
        <v>0</v>
      </c>
      <c r="CX715" s="2" t="n">
        <v>44.96</v>
      </c>
      <c r="CY715" s="2" t="n">
        <v>45.22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62.99</v>
      </c>
      <c r="DF715" s="2" t="n">
        <v>0</v>
      </c>
      <c r="DG715" s="2" t="n">
        <v>68.88</v>
      </c>
      <c r="DH715" s="2" t="n">
        <v>69.91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93.45</v>
      </c>
      <c r="DR715" s="2" t="n">
        <v>0</v>
      </c>
      <c r="DS715" s="2" t="n">
        <v>95.73</v>
      </c>
      <c r="DT715" s="2" t="n">
        <v>95.86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10.39</v>
      </c>
      <c r="CQ716" s="2" t="n">
        <v>0</v>
      </c>
      <c r="CR716" s="2" t="n">
        <v>16.84</v>
      </c>
      <c r="CS716" s="2" t="n">
        <v>18.28</v>
      </c>
      <c r="CT716" s="2" t="n">
        <v>0</v>
      </c>
      <c r="CU716" s="2" t="n">
        <v>23.62</v>
      </c>
      <c r="CV716" s="2" t="n">
        <v>25.02</v>
      </c>
      <c r="CW716" s="2" t="n">
        <v>0</v>
      </c>
      <c r="CX716" s="2" t="n">
        <v>44.96</v>
      </c>
      <c r="CY716" s="2" t="n">
        <v>45.22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62.99</v>
      </c>
      <c r="DF716" s="2" t="n">
        <v>0</v>
      </c>
      <c r="DG716" s="2" t="n">
        <v>68.88</v>
      </c>
      <c r="DH716" s="2" t="n">
        <v>69.91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93.45</v>
      </c>
      <c r="DR716" s="2" t="n">
        <v>0</v>
      </c>
      <c r="DS716" s="2" t="n">
        <v>95.73</v>
      </c>
      <c r="DT716" s="2" t="n">
        <v>95.86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10.39</v>
      </c>
      <c r="CQ717" s="2" t="n">
        <v>0</v>
      </c>
      <c r="CR717" s="2" t="n">
        <v>16.84</v>
      </c>
      <c r="CS717" s="2" t="n">
        <v>18.28</v>
      </c>
      <c r="CT717" s="2" t="n">
        <v>0</v>
      </c>
      <c r="CU717" s="2" t="n">
        <v>23.62</v>
      </c>
      <c r="CV717" s="2" t="n">
        <v>25.02</v>
      </c>
      <c r="CW717" s="2" t="n">
        <v>0</v>
      </c>
      <c r="CX717" s="2" t="n">
        <v>44.96</v>
      </c>
      <c r="CY717" s="2" t="n">
        <v>45.22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62.99</v>
      </c>
      <c r="DF717" s="2" t="n">
        <v>0</v>
      </c>
      <c r="DG717" s="2" t="n">
        <v>68.88</v>
      </c>
      <c r="DH717" s="2" t="n">
        <v>69.91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93.45</v>
      </c>
      <c r="DR717" s="2" t="n">
        <v>0</v>
      </c>
      <c r="DS717" s="2" t="n">
        <v>95.73</v>
      </c>
      <c r="DT717" s="2" t="n">
        <v>95.86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10.39</v>
      </c>
      <c r="CQ718" s="2" t="n">
        <v>0</v>
      </c>
      <c r="CR718" s="2" t="n">
        <v>16.84</v>
      </c>
      <c r="CS718" s="2" t="n">
        <v>18.28</v>
      </c>
      <c r="CT718" s="2" t="n">
        <v>0</v>
      </c>
      <c r="CU718" s="2" t="n">
        <v>23.62</v>
      </c>
      <c r="CV718" s="2" t="n">
        <v>25.02</v>
      </c>
      <c r="CW718" s="2" t="n">
        <v>0</v>
      </c>
      <c r="CX718" s="2" t="n">
        <v>44.96</v>
      </c>
      <c r="CY718" s="2" t="n">
        <v>45.22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62.99</v>
      </c>
      <c r="DF718" s="2" t="n">
        <v>0</v>
      </c>
      <c r="DG718" s="2" t="n">
        <v>68.88</v>
      </c>
      <c r="DH718" s="2" t="n">
        <v>69.91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93.45</v>
      </c>
      <c r="DR718" s="2" t="n">
        <v>0</v>
      </c>
      <c r="DS718" s="2" t="n">
        <v>95.73</v>
      </c>
      <c r="DT718" s="2" t="n">
        <v>95.86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10.39</v>
      </c>
      <c r="CQ719" s="2" t="n">
        <v>0</v>
      </c>
      <c r="CR719" s="2" t="n">
        <v>16.84</v>
      </c>
      <c r="CS719" s="2" t="n">
        <v>18.28</v>
      </c>
      <c r="CT719" s="2" t="n">
        <v>0</v>
      </c>
      <c r="CU719" s="2" t="n">
        <v>23.62</v>
      </c>
      <c r="CV719" s="2" t="n">
        <v>25.02</v>
      </c>
      <c r="CW719" s="2" t="n">
        <v>0</v>
      </c>
      <c r="CX719" s="2" t="n">
        <v>44.96</v>
      </c>
      <c r="CY719" s="2" t="n">
        <v>45.22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62.99</v>
      </c>
      <c r="DF719" s="2" t="n">
        <v>0</v>
      </c>
      <c r="DG719" s="2" t="n">
        <v>68.88</v>
      </c>
      <c r="DH719" s="2" t="n">
        <v>69.91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93.45</v>
      </c>
      <c r="DR719" s="2" t="n">
        <v>0</v>
      </c>
      <c r="DS719" s="2" t="n">
        <v>95.73</v>
      </c>
      <c r="DT719" s="2" t="n">
        <v>95.86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10.39</v>
      </c>
      <c r="CQ720" s="2" t="n">
        <v>0</v>
      </c>
      <c r="CR720" s="2" t="n">
        <v>16.84</v>
      </c>
      <c r="CS720" s="2" t="n">
        <v>18.28</v>
      </c>
      <c r="CT720" s="2" t="n">
        <v>0</v>
      </c>
      <c r="CU720" s="2" t="n">
        <v>23.62</v>
      </c>
      <c r="CV720" s="2" t="n">
        <v>25.02</v>
      </c>
      <c r="CW720" s="2" t="n">
        <v>0</v>
      </c>
      <c r="CX720" s="2" t="n">
        <v>44.96</v>
      </c>
      <c r="CY720" s="2" t="n">
        <v>45.22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62.99</v>
      </c>
      <c r="DF720" s="2" t="n">
        <v>0</v>
      </c>
      <c r="DG720" s="2" t="n">
        <v>68.88</v>
      </c>
      <c r="DH720" s="2" t="n">
        <v>69.91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93.45</v>
      </c>
      <c r="DR720" s="2" t="n">
        <v>0</v>
      </c>
      <c r="DS720" s="2" t="n">
        <v>95.73</v>
      </c>
      <c r="DT720" s="2" t="n">
        <v>95.86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10.39</v>
      </c>
      <c r="CQ721" s="2" t="n">
        <v>0</v>
      </c>
      <c r="CR721" s="2" t="n">
        <v>16.84</v>
      </c>
      <c r="CS721" s="2" t="n">
        <v>18.28</v>
      </c>
      <c r="CT721" s="2" t="n">
        <v>0</v>
      </c>
      <c r="CU721" s="2" t="n">
        <v>23.62</v>
      </c>
      <c r="CV721" s="2" t="n">
        <v>25.02</v>
      </c>
      <c r="CW721" s="2" t="n">
        <v>0</v>
      </c>
      <c r="CX721" s="2" t="n">
        <v>44.96</v>
      </c>
      <c r="CY721" s="2" t="n">
        <v>45.22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62.99</v>
      </c>
      <c r="DF721" s="2" t="n">
        <v>0</v>
      </c>
      <c r="DG721" s="2" t="n">
        <v>68.88</v>
      </c>
      <c r="DH721" s="2" t="n">
        <v>69.91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93.45</v>
      </c>
      <c r="DR721" s="2" t="n">
        <v>0</v>
      </c>
      <c r="DS721" s="2" t="n">
        <v>95.73</v>
      </c>
      <c r="DT721" s="2" t="n">
        <v>95.86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10.39</v>
      </c>
      <c r="CQ722" s="2" t="n">
        <v>0</v>
      </c>
      <c r="CR722" s="2" t="n">
        <v>16.84</v>
      </c>
      <c r="CS722" s="2" t="n">
        <v>18.28</v>
      </c>
      <c r="CT722" s="2" t="n">
        <v>0</v>
      </c>
      <c r="CU722" s="2" t="n">
        <v>23.62</v>
      </c>
      <c r="CV722" s="2" t="n">
        <v>25.02</v>
      </c>
      <c r="CW722" s="2" t="n">
        <v>0</v>
      </c>
      <c r="CX722" s="2" t="n">
        <v>44.96</v>
      </c>
      <c r="CY722" s="2" t="n">
        <v>45.22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62.99</v>
      </c>
      <c r="DF722" s="2" t="n">
        <v>0</v>
      </c>
      <c r="DG722" s="2" t="n">
        <v>68.88</v>
      </c>
      <c r="DH722" s="2" t="n">
        <v>69.91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93.45</v>
      </c>
      <c r="DR722" s="2" t="n">
        <v>0</v>
      </c>
      <c r="DS722" s="2" t="n">
        <v>95.73</v>
      </c>
      <c r="DT722" s="2" t="n">
        <v>95.86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10.39</v>
      </c>
      <c r="CQ723" s="2" t="n">
        <v>0</v>
      </c>
      <c r="CR723" s="2" t="n">
        <v>16.84</v>
      </c>
      <c r="CS723" s="2" t="n">
        <v>18.28</v>
      </c>
      <c r="CT723" s="2" t="n">
        <v>0</v>
      </c>
      <c r="CU723" s="2" t="n">
        <v>23.62</v>
      </c>
      <c r="CV723" s="2" t="n">
        <v>25.02</v>
      </c>
      <c r="CW723" s="2" t="n">
        <v>0</v>
      </c>
      <c r="CX723" s="2" t="n">
        <v>44.96</v>
      </c>
      <c r="CY723" s="2" t="n">
        <v>45.22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62.99</v>
      </c>
      <c r="DF723" s="2" t="n">
        <v>0</v>
      </c>
      <c r="DG723" s="2" t="n">
        <v>68.88</v>
      </c>
      <c r="DH723" s="2" t="n">
        <v>69.91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93.45</v>
      </c>
      <c r="DR723" s="2" t="n">
        <v>0</v>
      </c>
      <c r="DS723" s="2" t="n">
        <v>95.73</v>
      </c>
      <c r="DT723" s="2" t="n">
        <v>95.86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10.39</v>
      </c>
      <c r="CQ724" s="2" t="n">
        <v>0</v>
      </c>
      <c r="CR724" s="2" t="n">
        <v>16.84</v>
      </c>
      <c r="CS724" s="2" t="n">
        <v>18.28</v>
      </c>
      <c r="CT724" s="2" t="n">
        <v>0</v>
      </c>
      <c r="CU724" s="2" t="n">
        <v>23.62</v>
      </c>
      <c r="CV724" s="2" t="n">
        <v>25.02</v>
      </c>
      <c r="CW724" s="2" t="n">
        <v>0</v>
      </c>
      <c r="CX724" s="2" t="n">
        <v>44.96</v>
      </c>
      <c r="CY724" s="2" t="n">
        <v>45.22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62.99</v>
      </c>
      <c r="DF724" s="2" t="n">
        <v>0</v>
      </c>
      <c r="DG724" s="2" t="n">
        <v>68.88</v>
      </c>
      <c r="DH724" s="2" t="n">
        <v>69.91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93.45</v>
      </c>
      <c r="DR724" s="2" t="n">
        <v>0</v>
      </c>
      <c r="DS724" s="2" t="n">
        <v>95.73</v>
      </c>
      <c r="DT724" s="2" t="n">
        <v>95.86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10.39</v>
      </c>
      <c r="CQ725" s="2" t="n">
        <v>0</v>
      </c>
      <c r="CR725" s="2" t="n">
        <v>16.84</v>
      </c>
      <c r="CS725" s="2" t="n">
        <v>18.28</v>
      </c>
      <c r="CT725" s="2" t="n">
        <v>0</v>
      </c>
      <c r="CU725" s="2" t="n">
        <v>23.62</v>
      </c>
      <c r="CV725" s="2" t="n">
        <v>25.02</v>
      </c>
      <c r="CW725" s="2" t="n">
        <v>0</v>
      </c>
      <c r="CX725" s="2" t="n">
        <v>44.96</v>
      </c>
      <c r="CY725" s="2" t="n">
        <v>45.22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62.99</v>
      </c>
      <c r="DF725" s="2" t="n">
        <v>0</v>
      </c>
      <c r="DG725" s="2" t="n">
        <v>68.88</v>
      </c>
      <c r="DH725" s="2" t="n">
        <v>69.91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93.45</v>
      </c>
      <c r="DR725" s="2" t="n">
        <v>0</v>
      </c>
      <c r="DS725" s="2" t="n">
        <v>95.73</v>
      </c>
      <c r="DT725" s="2" t="n">
        <v>95.86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10.39</v>
      </c>
      <c r="CQ726" s="2" t="n">
        <v>0</v>
      </c>
      <c r="CR726" s="2" t="n">
        <v>16.84</v>
      </c>
      <c r="CS726" s="2" t="n">
        <v>18.28</v>
      </c>
      <c r="CT726" s="2" t="n">
        <v>0</v>
      </c>
      <c r="CU726" s="2" t="n">
        <v>23.62</v>
      </c>
      <c r="CV726" s="2" t="n">
        <v>25.02</v>
      </c>
      <c r="CW726" s="2" t="n">
        <v>0</v>
      </c>
      <c r="CX726" s="2" t="n">
        <v>44.96</v>
      </c>
      <c r="CY726" s="2" t="n">
        <v>45.22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62.99</v>
      </c>
      <c r="DF726" s="2" t="n">
        <v>0</v>
      </c>
      <c r="DG726" s="2" t="n">
        <v>68.88</v>
      </c>
      <c r="DH726" s="2" t="n">
        <v>69.91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93.45</v>
      </c>
      <c r="DR726" s="2" t="n">
        <v>0</v>
      </c>
      <c r="DS726" s="2" t="n">
        <v>95.73</v>
      </c>
      <c r="DT726" s="2" t="n">
        <v>95.86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10.39</v>
      </c>
      <c r="CQ727" s="2" t="n">
        <v>0</v>
      </c>
      <c r="CR727" s="2" t="n">
        <v>16.84</v>
      </c>
      <c r="CS727" s="2" t="n">
        <v>18.28</v>
      </c>
      <c r="CT727" s="2" t="n">
        <v>0</v>
      </c>
      <c r="CU727" s="2" t="n">
        <v>23.62</v>
      </c>
      <c r="CV727" s="2" t="n">
        <v>25.02</v>
      </c>
      <c r="CW727" s="2" t="n">
        <v>0</v>
      </c>
      <c r="CX727" s="2" t="n">
        <v>44.96</v>
      </c>
      <c r="CY727" s="2" t="n">
        <v>45.22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62.99</v>
      </c>
      <c r="DF727" s="2" t="n">
        <v>0</v>
      </c>
      <c r="DG727" s="2" t="n">
        <v>68.88</v>
      </c>
      <c r="DH727" s="2" t="n">
        <v>69.91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93.45</v>
      </c>
      <c r="DR727" s="2" t="n">
        <v>0</v>
      </c>
      <c r="DS727" s="2" t="n">
        <v>95.73</v>
      </c>
      <c r="DT727" s="2" t="n">
        <v>95.86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10.39</v>
      </c>
      <c r="CQ728" s="2" t="n">
        <v>0</v>
      </c>
      <c r="CR728" s="2" t="n">
        <v>16.84</v>
      </c>
      <c r="CS728" s="2" t="n">
        <v>18.28</v>
      </c>
      <c r="CT728" s="2" t="n">
        <v>0</v>
      </c>
      <c r="CU728" s="2" t="n">
        <v>23.62</v>
      </c>
      <c r="CV728" s="2" t="n">
        <v>25.02</v>
      </c>
      <c r="CW728" s="2" t="n">
        <v>0</v>
      </c>
      <c r="CX728" s="2" t="n">
        <v>44.96</v>
      </c>
      <c r="CY728" s="2" t="n">
        <v>45.22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62.99</v>
      </c>
      <c r="DF728" s="2" t="n">
        <v>0</v>
      </c>
      <c r="DG728" s="2" t="n">
        <v>68.88</v>
      </c>
      <c r="DH728" s="2" t="n">
        <v>69.91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93.45</v>
      </c>
      <c r="DR728" s="2" t="n">
        <v>0</v>
      </c>
      <c r="DS728" s="2" t="n">
        <v>95.73</v>
      </c>
      <c r="DT728" s="2" t="n">
        <v>95.86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10.39</v>
      </c>
      <c r="CQ729" s="2" t="n">
        <v>0</v>
      </c>
      <c r="CR729" s="2" t="n">
        <v>16.84</v>
      </c>
      <c r="CS729" s="2" t="n">
        <v>18.28</v>
      </c>
      <c r="CT729" s="2" t="n">
        <v>0</v>
      </c>
      <c r="CU729" s="2" t="n">
        <v>23.62</v>
      </c>
      <c r="CV729" s="2" t="n">
        <v>25.02</v>
      </c>
      <c r="CW729" s="2" t="n">
        <v>0</v>
      </c>
      <c r="CX729" s="2" t="n">
        <v>44.96</v>
      </c>
      <c r="CY729" s="2" t="n">
        <v>45.22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62.99</v>
      </c>
      <c r="DF729" s="2" t="n">
        <v>0</v>
      </c>
      <c r="DG729" s="2" t="n">
        <v>68.88</v>
      </c>
      <c r="DH729" s="2" t="n">
        <v>69.91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93.45</v>
      </c>
      <c r="DR729" s="2" t="n">
        <v>0</v>
      </c>
      <c r="DS729" s="2" t="n">
        <v>95.73</v>
      </c>
      <c r="DT729" s="2" t="n">
        <v>95.86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10.39</v>
      </c>
      <c r="CQ730" s="2" t="n">
        <v>0</v>
      </c>
      <c r="CR730" s="2" t="n">
        <v>16.84</v>
      </c>
      <c r="CS730" s="2" t="n">
        <v>18.28</v>
      </c>
      <c r="CT730" s="2" t="n">
        <v>0</v>
      </c>
      <c r="CU730" s="2" t="n">
        <v>23.62</v>
      </c>
      <c r="CV730" s="2" t="n">
        <v>25.02</v>
      </c>
      <c r="CW730" s="2" t="n">
        <v>0</v>
      </c>
      <c r="CX730" s="2" t="n">
        <v>44.96</v>
      </c>
      <c r="CY730" s="2" t="n">
        <v>45.22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62.99</v>
      </c>
      <c r="DF730" s="2" t="n">
        <v>0</v>
      </c>
      <c r="DG730" s="2" t="n">
        <v>68.88</v>
      </c>
      <c r="DH730" s="2" t="n">
        <v>69.91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93.45</v>
      </c>
      <c r="DR730" s="2" t="n">
        <v>0</v>
      </c>
      <c r="DS730" s="2" t="n">
        <v>95.73</v>
      </c>
      <c r="DT730" s="2" t="n">
        <v>95.86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10.39</v>
      </c>
      <c r="CQ731" s="2" t="n">
        <v>0</v>
      </c>
      <c r="CR731" s="2" t="n">
        <v>16.84</v>
      </c>
      <c r="CS731" s="2" t="n">
        <v>18.28</v>
      </c>
      <c r="CT731" s="2" t="n">
        <v>0</v>
      </c>
      <c r="CU731" s="2" t="n">
        <v>23.62</v>
      </c>
      <c r="CV731" s="2" t="n">
        <v>25.02</v>
      </c>
      <c r="CW731" s="2" t="n">
        <v>0</v>
      </c>
      <c r="CX731" s="2" t="n">
        <v>44.96</v>
      </c>
      <c r="CY731" s="2" t="n">
        <v>45.22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62.99</v>
      </c>
      <c r="DF731" s="2" t="n">
        <v>0</v>
      </c>
      <c r="DG731" s="2" t="n">
        <v>68.88</v>
      </c>
      <c r="DH731" s="2" t="n">
        <v>69.91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93.45</v>
      </c>
      <c r="DR731" s="2" t="n">
        <v>0</v>
      </c>
      <c r="DS731" s="2" t="n">
        <v>95.73</v>
      </c>
      <c r="DT731" s="2" t="n">
        <v>95.86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10.39</v>
      </c>
      <c r="CQ732" s="2" t="n">
        <v>0</v>
      </c>
      <c r="CR732" s="2" t="n">
        <v>16.84</v>
      </c>
      <c r="CS732" s="2" t="n">
        <v>18.28</v>
      </c>
      <c r="CT732" s="2" t="n">
        <v>0</v>
      </c>
      <c r="CU732" s="2" t="n">
        <v>23.62</v>
      </c>
      <c r="CV732" s="2" t="n">
        <v>25.02</v>
      </c>
      <c r="CW732" s="2" t="n">
        <v>0</v>
      </c>
      <c r="CX732" s="2" t="n">
        <v>44.96</v>
      </c>
      <c r="CY732" s="2" t="n">
        <v>45.22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62.99</v>
      </c>
      <c r="DF732" s="2" t="n">
        <v>0</v>
      </c>
      <c r="DG732" s="2" t="n">
        <v>68.88</v>
      </c>
      <c r="DH732" s="2" t="n">
        <v>69.91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93.45</v>
      </c>
      <c r="DR732" s="2" t="n">
        <v>0</v>
      </c>
      <c r="DS732" s="2" t="n">
        <v>95.73</v>
      </c>
      <c r="DT732" s="2" t="n">
        <v>95.86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10.39</v>
      </c>
      <c r="CQ733" s="2" t="n">
        <v>0</v>
      </c>
      <c r="CR733" s="2" t="n">
        <v>16.84</v>
      </c>
      <c r="CS733" s="2" t="n">
        <v>18.28</v>
      </c>
      <c r="CT733" s="2" t="n">
        <v>0</v>
      </c>
      <c r="CU733" s="2" t="n">
        <v>23.62</v>
      </c>
      <c r="CV733" s="2" t="n">
        <v>25.02</v>
      </c>
      <c r="CW733" s="2" t="n">
        <v>0</v>
      </c>
      <c r="CX733" s="2" t="n">
        <v>44.96</v>
      </c>
      <c r="CY733" s="2" t="n">
        <v>45.22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62.99</v>
      </c>
      <c r="DF733" s="2" t="n">
        <v>0</v>
      </c>
      <c r="DG733" s="2" t="n">
        <v>68.88</v>
      </c>
      <c r="DH733" s="2" t="n">
        <v>69.91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93.45</v>
      </c>
      <c r="DR733" s="2" t="n">
        <v>0</v>
      </c>
      <c r="DS733" s="2" t="n">
        <v>95.73</v>
      </c>
      <c r="DT733" s="2" t="n">
        <v>95.86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10.39</v>
      </c>
      <c r="CQ734" s="2" t="n">
        <v>0</v>
      </c>
      <c r="CR734" s="2" t="n">
        <v>16.84</v>
      </c>
      <c r="CS734" s="2" t="n">
        <v>18.28</v>
      </c>
      <c r="CT734" s="2" t="n">
        <v>0</v>
      </c>
      <c r="CU734" s="2" t="n">
        <v>23.62</v>
      </c>
      <c r="CV734" s="2" t="n">
        <v>25.02</v>
      </c>
      <c r="CW734" s="2" t="n">
        <v>0</v>
      </c>
      <c r="CX734" s="2" t="n">
        <v>44.96</v>
      </c>
      <c r="CY734" s="2" t="n">
        <v>45.22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62.99</v>
      </c>
      <c r="DF734" s="2" t="n">
        <v>0</v>
      </c>
      <c r="DG734" s="2" t="n">
        <v>68.88</v>
      </c>
      <c r="DH734" s="2" t="n">
        <v>69.91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93.45</v>
      </c>
      <c r="DR734" s="2" t="n">
        <v>0</v>
      </c>
      <c r="DS734" s="2" t="n">
        <v>95.73</v>
      </c>
      <c r="DT734" s="2" t="n">
        <v>95.86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10.39</v>
      </c>
      <c r="CQ735" s="2" t="n">
        <v>0</v>
      </c>
      <c r="CR735" s="2" t="n">
        <v>16.84</v>
      </c>
      <c r="CS735" s="2" t="n">
        <v>18.28</v>
      </c>
      <c r="CT735" s="2" t="n">
        <v>0</v>
      </c>
      <c r="CU735" s="2" t="n">
        <v>23.62</v>
      </c>
      <c r="CV735" s="2" t="n">
        <v>25.02</v>
      </c>
      <c r="CW735" s="2" t="n">
        <v>0</v>
      </c>
      <c r="CX735" s="2" t="n">
        <v>44.96</v>
      </c>
      <c r="CY735" s="2" t="n">
        <v>45.22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62.99</v>
      </c>
      <c r="DF735" s="2" t="n">
        <v>0</v>
      </c>
      <c r="DG735" s="2" t="n">
        <v>68.88</v>
      </c>
      <c r="DH735" s="2" t="n">
        <v>69.91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93.45</v>
      </c>
      <c r="DR735" s="2" t="n">
        <v>0</v>
      </c>
      <c r="DS735" s="2" t="n">
        <v>95.73</v>
      </c>
      <c r="DT735" s="2" t="n">
        <v>95.86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10.39</v>
      </c>
      <c r="CQ736" s="2" t="n">
        <v>0</v>
      </c>
      <c r="CR736" s="2" t="n">
        <v>16.84</v>
      </c>
      <c r="CS736" s="2" t="n">
        <v>18.28</v>
      </c>
      <c r="CT736" s="2" t="n">
        <v>0</v>
      </c>
      <c r="CU736" s="2" t="n">
        <v>23.62</v>
      </c>
      <c r="CV736" s="2" t="n">
        <v>25.02</v>
      </c>
      <c r="CW736" s="2" t="n">
        <v>0</v>
      </c>
      <c r="CX736" s="2" t="n">
        <v>44.96</v>
      </c>
      <c r="CY736" s="2" t="n">
        <v>45.22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62.99</v>
      </c>
      <c r="DF736" s="2" t="n">
        <v>0</v>
      </c>
      <c r="DG736" s="2" t="n">
        <v>68.88</v>
      </c>
      <c r="DH736" s="2" t="n">
        <v>69.91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93.45</v>
      </c>
      <c r="DR736" s="2" t="n">
        <v>0</v>
      </c>
      <c r="DS736" s="2" t="n">
        <v>95.73</v>
      </c>
      <c r="DT736" s="2" t="n">
        <v>95.86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10.39</v>
      </c>
      <c r="CQ737" s="2" t="n">
        <v>0</v>
      </c>
      <c r="CR737" s="2" t="n">
        <v>16.84</v>
      </c>
      <c r="CS737" s="2" t="n">
        <v>18.28</v>
      </c>
      <c r="CT737" s="2" t="n">
        <v>0</v>
      </c>
      <c r="CU737" s="2" t="n">
        <v>23.62</v>
      </c>
      <c r="CV737" s="2" t="n">
        <v>25.02</v>
      </c>
      <c r="CW737" s="2" t="n">
        <v>0</v>
      </c>
      <c r="CX737" s="2" t="n">
        <v>44.96</v>
      </c>
      <c r="CY737" s="2" t="n">
        <v>45.22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62.99</v>
      </c>
      <c r="DF737" s="2" t="n">
        <v>0</v>
      </c>
      <c r="DG737" s="2" t="n">
        <v>68.88</v>
      </c>
      <c r="DH737" s="2" t="n">
        <v>69.91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93.45</v>
      </c>
      <c r="DR737" s="2" t="n">
        <v>0</v>
      </c>
      <c r="DS737" s="2" t="n">
        <v>95.73</v>
      </c>
      <c r="DT737" s="2" t="n">
        <v>95.86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10.39</v>
      </c>
      <c r="CQ738" s="2" t="n">
        <v>0</v>
      </c>
      <c r="CR738" s="2" t="n">
        <v>16.84</v>
      </c>
      <c r="CS738" s="2" t="n">
        <v>18.28</v>
      </c>
      <c r="CT738" s="2" t="n">
        <v>0</v>
      </c>
      <c r="CU738" s="2" t="n">
        <v>23.62</v>
      </c>
      <c r="CV738" s="2" t="n">
        <v>25.02</v>
      </c>
      <c r="CW738" s="2" t="n">
        <v>0</v>
      </c>
      <c r="CX738" s="2" t="n">
        <v>44.96</v>
      </c>
      <c r="CY738" s="2" t="n">
        <v>45.22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62.99</v>
      </c>
      <c r="DF738" s="2" t="n">
        <v>0</v>
      </c>
      <c r="DG738" s="2" t="n">
        <v>68.88</v>
      </c>
      <c r="DH738" s="2" t="n">
        <v>69.91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93.45</v>
      </c>
      <c r="DR738" s="2" t="n">
        <v>0</v>
      </c>
      <c r="DS738" s="2" t="n">
        <v>95.73</v>
      </c>
      <c r="DT738" s="2" t="n">
        <v>95.86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10.39</v>
      </c>
      <c r="CQ739" s="2" t="n">
        <v>0</v>
      </c>
      <c r="CR739" s="2" t="n">
        <v>16.84</v>
      </c>
      <c r="CS739" s="2" t="n">
        <v>18.28</v>
      </c>
      <c r="CT739" s="2" t="n">
        <v>0</v>
      </c>
      <c r="CU739" s="2" t="n">
        <v>23.62</v>
      </c>
      <c r="CV739" s="2" t="n">
        <v>25.02</v>
      </c>
      <c r="CW739" s="2" t="n">
        <v>0</v>
      </c>
      <c r="CX739" s="2" t="n">
        <v>44.96</v>
      </c>
      <c r="CY739" s="2" t="n">
        <v>45.22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62.99</v>
      </c>
      <c r="DF739" s="2" t="n">
        <v>0</v>
      </c>
      <c r="DG739" s="2" t="n">
        <v>68.88</v>
      </c>
      <c r="DH739" s="2" t="n">
        <v>69.91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93.45</v>
      </c>
      <c r="DR739" s="2" t="n">
        <v>0</v>
      </c>
      <c r="DS739" s="2" t="n">
        <v>95.73</v>
      </c>
      <c r="DT739" s="2" t="n">
        <v>95.86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10.39</v>
      </c>
      <c r="CQ740" s="2" t="n">
        <v>0</v>
      </c>
      <c r="CR740" s="2" t="n">
        <v>16.84</v>
      </c>
      <c r="CS740" s="2" t="n">
        <v>18.28</v>
      </c>
      <c r="CT740" s="2" t="n">
        <v>0</v>
      </c>
      <c r="CU740" s="2" t="n">
        <v>23.62</v>
      </c>
      <c r="CV740" s="2" t="n">
        <v>25.02</v>
      </c>
      <c r="CW740" s="2" t="n">
        <v>0</v>
      </c>
      <c r="CX740" s="2" t="n">
        <v>44.96</v>
      </c>
      <c r="CY740" s="2" t="n">
        <v>45.22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62.99</v>
      </c>
      <c r="DF740" s="2" t="n">
        <v>0</v>
      </c>
      <c r="DG740" s="2" t="n">
        <v>68.88</v>
      </c>
      <c r="DH740" s="2" t="n">
        <v>69.91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93.45</v>
      </c>
      <c r="DR740" s="2" t="n">
        <v>0</v>
      </c>
      <c r="DS740" s="2" t="n">
        <v>95.73</v>
      </c>
      <c r="DT740" s="2" t="n">
        <v>95.86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10.39</v>
      </c>
      <c r="CQ741" s="2" t="n">
        <v>0</v>
      </c>
      <c r="CR741" s="2" t="n">
        <v>16.84</v>
      </c>
      <c r="CS741" s="2" t="n">
        <v>18.28</v>
      </c>
      <c r="CT741" s="2" t="n">
        <v>0</v>
      </c>
      <c r="CU741" s="2" t="n">
        <v>23.62</v>
      </c>
      <c r="CV741" s="2" t="n">
        <v>25.02</v>
      </c>
      <c r="CW741" s="2" t="n">
        <v>0</v>
      </c>
      <c r="CX741" s="2" t="n">
        <v>44.96</v>
      </c>
      <c r="CY741" s="2" t="n">
        <v>45.22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62.99</v>
      </c>
      <c r="DF741" s="2" t="n">
        <v>0</v>
      </c>
      <c r="DG741" s="2" t="n">
        <v>68.88</v>
      </c>
      <c r="DH741" s="2" t="n">
        <v>69.91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93.45</v>
      </c>
      <c r="DR741" s="2" t="n">
        <v>0</v>
      </c>
      <c r="DS741" s="2" t="n">
        <v>95.73</v>
      </c>
      <c r="DT741" s="2" t="n">
        <v>95.86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10.39</v>
      </c>
      <c r="CQ742" s="2" t="n">
        <v>0</v>
      </c>
      <c r="CR742" s="2" t="n">
        <v>16.84</v>
      </c>
      <c r="CS742" s="2" t="n">
        <v>18.28</v>
      </c>
      <c r="CT742" s="2" t="n">
        <v>0</v>
      </c>
      <c r="CU742" s="2" t="n">
        <v>23.62</v>
      </c>
      <c r="CV742" s="2" t="n">
        <v>25.02</v>
      </c>
      <c r="CW742" s="2" t="n">
        <v>0</v>
      </c>
      <c r="CX742" s="2" t="n">
        <v>44.96</v>
      </c>
      <c r="CY742" s="2" t="n">
        <v>45.22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62.99</v>
      </c>
      <c r="DF742" s="2" t="n">
        <v>0</v>
      </c>
      <c r="DG742" s="2" t="n">
        <v>68.88</v>
      </c>
      <c r="DH742" s="2" t="n">
        <v>69.91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93.45</v>
      </c>
      <c r="DR742" s="2" t="n">
        <v>0</v>
      </c>
      <c r="DS742" s="2" t="n">
        <v>95.73</v>
      </c>
      <c r="DT742" s="2" t="n">
        <v>95.86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10.39</v>
      </c>
      <c r="CQ743" s="2" t="n">
        <v>0</v>
      </c>
      <c r="CR743" s="2" t="n">
        <v>16.84</v>
      </c>
      <c r="CS743" s="2" t="n">
        <v>18.28</v>
      </c>
      <c r="CT743" s="2" t="n">
        <v>0</v>
      </c>
      <c r="CU743" s="2" t="n">
        <v>23.62</v>
      </c>
      <c r="CV743" s="2" t="n">
        <v>25.02</v>
      </c>
      <c r="CW743" s="2" t="n">
        <v>0</v>
      </c>
      <c r="CX743" s="2" t="n">
        <v>44.96</v>
      </c>
      <c r="CY743" s="2" t="n">
        <v>45.22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62.99</v>
      </c>
      <c r="DF743" s="2" t="n">
        <v>0</v>
      </c>
      <c r="DG743" s="2" t="n">
        <v>68.88</v>
      </c>
      <c r="DH743" s="2" t="n">
        <v>69.91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93.45</v>
      </c>
      <c r="DR743" s="2" t="n">
        <v>0</v>
      </c>
      <c r="DS743" s="2" t="n">
        <v>95.73</v>
      </c>
      <c r="DT743" s="2" t="n">
        <v>95.86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10.39</v>
      </c>
      <c r="CQ744" s="2" t="n">
        <v>0</v>
      </c>
      <c r="CR744" s="2" t="n">
        <v>16.84</v>
      </c>
      <c r="CS744" s="2" t="n">
        <v>18.28</v>
      </c>
      <c r="CT744" s="2" t="n">
        <v>0</v>
      </c>
      <c r="CU744" s="2" t="n">
        <v>23.62</v>
      </c>
      <c r="CV744" s="2" t="n">
        <v>25.02</v>
      </c>
      <c r="CW744" s="2" t="n">
        <v>0</v>
      </c>
      <c r="CX744" s="2" t="n">
        <v>44.96</v>
      </c>
      <c r="CY744" s="2" t="n">
        <v>45.22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62.99</v>
      </c>
      <c r="DF744" s="2" t="n">
        <v>0</v>
      </c>
      <c r="DG744" s="2" t="n">
        <v>68.88</v>
      </c>
      <c r="DH744" s="2" t="n">
        <v>69.91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93.45</v>
      </c>
      <c r="DR744" s="2" t="n">
        <v>0</v>
      </c>
      <c r="DS744" s="2" t="n">
        <v>95.73</v>
      </c>
      <c r="DT744" s="2" t="n">
        <v>95.86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10.39</v>
      </c>
      <c r="CQ745" s="2" t="n">
        <v>0</v>
      </c>
      <c r="CR745" s="2" t="n">
        <v>16.84</v>
      </c>
      <c r="CS745" s="2" t="n">
        <v>18.28</v>
      </c>
      <c r="CT745" s="2" t="n">
        <v>0</v>
      </c>
      <c r="CU745" s="2" t="n">
        <v>23.62</v>
      </c>
      <c r="CV745" s="2" t="n">
        <v>25.02</v>
      </c>
      <c r="CW745" s="2" t="n">
        <v>0</v>
      </c>
      <c r="CX745" s="2" t="n">
        <v>44.96</v>
      </c>
      <c r="CY745" s="2" t="n">
        <v>45.22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62.99</v>
      </c>
      <c r="DF745" s="2" t="n">
        <v>0</v>
      </c>
      <c r="DG745" s="2" t="n">
        <v>68.88</v>
      </c>
      <c r="DH745" s="2" t="n">
        <v>69.91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93.45</v>
      </c>
      <c r="DR745" s="2" t="n">
        <v>0</v>
      </c>
      <c r="DS745" s="2" t="n">
        <v>95.73</v>
      </c>
      <c r="DT745" s="2" t="n">
        <v>95.86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10.39</v>
      </c>
      <c r="CQ746" s="2" t="n">
        <v>0</v>
      </c>
      <c r="CR746" s="2" t="n">
        <v>16.84</v>
      </c>
      <c r="CS746" s="2" t="n">
        <v>18.28</v>
      </c>
      <c r="CT746" s="2" t="n">
        <v>0</v>
      </c>
      <c r="CU746" s="2" t="n">
        <v>23.62</v>
      </c>
      <c r="CV746" s="2" t="n">
        <v>25.02</v>
      </c>
      <c r="CW746" s="2" t="n">
        <v>0</v>
      </c>
      <c r="CX746" s="2" t="n">
        <v>44.96</v>
      </c>
      <c r="CY746" s="2" t="n">
        <v>45.22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62.99</v>
      </c>
      <c r="DF746" s="2" t="n">
        <v>0</v>
      </c>
      <c r="DG746" s="2" t="n">
        <v>68.88</v>
      </c>
      <c r="DH746" s="2" t="n">
        <v>69.91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93.45</v>
      </c>
      <c r="DR746" s="2" t="n">
        <v>0</v>
      </c>
      <c r="DS746" s="2" t="n">
        <v>95.73</v>
      </c>
      <c r="DT746" s="2" t="n">
        <v>95.86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10.39</v>
      </c>
      <c r="CQ747" s="2" t="n">
        <v>0</v>
      </c>
      <c r="CR747" s="2" t="n">
        <v>16.84</v>
      </c>
      <c r="CS747" s="2" t="n">
        <v>18.28</v>
      </c>
      <c r="CT747" s="2" t="n">
        <v>0</v>
      </c>
      <c r="CU747" s="2" t="n">
        <v>23.62</v>
      </c>
      <c r="CV747" s="2" t="n">
        <v>25.02</v>
      </c>
      <c r="CW747" s="2" t="n">
        <v>0</v>
      </c>
      <c r="CX747" s="2" t="n">
        <v>44.96</v>
      </c>
      <c r="CY747" s="2" t="n">
        <v>45.22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62.99</v>
      </c>
      <c r="DF747" s="2" t="n">
        <v>0</v>
      </c>
      <c r="DG747" s="2" t="n">
        <v>68.88</v>
      </c>
      <c r="DH747" s="2" t="n">
        <v>69.91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93.45</v>
      </c>
      <c r="DR747" s="2" t="n">
        <v>0</v>
      </c>
      <c r="DS747" s="2" t="n">
        <v>95.73</v>
      </c>
      <c r="DT747" s="2" t="n">
        <v>95.86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10.39</v>
      </c>
      <c r="CQ748" s="2" t="n">
        <v>0</v>
      </c>
      <c r="CR748" s="2" t="n">
        <v>16.84</v>
      </c>
      <c r="CS748" s="2" t="n">
        <v>18.28</v>
      </c>
      <c r="CT748" s="2" t="n">
        <v>0</v>
      </c>
      <c r="CU748" s="2" t="n">
        <v>23.62</v>
      </c>
      <c r="CV748" s="2" t="n">
        <v>25.02</v>
      </c>
      <c r="CW748" s="2" t="n">
        <v>0</v>
      </c>
      <c r="CX748" s="2" t="n">
        <v>44.96</v>
      </c>
      <c r="CY748" s="2" t="n">
        <v>45.22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62.99</v>
      </c>
      <c r="DF748" s="2" t="n">
        <v>0</v>
      </c>
      <c r="DG748" s="2" t="n">
        <v>68.88</v>
      </c>
      <c r="DH748" s="2" t="n">
        <v>69.91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93.45</v>
      </c>
      <c r="DR748" s="2" t="n">
        <v>0</v>
      </c>
      <c r="DS748" s="2" t="n">
        <v>95.73</v>
      </c>
      <c r="DT748" s="2" t="n">
        <v>95.86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10.39</v>
      </c>
      <c r="CQ749" s="2" t="n">
        <v>0</v>
      </c>
      <c r="CR749" s="2" t="n">
        <v>16.84</v>
      </c>
      <c r="CS749" s="2" t="n">
        <v>18.28</v>
      </c>
      <c r="CT749" s="2" t="n">
        <v>0</v>
      </c>
      <c r="CU749" s="2" t="n">
        <v>23.62</v>
      </c>
      <c r="CV749" s="2" t="n">
        <v>25.02</v>
      </c>
      <c r="CW749" s="2" t="n">
        <v>0</v>
      </c>
      <c r="CX749" s="2" t="n">
        <v>44.96</v>
      </c>
      <c r="CY749" s="2" t="n">
        <v>45.22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62.99</v>
      </c>
      <c r="DF749" s="2" t="n">
        <v>0</v>
      </c>
      <c r="DG749" s="2" t="n">
        <v>68.88</v>
      </c>
      <c r="DH749" s="2" t="n">
        <v>69.91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93.45</v>
      </c>
      <c r="DR749" s="2" t="n">
        <v>0</v>
      </c>
      <c r="DS749" s="2" t="n">
        <v>95.73</v>
      </c>
      <c r="DT749" s="2" t="n">
        <v>95.86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10.39</v>
      </c>
      <c r="CQ750" s="2" t="n">
        <v>0</v>
      </c>
      <c r="CR750" s="2" t="n">
        <v>16.84</v>
      </c>
      <c r="CS750" s="2" t="n">
        <v>18.28</v>
      </c>
      <c r="CT750" s="2" t="n">
        <v>0</v>
      </c>
      <c r="CU750" s="2" t="n">
        <v>23.62</v>
      </c>
      <c r="CV750" s="2" t="n">
        <v>25.02</v>
      </c>
      <c r="CW750" s="2" t="n">
        <v>0</v>
      </c>
      <c r="CX750" s="2" t="n">
        <v>44.96</v>
      </c>
      <c r="CY750" s="2" t="n">
        <v>45.22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62.99</v>
      </c>
      <c r="DF750" s="2" t="n">
        <v>0</v>
      </c>
      <c r="DG750" s="2" t="n">
        <v>68.88</v>
      </c>
      <c r="DH750" s="2" t="n">
        <v>69.91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93.45</v>
      </c>
      <c r="DR750" s="2" t="n">
        <v>0</v>
      </c>
      <c r="DS750" s="2" t="n">
        <v>95.73</v>
      </c>
      <c r="DT750" s="2" t="n">
        <v>95.86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10.39</v>
      </c>
      <c r="CQ751" s="2" t="n">
        <v>0</v>
      </c>
      <c r="CR751" s="2" t="n">
        <v>16.84</v>
      </c>
      <c r="CS751" s="2" t="n">
        <v>18.28</v>
      </c>
      <c r="CT751" s="2" t="n">
        <v>0</v>
      </c>
      <c r="CU751" s="2" t="n">
        <v>23.62</v>
      </c>
      <c r="CV751" s="2" t="n">
        <v>25.02</v>
      </c>
      <c r="CW751" s="2" t="n">
        <v>0</v>
      </c>
      <c r="CX751" s="2" t="n">
        <v>44.96</v>
      </c>
      <c r="CY751" s="2" t="n">
        <v>45.22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62.99</v>
      </c>
      <c r="DF751" s="2" t="n">
        <v>0</v>
      </c>
      <c r="DG751" s="2" t="n">
        <v>68.88</v>
      </c>
      <c r="DH751" s="2" t="n">
        <v>69.91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93.45</v>
      </c>
      <c r="DR751" s="2" t="n">
        <v>0</v>
      </c>
      <c r="DS751" s="2" t="n">
        <v>95.73</v>
      </c>
      <c r="DT751" s="2" t="n">
        <v>95.86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10.39</v>
      </c>
      <c r="CQ752" s="2" t="n">
        <v>0</v>
      </c>
      <c r="CR752" s="2" t="n">
        <v>16.84</v>
      </c>
      <c r="CS752" s="2" t="n">
        <v>18.28</v>
      </c>
      <c r="CT752" s="2" t="n">
        <v>0</v>
      </c>
      <c r="CU752" s="2" t="n">
        <v>23.62</v>
      </c>
      <c r="CV752" s="2" t="n">
        <v>25.02</v>
      </c>
      <c r="CW752" s="2" t="n">
        <v>0</v>
      </c>
      <c r="CX752" s="2" t="n">
        <v>44.96</v>
      </c>
      <c r="CY752" s="2" t="n">
        <v>45.22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62.99</v>
      </c>
      <c r="DF752" s="2" t="n">
        <v>0</v>
      </c>
      <c r="DG752" s="2" t="n">
        <v>68.88</v>
      </c>
      <c r="DH752" s="2" t="n">
        <v>69.91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93.45</v>
      </c>
      <c r="DR752" s="2" t="n">
        <v>0</v>
      </c>
      <c r="DS752" s="2" t="n">
        <v>95.73</v>
      </c>
      <c r="DT752" s="2" t="n">
        <v>95.86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10.39</v>
      </c>
      <c r="CQ753" s="2" t="n">
        <v>0</v>
      </c>
      <c r="CR753" s="2" t="n">
        <v>16.84</v>
      </c>
      <c r="CS753" s="2" t="n">
        <v>18.28</v>
      </c>
      <c r="CT753" s="2" t="n">
        <v>0</v>
      </c>
      <c r="CU753" s="2" t="n">
        <v>23.62</v>
      </c>
      <c r="CV753" s="2" t="n">
        <v>25.02</v>
      </c>
      <c r="CW753" s="2" t="n">
        <v>0</v>
      </c>
      <c r="CX753" s="2" t="n">
        <v>44.96</v>
      </c>
      <c r="CY753" s="2" t="n">
        <v>45.22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62.99</v>
      </c>
      <c r="DF753" s="2" t="n">
        <v>0</v>
      </c>
      <c r="DG753" s="2" t="n">
        <v>68.88</v>
      </c>
      <c r="DH753" s="2" t="n">
        <v>69.91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93.45</v>
      </c>
      <c r="DR753" s="2" t="n">
        <v>0</v>
      </c>
      <c r="DS753" s="2" t="n">
        <v>95.73</v>
      </c>
      <c r="DT753" s="2" t="n">
        <v>95.86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10.39</v>
      </c>
      <c r="CQ754" s="2" t="n">
        <v>0</v>
      </c>
      <c r="CR754" s="2" t="n">
        <v>16.84</v>
      </c>
      <c r="CS754" s="2" t="n">
        <v>18.28</v>
      </c>
      <c r="CT754" s="2" t="n">
        <v>0</v>
      </c>
      <c r="CU754" s="2" t="n">
        <v>23.62</v>
      </c>
      <c r="CV754" s="2" t="n">
        <v>25.02</v>
      </c>
      <c r="CW754" s="2" t="n">
        <v>0</v>
      </c>
      <c r="CX754" s="2" t="n">
        <v>44.96</v>
      </c>
      <c r="CY754" s="2" t="n">
        <v>45.22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62.99</v>
      </c>
      <c r="DF754" s="2" t="n">
        <v>0</v>
      </c>
      <c r="DG754" s="2" t="n">
        <v>68.88</v>
      </c>
      <c r="DH754" s="2" t="n">
        <v>69.91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93.45</v>
      </c>
      <c r="DR754" s="2" t="n">
        <v>0</v>
      </c>
      <c r="DS754" s="2" t="n">
        <v>95.73</v>
      </c>
      <c r="DT754" s="2" t="n">
        <v>95.86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10.39</v>
      </c>
      <c r="CQ755" s="2" t="n">
        <v>0</v>
      </c>
      <c r="CR755" s="2" t="n">
        <v>16.84</v>
      </c>
      <c r="CS755" s="2" t="n">
        <v>18.28</v>
      </c>
      <c r="CT755" s="2" t="n">
        <v>0</v>
      </c>
      <c r="CU755" s="2" t="n">
        <v>23.62</v>
      </c>
      <c r="CV755" s="2" t="n">
        <v>25.02</v>
      </c>
      <c r="CW755" s="2" t="n">
        <v>0</v>
      </c>
      <c r="CX755" s="2" t="n">
        <v>44.96</v>
      </c>
      <c r="CY755" s="2" t="n">
        <v>45.22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62.99</v>
      </c>
      <c r="DF755" s="2" t="n">
        <v>0</v>
      </c>
      <c r="DG755" s="2" t="n">
        <v>68.88</v>
      </c>
      <c r="DH755" s="2" t="n">
        <v>69.91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93.45</v>
      </c>
      <c r="DR755" s="2" t="n">
        <v>0</v>
      </c>
      <c r="DS755" s="2" t="n">
        <v>95.73</v>
      </c>
      <c r="DT755" s="2" t="n">
        <v>95.86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10.39</v>
      </c>
      <c r="CQ756" s="2" t="n">
        <v>0</v>
      </c>
      <c r="CR756" s="2" t="n">
        <v>16.84</v>
      </c>
      <c r="CS756" s="2" t="n">
        <v>18.28</v>
      </c>
      <c r="CT756" s="2" t="n">
        <v>0</v>
      </c>
      <c r="CU756" s="2" t="n">
        <v>23.62</v>
      </c>
      <c r="CV756" s="2" t="n">
        <v>25.02</v>
      </c>
      <c r="CW756" s="2" t="n">
        <v>0</v>
      </c>
      <c r="CX756" s="2" t="n">
        <v>44.96</v>
      </c>
      <c r="CY756" s="2" t="n">
        <v>45.22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62.99</v>
      </c>
      <c r="DF756" s="2" t="n">
        <v>0</v>
      </c>
      <c r="DG756" s="2" t="n">
        <v>68.88</v>
      </c>
      <c r="DH756" s="2" t="n">
        <v>69.91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93.45</v>
      </c>
      <c r="DR756" s="2" t="n">
        <v>0</v>
      </c>
      <c r="DS756" s="2" t="n">
        <v>95.73</v>
      </c>
      <c r="DT756" s="2" t="n">
        <v>95.86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10.39</v>
      </c>
      <c r="CQ757" s="2" t="n">
        <v>0</v>
      </c>
      <c r="CR757" s="2" t="n">
        <v>16.84</v>
      </c>
      <c r="CS757" s="2" t="n">
        <v>18.28</v>
      </c>
      <c r="CT757" s="2" t="n">
        <v>0</v>
      </c>
      <c r="CU757" s="2" t="n">
        <v>23.62</v>
      </c>
      <c r="CV757" s="2" t="n">
        <v>25.02</v>
      </c>
      <c r="CW757" s="2" t="n">
        <v>0</v>
      </c>
      <c r="CX757" s="2" t="n">
        <v>44.96</v>
      </c>
      <c r="CY757" s="2" t="n">
        <v>45.22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62.99</v>
      </c>
      <c r="DF757" s="2" t="n">
        <v>0</v>
      </c>
      <c r="DG757" s="2" t="n">
        <v>68.88</v>
      </c>
      <c r="DH757" s="2" t="n">
        <v>69.91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93.45</v>
      </c>
      <c r="DR757" s="2" t="n">
        <v>0</v>
      </c>
      <c r="DS757" s="2" t="n">
        <v>95.73</v>
      </c>
      <c r="DT757" s="2" t="n">
        <v>95.86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10.39</v>
      </c>
      <c r="CQ758" s="2" t="n">
        <v>0</v>
      </c>
      <c r="CR758" s="2" t="n">
        <v>16.84</v>
      </c>
      <c r="CS758" s="2" t="n">
        <v>18.28</v>
      </c>
      <c r="CT758" s="2" t="n">
        <v>0</v>
      </c>
      <c r="CU758" s="2" t="n">
        <v>23.62</v>
      </c>
      <c r="CV758" s="2" t="n">
        <v>25.02</v>
      </c>
      <c r="CW758" s="2" t="n">
        <v>0</v>
      </c>
      <c r="CX758" s="2" t="n">
        <v>44.96</v>
      </c>
      <c r="CY758" s="2" t="n">
        <v>45.22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62.99</v>
      </c>
      <c r="DF758" s="2" t="n">
        <v>0</v>
      </c>
      <c r="DG758" s="2" t="n">
        <v>68.88</v>
      </c>
      <c r="DH758" s="2" t="n">
        <v>69.91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93.45</v>
      </c>
      <c r="DR758" s="2" t="n">
        <v>0</v>
      </c>
      <c r="DS758" s="2" t="n">
        <v>95.73</v>
      </c>
      <c r="DT758" s="2" t="n">
        <v>95.86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10.39</v>
      </c>
      <c r="CQ759" s="2" t="n">
        <v>0</v>
      </c>
      <c r="CR759" s="2" t="n">
        <v>16.84</v>
      </c>
      <c r="CS759" s="2" t="n">
        <v>18.28</v>
      </c>
      <c r="CT759" s="2" t="n">
        <v>0</v>
      </c>
      <c r="CU759" s="2" t="n">
        <v>23.62</v>
      </c>
      <c r="CV759" s="2" t="n">
        <v>25.02</v>
      </c>
      <c r="CW759" s="2" t="n">
        <v>0</v>
      </c>
      <c r="CX759" s="2" t="n">
        <v>44.96</v>
      </c>
      <c r="CY759" s="2" t="n">
        <v>45.22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62.99</v>
      </c>
      <c r="DF759" s="2" t="n">
        <v>0</v>
      </c>
      <c r="DG759" s="2" t="n">
        <v>68.88</v>
      </c>
      <c r="DH759" s="2" t="n">
        <v>69.91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93.45</v>
      </c>
      <c r="DR759" s="2" t="n">
        <v>0</v>
      </c>
      <c r="DS759" s="2" t="n">
        <v>95.73</v>
      </c>
      <c r="DT759" s="2" t="n">
        <v>95.86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10.39</v>
      </c>
      <c r="CQ760" s="2" t="n">
        <v>0</v>
      </c>
      <c r="CR760" s="2" t="n">
        <v>16.84</v>
      </c>
      <c r="CS760" s="2" t="n">
        <v>18.28</v>
      </c>
      <c r="CT760" s="2" t="n">
        <v>0</v>
      </c>
      <c r="CU760" s="2" t="n">
        <v>23.62</v>
      </c>
      <c r="CV760" s="2" t="n">
        <v>25.02</v>
      </c>
      <c r="CW760" s="2" t="n">
        <v>0</v>
      </c>
      <c r="CX760" s="2" t="n">
        <v>44.96</v>
      </c>
      <c r="CY760" s="2" t="n">
        <v>45.22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62.99</v>
      </c>
      <c r="DF760" s="2" t="n">
        <v>0</v>
      </c>
      <c r="DG760" s="2" t="n">
        <v>68.88</v>
      </c>
      <c r="DH760" s="2" t="n">
        <v>69.91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93.45</v>
      </c>
      <c r="DR760" s="2" t="n">
        <v>0</v>
      </c>
      <c r="DS760" s="2" t="n">
        <v>95.73</v>
      </c>
      <c r="DT760" s="2" t="n">
        <v>95.86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10.39</v>
      </c>
      <c r="CQ761" s="2" t="n">
        <v>0</v>
      </c>
      <c r="CR761" s="2" t="n">
        <v>16.84</v>
      </c>
      <c r="CS761" s="2" t="n">
        <v>18.28</v>
      </c>
      <c r="CT761" s="2" t="n">
        <v>0</v>
      </c>
      <c r="CU761" s="2" t="n">
        <v>23.62</v>
      </c>
      <c r="CV761" s="2" t="n">
        <v>25.02</v>
      </c>
      <c r="CW761" s="2" t="n">
        <v>0</v>
      </c>
      <c r="CX761" s="2" t="n">
        <v>44.96</v>
      </c>
      <c r="CY761" s="2" t="n">
        <v>45.22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62.99</v>
      </c>
      <c r="DF761" s="2" t="n">
        <v>0</v>
      </c>
      <c r="DG761" s="2" t="n">
        <v>68.88</v>
      </c>
      <c r="DH761" s="2" t="n">
        <v>69.91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93.45</v>
      </c>
      <c r="DR761" s="2" t="n">
        <v>0</v>
      </c>
      <c r="DS761" s="2" t="n">
        <v>95.73</v>
      </c>
      <c r="DT761" s="2" t="n">
        <v>95.86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10.39</v>
      </c>
      <c r="CQ762" s="2" t="n">
        <v>0</v>
      </c>
      <c r="CR762" s="2" t="n">
        <v>16.84</v>
      </c>
      <c r="CS762" s="2" t="n">
        <v>18.28</v>
      </c>
      <c r="CT762" s="2" t="n">
        <v>0</v>
      </c>
      <c r="CU762" s="2" t="n">
        <v>23.62</v>
      </c>
      <c r="CV762" s="2" t="n">
        <v>25.02</v>
      </c>
      <c r="CW762" s="2" t="n">
        <v>0</v>
      </c>
      <c r="CX762" s="2" t="n">
        <v>44.96</v>
      </c>
      <c r="CY762" s="2" t="n">
        <v>45.22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62.99</v>
      </c>
      <c r="DF762" s="2" t="n">
        <v>0</v>
      </c>
      <c r="DG762" s="2" t="n">
        <v>68.88</v>
      </c>
      <c r="DH762" s="2" t="n">
        <v>69.91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93.45</v>
      </c>
      <c r="DR762" s="2" t="n">
        <v>0</v>
      </c>
      <c r="DS762" s="2" t="n">
        <v>95.73</v>
      </c>
      <c r="DT762" s="2" t="n">
        <v>95.86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10.39</v>
      </c>
      <c r="CQ763" s="2" t="n">
        <v>0</v>
      </c>
      <c r="CR763" s="2" t="n">
        <v>16.84</v>
      </c>
      <c r="CS763" s="2" t="n">
        <v>18.28</v>
      </c>
      <c r="CT763" s="2" t="n">
        <v>0</v>
      </c>
      <c r="CU763" s="2" t="n">
        <v>23.62</v>
      </c>
      <c r="CV763" s="2" t="n">
        <v>25.02</v>
      </c>
      <c r="CW763" s="2" t="n">
        <v>0</v>
      </c>
      <c r="CX763" s="2" t="n">
        <v>44.96</v>
      </c>
      <c r="CY763" s="2" t="n">
        <v>45.22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62.99</v>
      </c>
      <c r="DF763" s="2" t="n">
        <v>0</v>
      </c>
      <c r="DG763" s="2" t="n">
        <v>68.88</v>
      </c>
      <c r="DH763" s="2" t="n">
        <v>69.91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93.45</v>
      </c>
      <c r="DR763" s="2" t="n">
        <v>0</v>
      </c>
      <c r="DS763" s="2" t="n">
        <v>95.73</v>
      </c>
      <c r="DT763" s="2" t="n">
        <v>95.86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10/12/2027</t>
        </is>
      </c>
      <c r="E773" s="2" t="inlineStr">
        <is>
          <t>20/03/2028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24.24</v>
      </c>
      <c r="CV773" s="2" t="n">
        <v>15.15</v>
      </c>
      <c r="CW773" s="2" t="n">
        <v>0</v>
      </c>
      <c r="CX773" s="2" t="n">
        <v>56.06</v>
      </c>
      <c r="CY773" s="2" t="n">
        <v>46.97</v>
      </c>
      <c r="CZ773" s="2" t="n">
        <v>0</v>
      </c>
      <c r="DA773" s="2" t="n">
        <v>87.88</v>
      </c>
      <c r="DB773" s="2" t="n">
        <v>78.79000000000001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10/12/2027</t>
        </is>
      </c>
      <c r="E774" s="2" t="inlineStr">
        <is>
          <t>20/03/2028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24.24</v>
      </c>
      <c r="CV774" s="2" t="n">
        <v>15.15</v>
      </c>
      <c r="CW774" s="2" t="n">
        <v>0</v>
      </c>
      <c r="CX774" s="2" t="n">
        <v>56.06</v>
      </c>
      <c r="CY774" s="2" t="n">
        <v>46.97</v>
      </c>
      <c r="CZ774" s="2" t="n">
        <v>0</v>
      </c>
      <c r="DA774" s="2" t="n">
        <v>87.88</v>
      </c>
      <c r="DB774" s="2" t="n">
        <v>78.79000000000001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10/12/2027</t>
        </is>
      </c>
      <c r="E775" s="2" t="inlineStr">
        <is>
          <t>20/03/2028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24.24</v>
      </c>
      <c r="CV775" s="2" t="n">
        <v>15.15</v>
      </c>
      <c r="CW775" s="2" t="n">
        <v>0</v>
      </c>
      <c r="CX775" s="2" t="n">
        <v>56.06</v>
      </c>
      <c r="CY775" s="2" t="n">
        <v>46.97</v>
      </c>
      <c r="CZ775" s="2" t="n">
        <v>0</v>
      </c>
      <c r="DA775" s="2" t="n">
        <v>87.88</v>
      </c>
      <c r="DB775" s="2" t="n">
        <v>78.79000000000001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10/12/2027</t>
        </is>
      </c>
      <c r="E776" s="2" t="inlineStr">
        <is>
          <t>20/03/2028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24.24</v>
      </c>
      <c r="CV776" s="2" t="n">
        <v>15.15</v>
      </c>
      <c r="CW776" s="2" t="n">
        <v>0</v>
      </c>
      <c r="CX776" s="2" t="n">
        <v>56.06</v>
      </c>
      <c r="CY776" s="2" t="n">
        <v>46.97</v>
      </c>
      <c r="CZ776" s="2" t="n">
        <v>0</v>
      </c>
      <c r="DA776" s="2" t="n">
        <v>87.88</v>
      </c>
      <c r="DB776" s="2" t="n">
        <v>78.79000000000001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10/12/2027</t>
        </is>
      </c>
      <c r="E777" s="2" t="inlineStr">
        <is>
          <t>20/03/2028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24.24</v>
      </c>
      <c r="CV777" s="2" t="n">
        <v>15.15</v>
      </c>
      <c r="CW777" s="2" t="n">
        <v>0</v>
      </c>
      <c r="CX777" s="2" t="n">
        <v>56.06</v>
      </c>
      <c r="CY777" s="2" t="n">
        <v>46.97</v>
      </c>
      <c r="CZ777" s="2" t="n">
        <v>0</v>
      </c>
      <c r="DA777" s="2" t="n">
        <v>87.88</v>
      </c>
      <c r="DB777" s="2" t="n">
        <v>78.79000000000001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10/12/2027</t>
        </is>
      </c>
      <c r="E778" s="2" t="inlineStr">
        <is>
          <t>20/03/2028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24.24</v>
      </c>
      <c r="CV778" s="2" t="n">
        <v>15.15</v>
      </c>
      <c r="CW778" s="2" t="n">
        <v>0</v>
      </c>
      <c r="CX778" s="2" t="n">
        <v>56.06</v>
      </c>
      <c r="CY778" s="2" t="n">
        <v>46.97</v>
      </c>
      <c r="CZ778" s="2" t="n">
        <v>0</v>
      </c>
      <c r="DA778" s="2" t="n">
        <v>87.88</v>
      </c>
      <c r="DB778" s="2" t="n">
        <v>78.79000000000001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10/12/2027</t>
        </is>
      </c>
      <c r="E779" s="2" t="inlineStr">
        <is>
          <t>20/03/2028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24.24</v>
      </c>
      <c r="CV779" s="2" t="n">
        <v>15.15</v>
      </c>
      <c r="CW779" s="2" t="n">
        <v>0</v>
      </c>
      <c r="CX779" s="2" t="n">
        <v>56.06</v>
      </c>
      <c r="CY779" s="2" t="n">
        <v>46.97</v>
      </c>
      <c r="CZ779" s="2" t="n">
        <v>0</v>
      </c>
      <c r="DA779" s="2" t="n">
        <v>87.88</v>
      </c>
      <c r="DB779" s="2" t="n">
        <v>78.79000000000001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10/12/2027</t>
        </is>
      </c>
      <c r="E780" s="2" t="inlineStr">
        <is>
          <t>20/03/2028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24.24</v>
      </c>
      <c r="CV780" s="2" t="n">
        <v>15.15</v>
      </c>
      <c r="CW780" s="2" t="n">
        <v>0</v>
      </c>
      <c r="CX780" s="2" t="n">
        <v>56.06</v>
      </c>
      <c r="CY780" s="2" t="n">
        <v>46.97</v>
      </c>
      <c r="CZ780" s="2" t="n">
        <v>0</v>
      </c>
      <c r="DA780" s="2" t="n">
        <v>87.88</v>
      </c>
      <c r="DB780" s="2" t="n">
        <v>78.79000000000001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10/12/2027</t>
        </is>
      </c>
      <c r="E781" s="2" t="inlineStr">
        <is>
          <t>20/03/2028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24.24</v>
      </c>
      <c r="CV781" s="2" t="n">
        <v>15.15</v>
      </c>
      <c r="CW781" s="2" t="n">
        <v>0</v>
      </c>
      <c r="CX781" s="2" t="n">
        <v>56.06</v>
      </c>
      <c r="CY781" s="2" t="n">
        <v>46.97</v>
      </c>
      <c r="CZ781" s="2" t="n">
        <v>0</v>
      </c>
      <c r="DA781" s="2" t="n">
        <v>87.88</v>
      </c>
      <c r="DB781" s="2" t="n">
        <v>78.79000000000001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32.45</v>
      </c>
      <c r="CT782" s="2" t="n">
        <v>0</v>
      </c>
      <c r="CU782" s="2" t="n">
        <v>38.99</v>
      </c>
      <c r="CV782" s="2" t="n">
        <v>40.68</v>
      </c>
      <c r="CW782" s="2" t="n">
        <v>0</v>
      </c>
      <c r="CX782" s="2" t="n">
        <v>48.36</v>
      </c>
      <c r="CY782" s="2" t="n">
        <v>48.7</v>
      </c>
      <c r="CZ782" s="2" t="n">
        <v>0</v>
      </c>
      <c r="DA782" s="2" t="n">
        <v>55.42</v>
      </c>
      <c r="DB782" s="2" t="n">
        <v>56.63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10/12/2027</t>
        </is>
      </c>
      <c r="E804" s="2" t="inlineStr">
        <is>
          <t>20/03/2028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24.24</v>
      </c>
      <c r="CV804" s="2" t="n">
        <v>15.15</v>
      </c>
      <c r="CW804" s="2" t="n">
        <v>0</v>
      </c>
      <c r="CX804" s="2" t="n">
        <v>56.06</v>
      </c>
      <c r="CY804" s="2" t="n">
        <v>46.97</v>
      </c>
      <c r="CZ804" s="2" t="n">
        <v>0</v>
      </c>
      <c r="DA804" s="2" t="n">
        <v>87.88</v>
      </c>
      <c r="DB804" s="2" t="n">
        <v>78.79000000000001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10/12/2027</t>
        </is>
      </c>
      <c r="E805" s="2" t="inlineStr">
        <is>
          <t>20/03/2028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24.24</v>
      </c>
      <c r="CV805" s="2" t="n">
        <v>15.15</v>
      </c>
      <c r="CW805" s="2" t="n">
        <v>0</v>
      </c>
      <c r="CX805" s="2" t="n">
        <v>56.06</v>
      </c>
      <c r="CY805" s="2" t="n">
        <v>46.97</v>
      </c>
      <c r="CZ805" s="2" t="n">
        <v>0</v>
      </c>
      <c r="DA805" s="2" t="n">
        <v>87.88</v>
      </c>
      <c r="DB805" s="2" t="n">
        <v>78.79000000000001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10/12/2027</t>
        </is>
      </c>
      <c r="E806" s="2" t="inlineStr">
        <is>
          <t>20/03/2028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24.24</v>
      </c>
      <c r="CV806" s="2" t="n">
        <v>15.15</v>
      </c>
      <c r="CW806" s="2" t="n">
        <v>0</v>
      </c>
      <c r="CX806" s="2" t="n">
        <v>56.06</v>
      </c>
      <c r="CY806" s="2" t="n">
        <v>46.97</v>
      </c>
      <c r="CZ806" s="2" t="n">
        <v>0</v>
      </c>
      <c r="DA806" s="2" t="n">
        <v>87.88</v>
      </c>
      <c r="DB806" s="2" t="n">
        <v>78.79000000000001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10/12/2027</t>
        </is>
      </c>
      <c r="E807" s="2" t="inlineStr">
        <is>
          <t>20/03/2028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24.24</v>
      </c>
      <c r="CV807" s="2" t="n">
        <v>15.15</v>
      </c>
      <c r="CW807" s="2" t="n">
        <v>0</v>
      </c>
      <c r="CX807" s="2" t="n">
        <v>56.06</v>
      </c>
      <c r="CY807" s="2" t="n">
        <v>46.97</v>
      </c>
      <c r="CZ807" s="2" t="n">
        <v>0</v>
      </c>
      <c r="DA807" s="2" t="n">
        <v>87.88</v>
      </c>
      <c r="DB807" s="2" t="n">
        <v>78.79000000000001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10/12/2027</t>
        </is>
      </c>
      <c r="E808" s="2" t="inlineStr">
        <is>
          <t>20/03/2028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24.24</v>
      </c>
      <c r="CV808" s="2" t="n">
        <v>15.15</v>
      </c>
      <c r="CW808" s="2" t="n">
        <v>0</v>
      </c>
      <c r="CX808" s="2" t="n">
        <v>56.06</v>
      </c>
      <c r="CY808" s="2" t="n">
        <v>46.97</v>
      </c>
      <c r="CZ808" s="2" t="n">
        <v>0</v>
      </c>
      <c r="DA808" s="2" t="n">
        <v>87.88</v>
      </c>
      <c r="DB808" s="2" t="n">
        <v>78.79000000000001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10/12/2027</t>
        </is>
      </c>
      <c r="E809" s="2" t="inlineStr">
        <is>
          <t>20/03/2028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24.24</v>
      </c>
      <c r="CV809" s="2" t="n">
        <v>15.15</v>
      </c>
      <c r="CW809" s="2" t="n">
        <v>0</v>
      </c>
      <c r="CX809" s="2" t="n">
        <v>56.06</v>
      </c>
      <c r="CY809" s="2" t="n">
        <v>46.97</v>
      </c>
      <c r="CZ809" s="2" t="n">
        <v>0</v>
      </c>
      <c r="DA809" s="2" t="n">
        <v>87.88</v>
      </c>
      <c r="DB809" s="2" t="n">
        <v>78.79000000000001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10/12/2027</t>
        </is>
      </c>
      <c r="E810" s="2" t="inlineStr">
        <is>
          <t>20/03/2028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24.24</v>
      </c>
      <c r="CV810" s="2" t="n">
        <v>15.15</v>
      </c>
      <c r="CW810" s="2" t="n">
        <v>0</v>
      </c>
      <c r="CX810" s="2" t="n">
        <v>56.06</v>
      </c>
      <c r="CY810" s="2" t="n">
        <v>46.97</v>
      </c>
      <c r="CZ810" s="2" t="n">
        <v>0</v>
      </c>
      <c r="DA810" s="2" t="n">
        <v>87.88</v>
      </c>
      <c r="DB810" s="2" t="n">
        <v>78.79000000000001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10/12/2027</t>
        </is>
      </c>
      <c r="E811" s="2" t="inlineStr">
        <is>
          <t>20/03/2028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24.24</v>
      </c>
      <c r="CV811" s="2" t="n">
        <v>15.15</v>
      </c>
      <c r="CW811" s="2" t="n">
        <v>0</v>
      </c>
      <c r="CX811" s="2" t="n">
        <v>56.06</v>
      </c>
      <c r="CY811" s="2" t="n">
        <v>46.97</v>
      </c>
      <c r="CZ811" s="2" t="n">
        <v>0</v>
      </c>
      <c r="DA811" s="2" t="n">
        <v>87.88</v>
      </c>
      <c r="DB811" s="2" t="n">
        <v>78.79000000000001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10/12/2027</t>
        </is>
      </c>
      <c r="E812" s="2" t="inlineStr">
        <is>
          <t>20/03/2028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24.24</v>
      </c>
      <c r="CV812" s="2" t="n">
        <v>15.15</v>
      </c>
      <c r="CW812" s="2" t="n">
        <v>0</v>
      </c>
      <c r="CX812" s="2" t="n">
        <v>56.06</v>
      </c>
      <c r="CY812" s="2" t="n">
        <v>46.97</v>
      </c>
      <c r="CZ812" s="2" t="n">
        <v>0</v>
      </c>
      <c r="DA812" s="2" t="n">
        <v>87.88</v>
      </c>
      <c r="DB812" s="2" t="n">
        <v>78.79000000000001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10/12/2027</t>
        </is>
      </c>
      <c r="E813" s="2" t="inlineStr">
        <is>
          <t>20/03/2028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24.24</v>
      </c>
      <c r="CV813" s="2" t="n">
        <v>15.15</v>
      </c>
      <c r="CW813" s="2" t="n">
        <v>0</v>
      </c>
      <c r="CX813" s="2" t="n">
        <v>56.06</v>
      </c>
      <c r="CY813" s="2" t="n">
        <v>46.97</v>
      </c>
      <c r="CZ813" s="2" t="n">
        <v>0</v>
      </c>
      <c r="DA813" s="2" t="n">
        <v>87.88</v>
      </c>
      <c r="DB813" s="2" t="n">
        <v>78.79000000000001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10/12/2027</t>
        </is>
      </c>
      <c r="E814" s="2" t="inlineStr">
        <is>
          <t>20/03/2028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24.24</v>
      </c>
      <c r="CV814" s="2" t="n">
        <v>15.15</v>
      </c>
      <c r="CW814" s="2" t="n">
        <v>0</v>
      </c>
      <c r="CX814" s="2" t="n">
        <v>56.06</v>
      </c>
      <c r="CY814" s="2" t="n">
        <v>46.97</v>
      </c>
      <c r="CZ814" s="2" t="n">
        <v>0</v>
      </c>
      <c r="DA814" s="2" t="n">
        <v>87.88</v>
      </c>
      <c r="DB814" s="2" t="n">
        <v>78.79000000000001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11.31</v>
      </c>
      <c r="CT815" s="2" t="n">
        <v>0</v>
      </c>
      <c r="CU815" s="2" t="n">
        <v>16.33</v>
      </c>
      <c r="CV815" s="2" t="n">
        <v>17.71</v>
      </c>
      <c r="CW815" s="2" t="n">
        <v>0</v>
      </c>
      <c r="CX815" s="2" t="n">
        <v>24.98</v>
      </c>
      <c r="CY815" s="2" t="n">
        <v>26.45</v>
      </c>
      <c r="CZ815" s="2" t="n">
        <v>0</v>
      </c>
      <c r="DA815" s="2" t="n">
        <v>34.65</v>
      </c>
      <c r="DB815" s="2" t="n">
        <v>34.77</v>
      </c>
      <c r="DC815" s="2" t="n">
        <v>0</v>
      </c>
      <c r="DD815" s="2" t="n">
        <v>51.63</v>
      </c>
      <c r="DE815" s="2" t="n">
        <v>51.1</v>
      </c>
      <c r="DF815" s="2" t="n">
        <v>0</v>
      </c>
      <c r="DG815" s="2" t="n">
        <v>60.52</v>
      </c>
      <c r="DH815" s="2" t="n">
        <v>62.23</v>
      </c>
      <c r="DI815" s="2" t="n">
        <v>0</v>
      </c>
      <c r="DJ815" s="2" t="n">
        <v>69.73999999999999</v>
      </c>
      <c r="DK815" s="2" t="n">
        <v>70.81999999999999</v>
      </c>
      <c r="DL815" s="2" t="n">
        <v>0</v>
      </c>
      <c r="DM815" s="2" t="n">
        <v>77.18000000000001</v>
      </c>
      <c r="DN815" s="2" t="n">
        <v>78.95</v>
      </c>
      <c r="DO815" s="2" t="n">
        <v>0</v>
      </c>
      <c r="DP815" s="2" t="n">
        <v>85.03</v>
      </c>
      <c r="DQ815" s="2" t="n">
        <v>86.8</v>
      </c>
      <c r="DR815" s="2" t="n">
        <v>0</v>
      </c>
      <c r="DS815" s="2" t="n">
        <v>92.65000000000001</v>
      </c>
      <c r="DT815" s="2" t="n">
        <v>94.23999999999999</v>
      </c>
      <c r="DU815" s="2" t="n">
        <v>0</v>
      </c>
      <c r="DV815" s="2" t="n">
        <v>95.78</v>
      </c>
      <c r="DW815" s="2" t="n">
        <v>95.91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11.31</v>
      </c>
      <c r="CT816" s="2" t="n">
        <v>0</v>
      </c>
      <c r="CU816" s="2" t="n">
        <v>16.33</v>
      </c>
      <c r="CV816" s="2" t="n">
        <v>17.71</v>
      </c>
      <c r="CW816" s="2" t="n">
        <v>0</v>
      </c>
      <c r="CX816" s="2" t="n">
        <v>24.98</v>
      </c>
      <c r="CY816" s="2" t="n">
        <v>26.45</v>
      </c>
      <c r="CZ816" s="2" t="n">
        <v>0</v>
      </c>
      <c r="DA816" s="2" t="n">
        <v>34.65</v>
      </c>
      <c r="DB816" s="2" t="n">
        <v>34.77</v>
      </c>
      <c r="DC816" s="2" t="n">
        <v>0</v>
      </c>
      <c r="DD816" s="2" t="n">
        <v>51.63</v>
      </c>
      <c r="DE816" s="2" t="n">
        <v>51.1</v>
      </c>
      <c r="DF816" s="2" t="n">
        <v>0</v>
      </c>
      <c r="DG816" s="2" t="n">
        <v>60.52</v>
      </c>
      <c r="DH816" s="2" t="n">
        <v>62.23</v>
      </c>
      <c r="DI816" s="2" t="n">
        <v>0</v>
      </c>
      <c r="DJ816" s="2" t="n">
        <v>69.73999999999999</v>
      </c>
      <c r="DK816" s="2" t="n">
        <v>70.81999999999999</v>
      </c>
      <c r="DL816" s="2" t="n">
        <v>0</v>
      </c>
      <c r="DM816" s="2" t="n">
        <v>77.18000000000001</v>
      </c>
      <c r="DN816" s="2" t="n">
        <v>78.95</v>
      </c>
      <c r="DO816" s="2" t="n">
        <v>0</v>
      </c>
      <c r="DP816" s="2" t="n">
        <v>85.03</v>
      </c>
      <c r="DQ816" s="2" t="n">
        <v>86.8</v>
      </c>
      <c r="DR816" s="2" t="n">
        <v>0</v>
      </c>
      <c r="DS816" s="2" t="n">
        <v>92.65000000000001</v>
      </c>
      <c r="DT816" s="2" t="n">
        <v>94.23999999999999</v>
      </c>
      <c r="DU816" s="2" t="n">
        <v>0</v>
      </c>
      <c r="DV816" s="2" t="n">
        <v>95.78</v>
      </c>
      <c r="DW816" s="2" t="n">
        <v>95.91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11.31</v>
      </c>
      <c r="CT817" s="2" t="n">
        <v>0</v>
      </c>
      <c r="CU817" s="2" t="n">
        <v>16.33</v>
      </c>
      <c r="CV817" s="2" t="n">
        <v>17.71</v>
      </c>
      <c r="CW817" s="2" t="n">
        <v>0</v>
      </c>
      <c r="CX817" s="2" t="n">
        <v>24.98</v>
      </c>
      <c r="CY817" s="2" t="n">
        <v>26.45</v>
      </c>
      <c r="CZ817" s="2" t="n">
        <v>0</v>
      </c>
      <c r="DA817" s="2" t="n">
        <v>34.65</v>
      </c>
      <c r="DB817" s="2" t="n">
        <v>34.77</v>
      </c>
      <c r="DC817" s="2" t="n">
        <v>0</v>
      </c>
      <c r="DD817" s="2" t="n">
        <v>51.63</v>
      </c>
      <c r="DE817" s="2" t="n">
        <v>51.1</v>
      </c>
      <c r="DF817" s="2" t="n">
        <v>0</v>
      </c>
      <c r="DG817" s="2" t="n">
        <v>60.52</v>
      </c>
      <c r="DH817" s="2" t="n">
        <v>62.23</v>
      </c>
      <c r="DI817" s="2" t="n">
        <v>0</v>
      </c>
      <c r="DJ817" s="2" t="n">
        <v>69.73999999999999</v>
      </c>
      <c r="DK817" s="2" t="n">
        <v>70.81999999999999</v>
      </c>
      <c r="DL817" s="2" t="n">
        <v>0</v>
      </c>
      <c r="DM817" s="2" t="n">
        <v>77.18000000000001</v>
      </c>
      <c r="DN817" s="2" t="n">
        <v>78.95</v>
      </c>
      <c r="DO817" s="2" t="n">
        <v>0</v>
      </c>
      <c r="DP817" s="2" t="n">
        <v>85.03</v>
      </c>
      <c r="DQ817" s="2" t="n">
        <v>86.8</v>
      </c>
      <c r="DR817" s="2" t="n">
        <v>0</v>
      </c>
      <c r="DS817" s="2" t="n">
        <v>92.65000000000001</v>
      </c>
      <c r="DT817" s="2" t="n">
        <v>94.23999999999999</v>
      </c>
      <c r="DU817" s="2" t="n">
        <v>0</v>
      </c>
      <c r="DV817" s="2" t="n">
        <v>95.78</v>
      </c>
      <c r="DW817" s="2" t="n">
        <v>95.91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11.31</v>
      </c>
      <c r="CT818" s="2" t="n">
        <v>0</v>
      </c>
      <c r="CU818" s="2" t="n">
        <v>16.33</v>
      </c>
      <c r="CV818" s="2" t="n">
        <v>17.71</v>
      </c>
      <c r="CW818" s="2" t="n">
        <v>0</v>
      </c>
      <c r="CX818" s="2" t="n">
        <v>24.98</v>
      </c>
      <c r="CY818" s="2" t="n">
        <v>26.45</v>
      </c>
      <c r="CZ818" s="2" t="n">
        <v>0</v>
      </c>
      <c r="DA818" s="2" t="n">
        <v>34.65</v>
      </c>
      <c r="DB818" s="2" t="n">
        <v>34.77</v>
      </c>
      <c r="DC818" s="2" t="n">
        <v>0</v>
      </c>
      <c r="DD818" s="2" t="n">
        <v>51.63</v>
      </c>
      <c r="DE818" s="2" t="n">
        <v>51.1</v>
      </c>
      <c r="DF818" s="2" t="n">
        <v>0</v>
      </c>
      <c r="DG818" s="2" t="n">
        <v>60.52</v>
      </c>
      <c r="DH818" s="2" t="n">
        <v>62.23</v>
      </c>
      <c r="DI818" s="2" t="n">
        <v>0</v>
      </c>
      <c r="DJ818" s="2" t="n">
        <v>69.73999999999999</v>
      </c>
      <c r="DK818" s="2" t="n">
        <v>70.81999999999999</v>
      </c>
      <c r="DL818" s="2" t="n">
        <v>0</v>
      </c>
      <c r="DM818" s="2" t="n">
        <v>77.18000000000001</v>
      </c>
      <c r="DN818" s="2" t="n">
        <v>78.95</v>
      </c>
      <c r="DO818" s="2" t="n">
        <v>0</v>
      </c>
      <c r="DP818" s="2" t="n">
        <v>85.03</v>
      </c>
      <c r="DQ818" s="2" t="n">
        <v>86.8</v>
      </c>
      <c r="DR818" s="2" t="n">
        <v>0</v>
      </c>
      <c r="DS818" s="2" t="n">
        <v>92.65000000000001</v>
      </c>
      <c r="DT818" s="2" t="n">
        <v>94.23999999999999</v>
      </c>
      <c r="DU818" s="2" t="n">
        <v>0</v>
      </c>
      <c r="DV818" s="2" t="n">
        <v>95.78</v>
      </c>
      <c r="DW818" s="2" t="n">
        <v>95.91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11.31</v>
      </c>
      <c r="CT819" s="2" t="n">
        <v>0</v>
      </c>
      <c r="CU819" s="2" t="n">
        <v>16.33</v>
      </c>
      <c r="CV819" s="2" t="n">
        <v>17.71</v>
      </c>
      <c r="CW819" s="2" t="n">
        <v>0</v>
      </c>
      <c r="CX819" s="2" t="n">
        <v>24.98</v>
      </c>
      <c r="CY819" s="2" t="n">
        <v>26.45</v>
      </c>
      <c r="CZ819" s="2" t="n">
        <v>0</v>
      </c>
      <c r="DA819" s="2" t="n">
        <v>34.65</v>
      </c>
      <c r="DB819" s="2" t="n">
        <v>34.77</v>
      </c>
      <c r="DC819" s="2" t="n">
        <v>0</v>
      </c>
      <c r="DD819" s="2" t="n">
        <v>51.63</v>
      </c>
      <c r="DE819" s="2" t="n">
        <v>51.1</v>
      </c>
      <c r="DF819" s="2" t="n">
        <v>0</v>
      </c>
      <c r="DG819" s="2" t="n">
        <v>60.52</v>
      </c>
      <c r="DH819" s="2" t="n">
        <v>62.23</v>
      </c>
      <c r="DI819" s="2" t="n">
        <v>0</v>
      </c>
      <c r="DJ819" s="2" t="n">
        <v>69.73999999999999</v>
      </c>
      <c r="DK819" s="2" t="n">
        <v>70.81999999999999</v>
      </c>
      <c r="DL819" s="2" t="n">
        <v>0</v>
      </c>
      <c r="DM819" s="2" t="n">
        <v>77.18000000000001</v>
      </c>
      <c r="DN819" s="2" t="n">
        <v>78.95</v>
      </c>
      <c r="DO819" s="2" t="n">
        <v>0</v>
      </c>
      <c r="DP819" s="2" t="n">
        <v>85.03</v>
      </c>
      <c r="DQ819" s="2" t="n">
        <v>86.8</v>
      </c>
      <c r="DR819" s="2" t="n">
        <v>0</v>
      </c>
      <c r="DS819" s="2" t="n">
        <v>92.65000000000001</v>
      </c>
      <c r="DT819" s="2" t="n">
        <v>94.23999999999999</v>
      </c>
      <c r="DU819" s="2" t="n">
        <v>0</v>
      </c>
      <c r="DV819" s="2" t="n">
        <v>95.78</v>
      </c>
      <c r="DW819" s="2" t="n">
        <v>95.91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11.31</v>
      </c>
      <c r="CT820" s="2" t="n">
        <v>0</v>
      </c>
      <c r="CU820" s="2" t="n">
        <v>16.33</v>
      </c>
      <c r="CV820" s="2" t="n">
        <v>17.71</v>
      </c>
      <c r="CW820" s="2" t="n">
        <v>0</v>
      </c>
      <c r="CX820" s="2" t="n">
        <v>24.98</v>
      </c>
      <c r="CY820" s="2" t="n">
        <v>26.45</v>
      </c>
      <c r="CZ820" s="2" t="n">
        <v>0</v>
      </c>
      <c r="DA820" s="2" t="n">
        <v>34.65</v>
      </c>
      <c r="DB820" s="2" t="n">
        <v>34.77</v>
      </c>
      <c r="DC820" s="2" t="n">
        <v>0</v>
      </c>
      <c r="DD820" s="2" t="n">
        <v>51.63</v>
      </c>
      <c r="DE820" s="2" t="n">
        <v>51.1</v>
      </c>
      <c r="DF820" s="2" t="n">
        <v>0</v>
      </c>
      <c r="DG820" s="2" t="n">
        <v>60.52</v>
      </c>
      <c r="DH820" s="2" t="n">
        <v>62.23</v>
      </c>
      <c r="DI820" s="2" t="n">
        <v>0</v>
      </c>
      <c r="DJ820" s="2" t="n">
        <v>69.73999999999999</v>
      </c>
      <c r="DK820" s="2" t="n">
        <v>70.81999999999999</v>
      </c>
      <c r="DL820" s="2" t="n">
        <v>0</v>
      </c>
      <c r="DM820" s="2" t="n">
        <v>77.18000000000001</v>
      </c>
      <c r="DN820" s="2" t="n">
        <v>78.95</v>
      </c>
      <c r="DO820" s="2" t="n">
        <v>0</v>
      </c>
      <c r="DP820" s="2" t="n">
        <v>85.03</v>
      </c>
      <c r="DQ820" s="2" t="n">
        <v>86.8</v>
      </c>
      <c r="DR820" s="2" t="n">
        <v>0</v>
      </c>
      <c r="DS820" s="2" t="n">
        <v>92.65000000000001</v>
      </c>
      <c r="DT820" s="2" t="n">
        <v>94.23999999999999</v>
      </c>
      <c r="DU820" s="2" t="n">
        <v>0</v>
      </c>
      <c r="DV820" s="2" t="n">
        <v>95.78</v>
      </c>
      <c r="DW820" s="2" t="n">
        <v>95.91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11.31</v>
      </c>
      <c r="CT821" s="2" t="n">
        <v>0</v>
      </c>
      <c r="CU821" s="2" t="n">
        <v>16.33</v>
      </c>
      <c r="CV821" s="2" t="n">
        <v>17.71</v>
      </c>
      <c r="CW821" s="2" t="n">
        <v>0</v>
      </c>
      <c r="CX821" s="2" t="n">
        <v>24.98</v>
      </c>
      <c r="CY821" s="2" t="n">
        <v>26.45</v>
      </c>
      <c r="CZ821" s="2" t="n">
        <v>0</v>
      </c>
      <c r="DA821" s="2" t="n">
        <v>34.65</v>
      </c>
      <c r="DB821" s="2" t="n">
        <v>34.77</v>
      </c>
      <c r="DC821" s="2" t="n">
        <v>0</v>
      </c>
      <c r="DD821" s="2" t="n">
        <v>51.63</v>
      </c>
      <c r="DE821" s="2" t="n">
        <v>51.1</v>
      </c>
      <c r="DF821" s="2" t="n">
        <v>0</v>
      </c>
      <c r="DG821" s="2" t="n">
        <v>60.52</v>
      </c>
      <c r="DH821" s="2" t="n">
        <v>62.23</v>
      </c>
      <c r="DI821" s="2" t="n">
        <v>0</v>
      </c>
      <c r="DJ821" s="2" t="n">
        <v>69.73999999999999</v>
      </c>
      <c r="DK821" s="2" t="n">
        <v>70.81999999999999</v>
      </c>
      <c r="DL821" s="2" t="n">
        <v>0</v>
      </c>
      <c r="DM821" s="2" t="n">
        <v>77.18000000000001</v>
      </c>
      <c r="DN821" s="2" t="n">
        <v>78.95</v>
      </c>
      <c r="DO821" s="2" t="n">
        <v>0</v>
      </c>
      <c r="DP821" s="2" t="n">
        <v>85.03</v>
      </c>
      <c r="DQ821" s="2" t="n">
        <v>86.8</v>
      </c>
      <c r="DR821" s="2" t="n">
        <v>0</v>
      </c>
      <c r="DS821" s="2" t="n">
        <v>92.65000000000001</v>
      </c>
      <c r="DT821" s="2" t="n">
        <v>94.23999999999999</v>
      </c>
      <c r="DU821" s="2" t="n">
        <v>0</v>
      </c>
      <c r="DV821" s="2" t="n">
        <v>95.78</v>
      </c>
      <c r="DW821" s="2" t="n">
        <v>95.91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11.31</v>
      </c>
      <c r="CT822" s="2" t="n">
        <v>0</v>
      </c>
      <c r="CU822" s="2" t="n">
        <v>16.33</v>
      </c>
      <c r="CV822" s="2" t="n">
        <v>17.71</v>
      </c>
      <c r="CW822" s="2" t="n">
        <v>0</v>
      </c>
      <c r="CX822" s="2" t="n">
        <v>24.98</v>
      </c>
      <c r="CY822" s="2" t="n">
        <v>26.45</v>
      </c>
      <c r="CZ822" s="2" t="n">
        <v>0</v>
      </c>
      <c r="DA822" s="2" t="n">
        <v>34.65</v>
      </c>
      <c r="DB822" s="2" t="n">
        <v>34.77</v>
      </c>
      <c r="DC822" s="2" t="n">
        <v>0</v>
      </c>
      <c r="DD822" s="2" t="n">
        <v>51.63</v>
      </c>
      <c r="DE822" s="2" t="n">
        <v>51.1</v>
      </c>
      <c r="DF822" s="2" t="n">
        <v>0</v>
      </c>
      <c r="DG822" s="2" t="n">
        <v>60.52</v>
      </c>
      <c r="DH822" s="2" t="n">
        <v>62.23</v>
      </c>
      <c r="DI822" s="2" t="n">
        <v>0</v>
      </c>
      <c r="DJ822" s="2" t="n">
        <v>69.73999999999999</v>
      </c>
      <c r="DK822" s="2" t="n">
        <v>70.81999999999999</v>
      </c>
      <c r="DL822" s="2" t="n">
        <v>0</v>
      </c>
      <c r="DM822" s="2" t="n">
        <v>77.18000000000001</v>
      </c>
      <c r="DN822" s="2" t="n">
        <v>78.95</v>
      </c>
      <c r="DO822" s="2" t="n">
        <v>0</v>
      </c>
      <c r="DP822" s="2" t="n">
        <v>85.03</v>
      </c>
      <c r="DQ822" s="2" t="n">
        <v>86.8</v>
      </c>
      <c r="DR822" s="2" t="n">
        <v>0</v>
      </c>
      <c r="DS822" s="2" t="n">
        <v>92.65000000000001</v>
      </c>
      <c r="DT822" s="2" t="n">
        <v>94.23999999999999</v>
      </c>
      <c r="DU822" s="2" t="n">
        <v>0</v>
      </c>
      <c r="DV822" s="2" t="n">
        <v>95.78</v>
      </c>
      <c r="DW822" s="2" t="n">
        <v>95.91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9.449999999999999</v>
      </c>
      <c r="DF823" s="2" t="n">
        <v>0</v>
      </c>
      <c r="DG823" s="2" t="n">
        <v>15.71</v>
      </c>
      <c r="DH823" s="2" t="n">
        <v>17.51</v>
      </c>
      <c r="DI823" s="2" t="n">
        <v>0</v>
      </c>
      <c r="DJ823" s="2" t="n">
        <v>26.39</v>
      </c>
      <c r="DK823" s="2" t="n">
        <v>28.02</v>
      </c>
      <c r="DL823" s="2" t="n">
        <v>0</v>
      </c>
      <c r="DM823" s="2" t="n">
        <v>36.13</v>
      </c>
      <c r="DN823" s="2" t="n">
        <v>37.91</v>
      </c>
      <c r="DO823" s="2" t="n">
        <v>0</v>
      </c>
      <c r="DP823" s="2" t="n">
        <v>45.85</v>
      </c>
      <c r="DQ823" s="2" t="n">
        <v>47.51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66.19</v>
      </c>
      <c r="DX823" s="2" t="n">
        <v>0</v>
      </c>
      <c r="DY823" s="2" t="n">
        <v>72.79000000000001</v>
      </c>
      <c r="DZ823" s="2" t="n">
        <v>74.84</v>
      </c>
      <c r="EA823" s="2" t="n">
        <v>0</v>
      </c>
      <c r="EB823" s="2" t="n">
        <v>80.93000000000001</v>
      </c>
      <c r="EC823" s="2" t="n">
        <v>82.98999999999999</v>
      </c>
      <c r="ED823" s="2" t="n">
        <v>0</v>
      </c>
      <c r="EE823" s="2" t="n">
        <v>87.59</v>
      </c>
      <c r="EF823" s="2" t="n">
        <v>90.01000000000001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9.449999999999999</v>
      </c>
      <c r="DF824" s="2" t="n">
        <v>0</v>
      </c>
      <c r="DG824" s="2" t="n">
        <v>15.71</v>
      </c>
      <c r="DH824" s="2" t="n">
        <v>17.51</v>
      </c>
      <c r="DI824" s="2" t="n">
        <v>0</v>
      </c>
      <c r="DJ824" s="2" t="n">
        <v>26.39</v>
      </c>
      <c r="DK824" s="2" t="n">
        <v>28.02</v>
      </c>
      <c r="DL824" s="2" t="n">
        <v>0</v>
      </c>
      <c r="DM824" s="2" t="n">
        <v>36.13</v>
      </c>
      <c r="DN824" s="2" t="n">
        <v>37.91</v>
      </c>
      <c r="DO824" s="2" t="n">
        <v>0</v>
      </c>
      <c r="DP824" s="2" t="n">
        <v>45.85</v>
      </c>
      <c r="DQ824" s="2" t="n">
        <v>47.51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66.19</v>
      </c>
      <c r="DX824" s="2" t="n">
        <v>0</v>
      </c>
      <c r="DY824" s="2" t="n">
        <v>72.79000000000001</v>
      </c>
      <c r="DZ824" s="2" t="n">
        <v>74.84</v>
      </c>
      <c r="EA824" s="2" t="n">
        <v>0</v>
      </c>
      <c r="EB824" s="2" t="n">
        <v>80.93000000000001</v>
      </c>
      <c r="EC824" s="2" t="n">
        <v>82.98999999999999</v>
      </c>
      <c r="ED824" s="2" t="n">
        <v>0</v>
      </c>
      <c r="EE824" s="2" t="n">
        <v>87.59</v>
      </c>
      <c r="EF824" s="2" t="n">
        <v>90.01000000000001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9.449999999999999</v>
      </c>
      <c r="DF825" s="2" t="n">
        <v>0</v>
      </c>
      <c r="DG825" s="2" t="n">
        <v>15.71</v>
      </c>
      <c r="DH825" s="2" t="n">
        <v>17.51</v>
      </c>
      <c r="DI825" s="2" t="n">
        <v>0</v>
      </c>
      <c r="DJ825" s="2" t="n">
        <v>26.39</v>
      </c>
      <c r="DK825" s="2" t="n">
        <v>28.02</v>
      </c>
      <c r="DL825" s="2" t="n">
        <v>0</v>
      </c>
      <c r="DM825" s="2" t="n">
        <v>36.13</v>
      </c>
      <c r="DN825" s="2" t="n">
        <v>37.91</v>
      </c>
      <c r="DO825" s="2" t="n">
        <v>0</v>
      </c>
      <c r="DP825" s="2" t="n">
        <v>45.85</v>
      </c>
      <c r="DQ825" s="2" t="n">
        <v>47.51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66.19</v>
      </c>
      <c r="DX825" s="2" t="n">
        <v>0</v>
      </c>
      <c r="DY825" s="2" t="n">
        <v>72.79000000000001</v>
      </c>
      <c r="DZ825" s="2" t="n">
        <v>74.84</v>
      </c>
      <c r="EA825" s="2" t="n">
        <v>0</v>
      </c>
      <c r="EB825" s="2" t="n">
        <v>80.93000000000001</v>
      </c>
      <c r="EC825" s="2" t="n">
        <v>82.98999999999999</v>
      </c>
      <c r="ED825" s="2" t="n">
        <v>0</v>
      </c>
      <c r="EE825" s="2" t="n">
        <v>87.59</v>
      </c>
      <c r="EF825" s="2" t="n">
        <v>90.01000000000001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9.449999999999999</v>
      </c>
      <c r="DF826" s="2" t="n">
        <v>0</v>
      </c>
      <c r="DG826" s="2" t="n">
        <v>15.71</v>
      </c>
      <c r="DH826" s="2" t="n">
        <v>17.51</v>
      </c>
      <c r="DI826" s="2" t="n">
        <v>0</v>
      </c>
      <c r="DJ826" s="2" t="n">
        <v>26.39</v>
      </c>
      <c r="DK826" s="2" t="n">
        <v>28.02</v>
      </c>
      <c r="DL826" s="2" t="n">
        <v>0</v>
      </c>
      <c r="DM826" s="2" t="n">
        <v>36.13</v>
      </c>
      <c r="DN826" s="2" t="n">
        <v>37.91</v>
      </c>
      <c r="DO826" s="2" t="n">
        <v>0</v>
      </c>
      <c r="DP826" s="2" t="n">
        <v>45.85</v>
      </c>
      <c r="DQ826" s="2" t="n">
        <v>47.51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66.19</v>
      </c>
      <c r="DX826" s="2" t="n">
        <v>0</v>
      </c>
      <c r="DY826" s="2" t="n">
        <v>72.79000000000001</v>
      </c>
      <c r="DZ826" s="2" t="n">
        <v>74.84</v>
      </c>
      <c r="EA826" s="2" t="n">
        <v>0</v>
      </c>
      <c r="EB826" s="2" t="n">
        <v>80.93000000000001</v>
      </c>
      <c r="EC826" s="2" t="n">
        <v>82.98999999999999</v>
      </c>
      <c r="ED826" s="2" t="n">
        <v>0</v>
      </c>
      <c r="EE826" s="2" t="n">
        <v>87.59</v>
      </c>
      <c r="EF826" s="2" t="n">
        <v>90.01000000000001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9.449999999999999</v>
      </c>
      <c r="DF827" s="2" t="n">
        <v>0</v>
      </c>
      <c r="DG827" s="2" t="n">
        <v>15.71</v>
      </c>
      <c r="DH827" s="2" t="n">
        <v>17.51</v>
      </c>
      <c r="DI827" s="2" t="n">
        <v>0</v>
      </c>
      <c r="DJ827" s="2" t="n">
        <v>26.39</v>
      </c>
      <c r="DK827" s="2" t="n">
        <v>28.02</v>
      </c>
      <c r="DL827" s="2" t="n">
        <v>0</v>
      </c>
      <c r="DM827" s="2" t="n">
        <v>36.13</v>
      </c>
      <c r="DN827" s="2" t="n">
        <v>37.91</v>
      </c>
      <c r="DO827" s="2" t="n">
        <v>0</v>
      </c>
      <c r="DP827" s="2" t="n">
        <v>45.85</v>
      </c>
      <c r="DQ827" s="2" t="n">
        <v>47.51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66.19</v>
      </c>
      <c r="DX827" s="2" t="n">
        <v>0</v>
      </c>
      <c r="DY827" s="2" t="n">
        <v>72.79000000000001</v>
      </c>
      <c r="DZ827" s="2" t="n">
        <v>74.84</v>
      </c>
      <c r="EA827" s="2" t="n">
        <v>0</v>
      </c>
      <c r="EB827" s="2" t="n">
        <v>80.93000000000001</v>
      </c>
      <c r="EC827" s="2" t="n">
        <v>82.98999999999999</v>
      </c>
      <c r="ED827" s="2" t="n">
        <v>0</v>
      </c>
      <c r="EE827" s="2" t="n">
        <v>87.59</v>
      </c>
      <c r="EF827" s="2" t="n">
        <v>90.01000000000001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9.449999999999999</v>
      </c>
      <c r="DF828" s="2" t="n">
        <v>0</v>
      </c>
      <c r="DG828" s="2" t="n">
        <v>15.71</v>
      </c>
      <c r="DH828" s="2" t="n">
        <v>17.51</v>
      </c>
      <c r="DI828" s="2" t="n">
        <v>0</v>
      </c>
      <c r="DJ828" s="2" t="n">
        <v>26.39</v>
      </c>
      <c r="DK828" s="2" t="n">
        <v>28.02</v>
      </c>
      <c r="DL828" s="2" t="n">
        <v>0</v>
      </c>
      <c r="DM828" s="2" t="n">
        <v>36.13</v>
      </c>
      <c r="DN828" s="2" t="n">
        <v>37.91</v>
      </c>
      <c r="DO828" s="2" t="n">
        <v>0</v>
      </c>
      <c r="DP828" s="2" t="n">
        <v>45.85</v>
      </c>
      <c r="DQ828" s="2" t="n">
        <v>47.51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66.19</v>
      </c>
      <c r="DX828" s="2" t="n">
        <v>0</v>
      </c>
      <c r="DY828" s="2" t="n">
        <v>72.79000000000001</v>
      </c>
      <c r="DZ828" s="2" t="n">
        <v>74.84</v>
      </c>
      <c r="EA828" s="2" t="n">
        <v>0</v>
      </c>
      <c r="EB828" s="2" t="n">
        <v>80.93000000000001</v>
      </c>
      <c r="EC828" s="2" t="n">
        <v>82.98999999999999</v>
      </c>
      <c r="ED828" s="2" t="n">
        <v>0</v>
      </c>
      <c r="EE828" s="2" t="n">
        <v>87.59</v>
      </c>
      <c r="EF828" s="2" t="n">
        <v>90.01000000000001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9.449999999999999</v>
      </c>
      <c r="DF829" s="2" t="n">
        <v>0</v>
      </c>
      <c r="DG829" s="2" t="n">
        <v>15.71</v>
      </c>
      <c r="DH829" s="2" t="n">
        <v>17.51</v>
      </c>
      <c r="DI829" s="2" t="n">
        <v>0</v>
      </c>
      <c r="DJ829" s="2" t="n">
        <v>26.39</v>
      </c>
      <c r="DK829" s="2" t="n">
        <v>28.02</v>
      </c>
      <c r="DL829" s="2" t="n">
        <v>0</v>
      </c>
      <c r="DM829" s="2" t="n">
        <v>36.13</v>
      </c>
      <c r="DN829" s="2" t="n">
        <v>37.91</v>
      </c>
      <c r="DO829" s="2" t="n">
        <v>0</v>
      </c>
      <c r="DP829" s="2" t="n">
        <v>45.85</v>
      </c>
      <c r="DQ829" s="2" t="n">
        <v>47.51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66.19</v>
      </c>
      <c r="DX829" s="2" t="n">
        <v>0</v>
      </c>
      <c r="DY829" s="2" t="n">
        <v>72.79000000000001</v>
      </c>
      <c r="DZ829" s="2" t="n">
        <v>74.84</v>
      </c>
      <c r="EA829" s="2" t="n">
        <v>0</v>
      </c>
      <c r="EB829" s="2" t="n">
        <v>80.93000000000001</v>
      </c>
      <c r="EC829" s="2" t="n">
        <v>82.98999999999999</v>
      </c>
      <c r="ED829" s="2" t="n">
        <v>0</v>
      </c>
      <c r="EE829" s="2" t="n">
        <v>87.59</v>
      </c>
      <c r="EF829" s="2" t="n">
        <v>90.01000000000001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9.449999999999999</v>
      </c>
      <c r="DF830" s="2" t="n">
        <v>0</v>
      </c>
      <c r="DG830" s="2" t="n">
        <v>15.71</v>
      </c>
      <c r="DH830" s="2" t="n">
        <v>17.51</v>
      </c>
      <c r="DI830" s="2" t="n">
        <v>0</v>
      </c>
      <c r="DJ830" s="2" t="n">
        <v>26.39</v>
      </c>
      <c r="DK830" s="2" t="n">
        <v>28.02</v>
      </c>
      <c r="DL830" s="2" t="n">
        <v>0</v>
      </c>
      <c r="DM830" s="2" t="n">
        <v>36.13</v>
      </c>
      <c r="DN830" s="2" t="n">
        <v>37.91</v>
      </c>
      <c r="DO830" s="2" t="n">
        <v>0</v>
      </c>
      <c r="DP830" s="2" t="n">
        <v>45.85</v>
      </c>
      <c r="DQ830" s="2" t="n">
        <v>47.51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66.19</v>
      </c>
      <c r="DX830" s="2" t="n">
        <v>0</v>
      </c>
      <c r="DY830" s="2" t="n">
        <v>72.79000000000001</v>
      </c>
      <c r="DZ830" s="2" t="n">
        <v>74.84</v>
      </c>
      <c r="EA830" s="2" t="n">
        <v>0</v>
      </c>
      <c r="EB830" s="2" t="n">
        <v>80.93000000000001</v>
      </c>
      <c r="EC830" s="2" t="n">
        <v>82.98999999999999</v>
      </c>
      <c r="ED830" s="2" t="n">
        <v>0</v>
      </c>
      <c r="EE830" s="2" t="n">
        <v>87.59</v>
      </c>
      <c r="EF830" s="2" t="n">
        <v>90.01000000000001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9.449999999999999</v>
      </c>
      <c r="DF831" s="2" t="n">
        <v>0</v>
      </c>
      <c r="DG831" s="2" t="n">
        <v>15.71</v>
      </c>
      <c r="DH831" s="2" t="n">
        <v>17.51</v>
      </c>
      <c r="DI831" s="2" t="n">
        <v>0</v>
      </c>
      <c r="DJ831" s="2" t="n">
        <v>26.39</v>
      </c>
      <c r="DK831" s="2" t="n">
        <v>28.02</v>
      </c>
      <c r="DL831" s="2" t="n">
        <v>0</v>
      </c>
      <c r="DM831" s="2" t="n">
        <v>36.13</v>
      </c>
      <c r="DN831" s="2" t="n">
        <v>37.91</v>
      </c>
      <c r="DO831" s="2" t="n">
        <v>0</v>
      </c>
      <c r="DP831" s="2" t="n">
        <v>45.85</v>
      </c>
      <c r="DQ831" s="2" t="n">
        <v>47.51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66.19</v>
      </c>
      <c r="DX831" s="2" t="n">
        <v>0</v>
      </c>
      <c r="DY831" s="2" t="n">
        <v>72.79000000000001</v>
      </c>
      <c r="DZ831" s="2" t="n">
        <v>74.84</v>
      </c>
      <c r="EA831" s="2" t="n">
        <v>0</v>
      </c>
      <c r="EB831" s="2" t="n">
        <v>80.93000000000001</v>
      </c>
      <c r="EC831" s="2" t="n">
        <v>82.98999999999999</v>
      </c>
      <c r="ED831" s="2" t="n">
        <v>0</v>
      </c>
      <c r="EE831" s="2" t="n">
        <v>87.59</v>
      </c>
      <c r="EF831" s="2" t="n">
        <v>90.01000000000001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9.449999999999999</v>
      </c>
      <c r="DF832" s="2" t="n">
        <v>0</v>
      </c>
      <c r="DG832" s="2" t="n">
        <v>15.71</v>
      </c>
      <c r="DH832" s="2" t="n">
        <v>17.51</v>
      </c>
      <c r="DI832" s="2" t="n">
        <v>0</v>
      </c>
      <c r="DJ832" s="2" t="n">
        <v>26.39</v>
      </c>
      <c r="DK832" s="2" t="n">
        <v>28.02</v>
      </c>
      <c r="DL832" s="2" t="n">
        <v>0</v>
      </c>
      <c r="DM832" s="2" t="n">
        <v>36.13</v>
      </c>
      <c r="DN832" s="2" t="n">
        <v>37.91</v>
      </c>
      <c r="DO832" s="2" t="n">
        <v>0</v>
      </c>
      <c r="DP832" s="2" t="n">
        <v>45.85</v>
      </c>
      <c r="DQ832" s="2" t="n">
        <v>47.51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66.19</v>
      </c>
      <c r="DX832" s="2" t="n">
        <v>0</v>
      </c>
      <c r="DY832" s="2" t="n">
        <v>72.79000000000001</v>
      </c>
      <c r="DZ832" s="2" t="n">
        <v>74.84</v>
      </c>
      <c r="EA832" s="2" t="n">
        <v>0</v>
      </c>
      <c r="EB832" s="2" t="n">
        <v>80.93000000000001</v>
      </c>
      <c r="EC832" s="2" t="n">
        <v>82.98999999999999</v>
      </c>
      <c r="ED832" s="2" t="n">
        <v>0</v>
      </c>
      <c r="EE832" s="2" t="n">
        <v>87.59</v>
      </c>
      <c r="EF832" s="2" t="n">
        <v>90.01000000000001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9.449999999999999</v>
      </c>
      <c r="DF833" s="2" t="n">
        <v>0</v>
      </c>
      <c r="DG833" s="2" t="n">
        <v>15.71</v>
      </c>
      <c r="DH833" s="2" t="n">
        <v>17.51</v>
      </c>
      <c r="DI833" s="2" t="n">
        <v>0</v>
      </c>
      <c r="DJ833" s="2" t="n">
        <v>26.39</v>
      </c>
      <c r="DK833" s="2" t="n">
        <v>28.02</v>
      </c>
      <c r="DL833" s="2" t="n">
        <v>0</v>
      </c>
      <c r="DM833" s="2" t="n">
        <v>36.13</v>
      </c>
      <c r="DN833" s="2" t="n">
        <v>37.91</v>
      </c>
      <c r="DO833" s="2" t="n">
        <v>0</v>
      </c>
      <c r="DP833" s="2" t="n">
        <v>45.85</v>
      </c>
      <c r="DQ833" s="2" t="n">
        <v>47.51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66.19</v>
      </c>
      <c r="DX833" s="2" t="n">
        <v>0</v>
      </c>
      <c r="DY833" s="2" t="n">
        <v>72.79000000000001</v>
      </c>
      <c r="DZ833" s="2" t="n">
        <v>74.84</v>
      </c>
      <c r="EA833" s="2" t="n">
        <v>0</v>
      </c>
      <c r="EB833" s="2" t="n">
        <v>80.93000000000001</v>
      </c>
      <c r="EC833" s="2" t="n">
        <v>82.98999999999999</v>
      </c>
      <c r="ED833" s="2" t="n">
        <v>0</v>
      </c>
      <c r="EE833" s="2" t="n">
        <v>87.59</v>
      </c>
      <c r="EF833" s="2" t="n">
        <v>90.01000000000001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9.449999999999999</v>
      </c>
      <c r="DF834" s="2" t="n">
        <v>0</v>
      </c>
      <c r="DG834" s="2" t="n">
        <v>15.71</v>
      </c>
      <c r="DH834" s="2" t="n">
        <v>17.51</v>
      </c>
      <c r="DI834" s="2" t="n">
        <v>0</v>
      </c>
      <c r="DJ834" s="2" t="n">
        <v>26.39</v>
      </c>
      <c r="DK834" s="2" t="n">
        <v>28.02</v>
      </c>
      <c r="DL834" s="2" t="n">
        <v>0</v>
      </c>
      <c r="DM834" s="2" t="n">
        <v>36.13</v>
      </c>
      <c r="DN834" s="2" t="n">
        <v>37.91</v>
      </c>
      <c r="DO834" s="2" t="n">
        <v>0</v>
      </c>
      <c r="DP834" s="2" t="n">
        <v>45.85</v>
      </c>
      <c r="DQ834" s="2" t="n">
        <v>47.51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66.19</v>
      </c>
      <c r="DX834" s="2" t="n">
        <v>0</v>
      </c>
      <c r="DY834" s="2" t="n">
        <v>72.79000000000001</v>
      </c>
      <c r="DZ834" s="2" t="n">
        <v>74.84</v>
      </c>
      <c r="EA834" s="2" t="n">
        <v>0</v>
      </c>
      <c r="EB834" s="2" t="n">
        <v>80.93000000000001</v>
      </c>
      <c r="EC834" s="2" t="n">
        <v>82.98999999999999</v>
      </c>
      <c r="ED834" s="2" t="n">
        <v>0</v>
      </c>
      <c r="EE834" s="2" t="n">
        <v>87.59</v>
      </c>
      <c r="EF834" s="2" t="n">
        <v>90.01000000000001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9.449999999999999</v>
      </c>
      <c r="DF835" s="2" t="n">
        <v>0</v>
      </c>
      <c r="DG835" s="2" t="n">
        <v>15.71</v>
      </c>
      <c r="DH835" s="2" t="n">
        <v>17.51</v>
      </c>
      <c r="DI835" s="2" t="n">
        <v>0</v>
      </c>
      <c r="DJ835" s="2" t="n">
        <v>26.39</v>
      </c>
      <c r="DK835" s="2" t="n">
        <v>28.02</v>
      </c>
      <c r="DL835" s="2" t="n">
        <v>0</v>
      </c>
      <c r="DM835" s="2" t="n">
        <v>36.13</v>
      </c>
      <c r="DN835" s="2" t="n">
        <v>37.91</v>
      </c>
      <c r="DO835" s="2" t="n">
        <v>0</v>
      </c>
      <c r="DP835" s="2" t="n">
        <v>45.85</v>
      </c>
      <c r="DQ835" s="2" t="n">
        <v>47.51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66.19</v>
      </c>
      <c r="DX835" s="2" t="n">
        <v>0</v>
      </c>
      <c r="DY835" s="2" t="n">
        <v>72.79000000000001</v>
      </c>
      <c r="DZ835" s="2" t="n">
        <v>74.84</v>
      </c>
      <c r="EA835" s="2" t="n">
        <v>0</v>
      </c>
      <c r="EB835" s="2" t="n">
        <v>80.93000000000001</v>
      </c>
      <c r="EC835" s="2" t="n">
        <v>82.98999999999999</v>
      </c>
      <c r="ED835" s="2" t="n">
        <v>0</v>
      </c>
      <c r="EE835" s="2" t="n">
        <v>87.59</v>
      </c>
      <c r="EF835" s="2" t="n">
        <v>90.01000000000001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9.449999999999999</v>
      </c>
      <c r="DF836" s="2" t="n">
        <v>0</v>
      </c>
      <c r="DG836" s="2" t="n">
        <v>15.71</v>
      </c>
      <c r="DH836" s="2" t="n">
        <v>17.51</v>
      </c>
      <c r="DI836" s="2" t="n">
        <v>0</v>
      </c>
      <c r="DJ836" s="2" t="n">
        <v>26.39</v>
      </c>
      <c r="DK836" s="2" t="n">
        <v>28.02</v>
      </c>
      <c r="DL836" s="2" t="n">
        <v>0</v>
      </c>
      <c r="DM836" s="2" t="n">
        <v>36.13</v>
      </c>
      <c r="DN836" s="2" t="n">
        <v>37.91</v>
      </c>
      <c r="DO836" s="2" t="n">
        <v>0</v>
      </c>
      <c r="DP836" s="2" t="n">
        <v>45.85</v>
      </c>
      <c r="DQ836" s="2" t="n">
        <v>47.51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66.19</v>
      </c>
      <c r="DX836" s="2" t="n">
        <v>0</v>
      </c>
      <c r="DY836" s="2" t="n">
        <v>72.79000000000001</v>
      </c>
      <c r="DZ836" s="2" t="n">
        <v>74.84</v>
      </c>
      <c r="EA836" s="2" t="n">
        <v>0</v>
      </c>
      <c r="EB836" s="2" t="n">
        <v>80.93000000000001</v>
      </c>
      <c r="EC836" s="2" t="n">
        <v>82.98999999999999</v>
      </c>
      <c r="ED836" s="2" t="n">
        <v>0</v>
      </c>
      <c r="EE836" s="2" t="n">
        <v>87.59</v>
      </c>
      <c r="EF836" s="2" t="n">
        <v>90.01000000000001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9.449999999999999</v>
      </c>
      <c r="DF837" s="2" t="n">
        <v>0</v>
      </c>
      <c r="DG837" s="2" t="n">
        <v>15.71</v>
      </c>
      <c r="DH837" s="2" t="n">
        <v>17.51</v>
      </c>
      <c r="DI837" s="2" t="n">
        <v>0</v>
      </c>
      <c r="DJ837" s="2" t="n">
        <v>26.39</v>
      </c>
      <c r="DK837" s="2" t="n">
        <v>28.02</v>
      </c>
      <c r="DL837" s="2" t="n">
        <v>0</v>
      </c>
      <c r="DM837" s="2" t="n">
        <v>36.13</v>
      </c>
      <c r="DN837" s="2" t="n">
        <v>37.91</v>
      </c>
      <c r="DO837" s="2" t="n">
        <v>0</v>
      </c>
      <c r="DP837" s="2" t="n">
        <v>45.85</v>
      </c>
      <c r="DQ837" s="2" t="n">
        <v>47.51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66.19</v>
      </c>
      <c r="DX837" s="2" t="n">
        <v>0</v>
      </c>
      <c r="DY837" s="2" t="n">
        <v>72.79000000000001</v>
      </c>
      <c r="DZ837" s="2" t="n">
        <v>74.84</v>
      </c>
      <c r="EA837" s="2" t="n">
        <v>0</v>
      </c>
      <c r="EB837" s="2" t="n">
        <v>80.93000000000001</v>
      </c>
      <c r="EC837" s="2" t="n">
        <v>82.98999999999999</v>
      </c>
      <c r="ED837" s="2" t="n">
        <v>0</v>
      </c>
      <c r="EE837" s="2" t="n">
        <v>87.59</v>
      </c>
      <c r="EF837" s="2" t="n">
        <v>90.01000000000001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9.449999999999999</v>
      </c>
      <c r="DF838" s="2" t="n">
        <v>0</v>
      </c>
      <c r="DG838" s="2" t="n">
        <v>15.71</v>
      </c>
      <c r="DH838" s="2" t="n">
        <v>17.51</v>
      </c>
      <c r="DI838" s="2" t="n">
        <v>0</v>
      </c>
      <c r="DJ838" s="2" t="n">
        <v>26.39</v>
      </c>
      <c r="DK838" s="2" t="n">
        <v>28.02</v>
      </c>
      <c r="DL838" s="2" t="n">
        <v>0</v>
      </c>
      <c r="DM838" s="2" t="n">
        <v>36.13</v>
      </c>
      <c r="DN838" s="2" t="n">
        <v>37.91</v>
      </c>
      <c r="DO838" s="2" t="n">
        <v>0</v>
      </c>
      <c r="DP838" s="2" t="n">
        <v>45.85</v>
      </c>
      <c r="DQ838" s="2" t="n">
        <v>47.51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66.19</v>
      </c>
      <c r="DX838" s="2" t="n">
        <v>0</v>
      </c>
      <c r="DY838" s="2" t="n">
        <v>72.79000000000001</v>
      </c>
      <c r="DZ838" s="2" t="n">
        <v>74.84</v>
      </c>
      <c r="EA838" s="2" t="n">
        <v>0</v>
      </c>
      <c r="EB838" s="2" t="n">
        <v>80.93000000000001</v>
      </c>
      <c r="EC838" s="2" t="n">
        <v>82.98999999999999</v>
      </c>
      <c r="ED838" s="2" t="n">
        <v>0</v>
      </c>
      <c r="EE838" s="2" t="n">
        <v>87.59</v>
      </c>
      <c r="EF838" s="2" t="n">
        <v>90.01000000000001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9.449999999999999</v>
      </c>
      <c r="DF839" s="2" t="n">
        <v>0</v>
      </c>
      <c r="DG839" s="2" t="n">
        <v>15.71</v>
      </c>
      <c r="DH839" s="2" t="n">
        <v>17.51</v>
      </c>
      <c r="DI839" s="2" t="n">
        <v>0</v>
      </c>
      <c r="DJ839" s="2" t="n">
        <v>26.39</v>
      </c>
      <c r="DK839" s="2" t="n">
        <v>28.02</v>
      </c>
      <c r="DL839" s="2" t="n">
        <v>0</v>
      </c>
      <c r="DM839" s="2" t="n">
        <v>36.13</v>
      </c>
      <c r="DN839" s="2" t="n">
        <v>37.91</v>
      </c>
      <c r="DO839" s="2" t="n">
        <v>0</v>
      </c>
      <c r="DP839" s="2" t="n">
        <v>45.85</v>
      </c>
      <c r="DQ839" s="2" t="n">
        <v>47.51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66.19</v>
      </c>
      <c r="DX839" s="2" t="n">
        <v>0</v>
      </c>
      <c r="DY839" s="2" t="n">
        <v>72.79000000000001</v>
      </c>
      <c r="DZ839" s="2" t="n">
        <v>74.84</v>
      </c>
      <c r="EA839" s="2" t="n">
        <v>0</v>
      </c>
      <c r="EB839" s="2" t="n">
        <v>80.93000000000001</v>
      </c>
      <c r="EC839" s="2" t="n">
        <v>82.98999999999999</v>
      </c>
      <c r="ED839" s="2" t="n">
        <v>0</v>
      </c>
      <c r="EE839" s="2" t="n">
        <v>87.59</v>
      </c>
      <c r="EF839" s="2" t="n">
        <v>90.01000000000001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9.449999999999999</v>
      </c>
      <c r="DF840" s="2" t="n">
        <v>0</v>
      </c>
      <c r="DG840" s="2" t="n">
        <v>15.71</v>
      </c>
      <c r="DH840" s="2" t="n">
        <v>17.51</v>
      </c>
      <c r="DI840" s="2" t="n">
        <v>0</v>
      </c>
      <c r="DJ840" s="2" t="n">
        <v>26.39</v>
      </c>
      <c r="DK840" s="2" t="n">
        <v>28.02</v>
      </c>
      <c r="DL840" s="2" t="n">
        <v>0</v>
      </c>
      <c r="DM840" s="2" t="n">
        <v>36.13</v>
      </c>
      <c r="DN840" s="2" t="n">
        <v>37.91</v>
      </c>
      <c r="DO840" s="2" t="n">
        <v>0</v>
      </c>
      <c r="DP840" s="2" t="n">
        <v>45.85</v>
      </c>
      <c r="DQ840" s="2" t="n">
        <v>47.51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66.19</v>
      </c>
      <c r="DX840" s="2" t="n">
        <v>0</v>
      </c>
      <c r="DY840" s="2" t="n">
        <v>72.79000000000001</v>
      </c>
      <c r="DZ840" s="2" t="n">
        <v>74.84</v>
      </c>
      <c r="EA840" s="2" t="n">
        <v>0</v>
      </c>
      <c r="EB840" s="2" t="n">
        <v>80.93000000000001</v>
      </c>
      <c r="EC840" s="2" t="n">
        <v>82.98999999999999</v>
      </c>
      <c r="ED840" s="2" t="n">
        <v>0</v>
      </c>
      <c r="EE840" s="2" t="n">
        <v>87.59</v>
      </c>
      <c r="EF840" s="2" t="n">
        <v>90.01000000000001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9.449999999999999</v>
      </c>
      <c r="DF841" s="2" t="n">
        <v>0</v>
      </c>
      <c r="DG841" s="2" t="n">
        <v>15.71</v>
      </c>
      <c r="DH841" s="2" t="n">
        <v>17.51</v>
      </c>
      <c r="DI841" s="2" t="n">
        <v>0</v>
      </c>
      <c r="DJ841" s="2" t="n">
        <v>26.39</v>
      </c>
      <c r="DK841" s="2" t="n">
        <v>28.02</v>
      </c>
      <c r="DL841" s="2" t="n">
        <v>0</v>
      </c>
      <c r="DM841" s="2" t="n">
        <v>36.13</v>
      </c>
      <c r="DN841" s="2" t="n">
        <v>37.91</v>
      </c>
      <c r="DO841" s="2" t="n">
        <v>0</v>
      </c>
      <c r="DP841" s="2" t="n">
        <v>45.85</v>
      </c>
      <c r="DQ841" s="2" t="n">
        <v>47.51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66.19</v>
      </c>
      <c r="DX841" s="2" t="n">
        <v>0</v>
      </c>
      <c r="DY841" s="2" t="n">
        <v>72.79000000000001</v>
      </c>
      <c r="DZ841" s="2" t="n">
        <v>74.84</v>
      </c>
      <c r="EA841" s="2" t="n">
        <v>0</v>
      </c>
      <c r="EB841" s="2" t="n">
        <v>80.93000000000001</v>
      </c>
      <c r="EC841" s="2" t="n">
        <v>82.98999999999999</v>
      </c>
      <c r="ED841" s="2" t="n">
        <v>0</v>
      </c>
      <c r="EE841" s="2" t="n">
        <v>87.59</v>
      </c>
      <c r="EF841" s="2" t="n">
        <v>90.01000000000001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9.449999999999999</v>
      </c>
      <c r="DF842" s="2" t="n">
        <v>0</v>
      </c>
      <c r="DG842" s="2" t="n">
        <v>15.71</v>
      </c>
      <c r="DH842" s="2" t="n">
        <v>17.51</v>
      </c>
      <c r="DI842" s="2" t="n">
        <v>0</v>
      </c>
      <c r="DJ842" s="2" t="n">
        <v>26.39</v>
      </c>
      <c r="DK842" s="2" t="n">
        <v>28.02</v>
      </c>
      <c r="DL842" s="2" t="n">
        <v>0</v>
      </c>
      <c r="DM842" s="2" t="n">
        <v>36.13</v>
      </c>
      <c r="DN842" s="2" t="n">
        <v>37.91</v>
      </c>
      <c r="DO842" s="2" t="n">
        <v>0</v>
      </c>
      <c r="DP842" s="2" t="n">
        <v>45.85</v>
      </c>
      <c r="DQ842" s="2" t="n">
        <v>47.51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66.19</v>
      </c>
      <c r="DX842" s="2" t="n">
        <v>0</v>
      </c>
      <c r="DY842" s="2" t="n">
        <v>72.79000000000001</v>
      </c>
      <c r="DZ842" s="2" t="n">
        <v>74.84</v>
      </c>
      <c r="EA842" s="2" t="n">
        <v>0</v>
      </c>
      <c r="EB842" s="2" t="n">
        <v>80.93000000000001</v>
      </c>
      <c r="EC842" s="2" t="n">
        <v>82.98999999999999</v>
      </c>
      <c r="ED842" s="2" t="n">
        <v>0</v>
      </c>
      <c r="EE842" s="2" t="n">
        <v>87.59</v>
      </c>
      <c r="EF842" s="2" t="n">
        <v>90.01000000000001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9.449999999999999</v>
      </c>
      <c r="DF843" s="2" t="n">
        <v>0</v>
      </c>
      <c r="DG843" s="2" t="n">
        <v>15.71</v>
      </c>
      <c r="DH843" s="2" t="n">
        <v>17.51</v>
      </c>
      <c r="DI843" s="2" t="n">
        <v>0</v>
      </c>
      <c r="DJ843" s="2" t="n">
        <v>26.39</v>
      </c>
      <c r="DK843" s="2" t="n">
        <v>28.02</v>
      </c>
      <c r="DL843" s="2" t="n">
        <v>0</v>
      </c>
      <c r="DM843" s="2" t="n">
        <v>36.13</v>
      </c>
      <c r="DN843" s="2" t="n">
        <v>37.91</v>
      </c>
      <c r="DO843" s="2" t="n">
        <v>0</v>
      </c>
      <c r="DP843" s="2" t="n">
        <v>45.85</v>
      </c>
      <c r="DQ843" s="2" t="n">
        <v>47.51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66.19</v>
      </c>
      <c r="DX843" s="2" t="n">
        <v>0</v>
      </c>
      <c r="DY843" s="2" t="n">
        <v>72.79000000000001</v>
      </c>
      <c r="DZ843" s="2" t="n">
        <v>74.84</v>
      </c>
      <c r="EA843" s="2" t="n">
        <v>0</v>
      </c>
      <c r="EB843" s="2" t="n">
        <v>80.93000000000001</v>
      </c>
      <c r="EC843" s="2" t="n">
        <v>82.98999999999999</v>
      </c>
      <c r="ED843" s="2" t="n">
        <v>0</v>
      </c>
      <c r="EE843" s="2" t="n">
        <v>87.59</v>
      </c>
      <c r="EF843" s="2" t="n">
        <v>90.01000000000001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9.449999999999999</v>
      </c>
      <c r="DF844" s="2" t="n">
        <v>0</v>
      </c>
      <c r="DG844" s="2" t="n">
        <v>15.71</v>
      </c>
      <c r="DH844" s="2" t="n">
        <v>17.51</v>
      </c>
      <c r="DI844" s="2" t="n">
        <v>0</v>
      </c>
      <c r="DJ844" s="2" t="n">
        <v>26.39</v>
      </c>
      <c r="DK844" s="2" t="n">
        <v>28.02</v>
      </c>
      <c r="DL844" s="2" t="n">
        <v>0</v>
      </c>
      <c r="DM844" s="2" t="n">
        <v>36.13</v>
      </c>
      <c r="DN844" s="2" t="n">
        <v>37.91</v>
      </c>
      <c r="DO844" s="2" t="n">
        <v>0</v>
      </c>
      <c r="DP844" s="2" t="n">
        <v>45.85</v>
      </c>
      <c r="DQ844" s="2" t="n">
        <v>47.51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66.19</v>
      </c>
      <c r="DX844" s="2" t="n">
        <v>0</v>
      </c>
      <c r="DY844" s="2" t="n">
        <v>72.79000000000001</v>
      </c>
      <c r="DZ844" s="2" t="n">
        <v>74.84</v>
      </c>
      <c r="EA844" s="2" t="n">
        <v>0</v>
      </c>
      <c r="EB844" s="2" t="n">
        <v>80.93000000000001</v>
      </c>
      <c r="EC844" s="2" t="n">
        <v>82.98999999999999</v>
      </c>
      <c r="ED844" s="2" t="n">
        <v>0</v>
      </c>
      <c r="EE844" s="2" t="n">
        <v>87.59</v>
      </c>
      <c r="EF844" s="2" t="n">
        <v>90.01000000000001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9.449999999999999</v>
      </c>
      <c r="DF845" s="2" t="n">
        <v>0</v>
      </c>
      <c r="DG845" s="2" t="n">
        <v>15.71</v>
      </c>
      <c r="DH845" s="2" t="n">
        <v>17.51</v>
      </c>
      <c r="DI845" s="2" t="n">
        <v>0</v>
      </c>
      <c r="DJ845" s="2" t="n">
        <v>26.39</v>
      </c>
      <c r="DK845" s="2" t="n">
        <v>28.02</v>
      </c>
      <c r="DL845" s="2" t="n">
        <v>0</v>
      </c>
      <c r="DM845" s="2" t="n">
        <v>36.13</v>
      </c>
      <c r="DN845" s="2" t="n">
        <v>37.91</v>
      </c>
      <c r="DO845" s="2" t="n">
        <v>0</v>
      </c>
      <c r="DP845" s="2" t="n">
        <v>45.85</v>
      </c>
      <c r="DQ845" s="2" t="n">
        <v>47.51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66.19</v>
      </c>
      <c r="DX845" s="2" t="n">
        <v>0</v>
      </c>
      <c r="DY845" s="2" t="n">
        <v>72.79000000000001</v>
      </c>
      <c r="DZ845" s="2" t="n">
        <v>74.84</v>
      </c>
      <c r="EA845" s="2" t="n">
        <v>0</v>
      </c>
      <c r="EB845" s="2" t="n">
        <v>80.93000000000001</v>
      </c>
      <c r="EC845" s="2" t="n">
        <v>82.98999999999999</v>
      </c>
      <c r="ED845" s="2" t="n">
        <v>0</v>
      </c>
      <c r="EE845" s="2" t="n">
        <v>87.59</v>
      </c>
      <c r="EF845" s="2" t="n">
        <v>90.01000000000001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9.449999999999999</v>
      </c>
      <c r="DF846" s="2" t="n">
        <v>0</v>
      </c>
      <c r="DG846" s="2" t="n">
        <v>15.71</v>
      </c>
      <c r="DH846" s="2" t="n">
        <v>17.51</v>
      </c>
      <c r="DI846" s="2" t="n">
        <v>0</v>
      </c>
      <c r="DJ846" s="2" t="n">
        <v>26.39</v>
      </c>
      <c r="DK846" s="2" t="n">
        <v>28.02</v>
      </c>
      <c r="DL846" s="2" t="n">
        <v>0</v>
      </c>
      <c r="DM846" s="2" t="n">
        <v>36.13</v>
      </c>
      <c r="DN846" s="2" t="n">
        <v>37.91</v>
      </c>
      <c r="DO846" s="2" t="n">
        <v>0</v>
      </c>
      <c r="DP846" s="2" t="n">
        <v>45.85</v>
      </c>
      <c r="DQ846" s="2" t="n">
        <v>47.51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66.19</v>
      </c>
      <c r="DX846" s="2" t="n">
        <v>0</v>
      </c>
      <c r="DY846" s="2" t="n">
        <v>72.79000000000001</v>
      </c>
      <c r="DZ846" s="2" t="n">
        <v>74.84</v>
      </c>
      <c r="EA846" s="2" t="n">
        <v>0</v>
      </c>
      <c r="EB846" s="2" t="n">
        <v>80.93000000000001</v>
      </c>
      <c r="EC846" s="2" t="n">
        <v>82.98999999999999</v>
      </c>
      <c r="ED846" s="2" t="n">
        <v>0</v>
      </c>
      <c r="EE846" s="2" t="n">
        <v>87.59</v>
      </c>
      <c r="EF846" s="2" t="n">
        <v>90.01000000000001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9.449999999999999</v>
      </c>
      <c r="DF847" s="2" t="n">
        <v>0</v>
      </c>
      <c r="DG847" s="2" t="n">
        <v>15.71</v>
      </c>
      <c r="DH847" s="2" t="n">
        <v>17.51</v>
      </c>
      <c r="DI847" s="2" t="n">
        <v>0</v>
      </c>
      <c r="DJ847" s="2" t="n">
        <v>26.39</v>
      </c>
      <c r="DK847" s="2" t="n">
        <v>28.02</v>
      </c>
      <c r="DL847" s="2" t="n">
        <v>0</v>
      </c>
      <c r="DM847" s="2" t="n">
        <v>36.13</v>
      </c>
      <c r="DN847" s="2" t="n">
        <v>37.91</v>
      </c>
      <c r="DO847" s="2" t="n">
        <v>0</v>
      </c>
      <c r="DP847" s="2" t="n">
        <v>45.85</v>
      </c>
      <c r="DQ847" s="2" t="n">
        <v>47.51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66.19</v>
      </c>
      <c r="DX847" s="2" t="n">
        <v>0</v>
      </c>
      <c r="DY847" s="2" t="n">
        <v>72.79000000000001</v>
      </c>
      <c r="DZ847" s="2" t="n">
        <v>74.84</v>
      </c>
      <c r="EA847" s="2" t="n">
        <v>0</v>
      </c>
      <c r="EB847" s="2" t="n">
        <v>80.93000000000001</v>
      </c>
      <c r="EC847" s="2" t="n">
        <v>82.98999999999999</v>
      </c>
      <c r="ED847" s="2" t="n">
        <v>0</v>
      </c>
      <c r="EE847" s="2" t="n">
        <v>87.59</v>
      </c>
      <c r="EF847" s="2" t="n">
        <v>90.01000000000001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9.449999999999999</v>
      </c>
      <c r="DF848" s="2" t="n">
        <v>0</v>
      </c>
      <c r="DG848" s="2" t="n">
        <v>15.71</v>
      </c>
      <c r="DH848" s="2" t="n">
        <v>17.51</v>
      </c>
      <c r="DI848" s="2" t="n">
        <v>0</v>
      </c>
      <c r="DJ848" s="2" t="n">
        <v>26.39</v>
      </c>
      <c r="DK848" s="2" t="n">
        <v>28.02</v>
      </c>
      <c r="DL848" s="2" t="n">
        <v>0</v>
      </c>
      <c r="DM848" s="2" t="n">
        <v>36.13</v>
      </c>
      <c r="DN848" s="2" t="n">
        <v>37.91</v>
      </c>
      <c r="DO848" s="2" t="n">
        <v>0</v>
      </c>
      <c r="DP848" s="2" t="n">
        <v>45.85</v>
      </c>
      <c r="DQ848" s="2" t="n">
        <v>47.51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66.19</v>
      </c>
      <c r="DX848" s="2" t="n">
        <v>0</v>
      </c>
      <c r="DY848" s="2" t="n">
        <v>72.79000000000001</v>
      </c>
      <c r="DZ848" s="2" t="n">
        <v>74.84</v>
      </c>
      <c r="EA848" s="2" t="n">
        <v>0</v>
      </c>
      <c r="EB848" s="2" t="n">
        <v>80.93000000000001</v>
      </c>
      <c r="EC848" s="2" t="n">
        <v>82.98999999999999</v>
      </c>
      <c r="ED848" s="2" t="n">
        <v>0</v>
      </c>
      <c r="EE848" s="2" t="n">
        <v>87.59</v>
      </c>
      <c r="EF848" s="2" t="n">
        <v>90.01000000000001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9.449999999999999</v>
      </c>
      <c r="DF849" s="2" t="n">
        <v>0</v>
      </c>
      <c r="DG849" s="2" t="n">
        <v>15.71</v>
      </c>
      <c r="DH849" s="2" t="n">
        <v>17.51</v>
      </c>
      <c r="DI849" s="2" t="n">
        <v>0</v>
      </c>
      <c r="DJ849" s="2" t="n">
        <v>26.39</v>
      </c>
      <c r="DK849" s="2" t="n">
        <v>28.02</v>
      </c>
      <c r="DL849" s="2" t="n">
        <v>0</v>
      </c>
      <c r="DM849" s="2" t="n">
        <v>36.13</v>
      </c>
      <c r="DN849" s="2" t="n">
        <v>37.91</v>
      </c>
      <c r="DO849" s="2" t="n">
        <v>0</v>
      </c>
      <c r="DP849" s="2" t="n">
        <v>45.85</v>
      </c>
      <c r="DQ849" s="2" t="n">
        <v>47.51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66.19</v>
      </c>
      <c r="DX849" s="2" t="n">
        <v>0</v>
      </c>
      <c r="DY849" s="2" t="n">
        <v>72.79000000000001</v>
      </c>
      <c r="DZ849" s="2" t="n">
        <v>74.84</v>
      </c>
      <c r="EA849" s="2" t="n">
        <v>0</v>
      </c>
      <c r="EB849" s="2" t="n">
        <v>80.93000000000001</v>
      </c>
      <c r="EC849" s="2" t="n">
        <v>82.98999999999999</v>
      </c>
      <c r="ED849" s="2" t="n">
        <v>0</v>
      </c>
      <c r="EE849" s="2" t="n">
        <v>87.59</v>
      </c>
      <c r="EF849" s="2" t="n">
        <v>90.01000000000001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9.449999999999999</v>
      </c>
      <c r="DF850" s="2" t="n">
        <v>0</v>
      </c>
      <c r="DG850" s="2" t="n">
        <v>15.71</v>
      </c>
      <c r="DH850" s="2" t="n">
        <v>17.51</v>
      </c>
      <c r="DI850" s="2" t="n">
        <v>0</v>
      </c>
      <c r="DJ850" s="2" t="n">
        <v>26.39</v>
      </c>
      <c r="DK850" s="2" t="n">
        <v>28.02</v>
      </c>
      <c r="DL850" s="2" t="n">
        <v>0</v>
      </c>
      <c r="DM850" s="2" t="n">
        <v>36.13</v>
      </c>
      <c r="DN850" s="2" t="n">
        <v>37.91</v>
      </c>
      <c r="DO850" s="2" t="n">
        <v>0</v>
      </c>
      <c r="DP850" s="2" t="n">
        <v>45.85</v>
      </c>
      <c r="DQ850" s="2" t="n">
        <v>47.51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66.19</v>
      </c>
      <c r="DX850" s="2" t="n">
        <v>0</v>
      </c>
      <c r="DY850" s="2" t="n">
        <v>72.79000000000001</v>
      </c>
      <c r="DZ850" s="2" t="n">
        <v>74.84</v>
      </c>
      <c r="EA850" s="2" t="n">
        <v>0</v>
      </c>
      <c r="EB850" s="2" t="n">
        <v>80.93000000000001</v>
      </c>
      <c r="EC850" s="2" t="n">
        <v>82.98999999999999</v>
      </c>
      <c r="ED850" s="2" t="n">
        <v>0</v>
      </c>
      <c r="EE850" s="2" t="n">
        <v>87.59</v>
      </c>
      <c r="EF850" s="2" t="n">
        <v>90.01000000000001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9.449999999999999</v>
      </c>
      <c r="DF851" s="2" t="n">
        <v>0</v>
      </c>
      <c r="DG851" s="2" t="n">
        <v>15.71</v>
      </c>
      <c r="DH851" s="2" t="n">
        <v>17.51</v>
      </c>
      <c r="DI851" s="2" t="n">
        <v>0</v>
      </c>
      <c r="DJ851" s="2" t="n">
        <v>26.39</v>
      </c>
      <c r="DK851" s="2" t="n">
        <v>28.02</v>
      </c>
      <c r="DL851" s="2" t="n">
        <v>0</v>
      </c>
      <c r="DM851" s="2" t="n">
        <v>36.13</v>
      </c>
      <c r="DN851" s="2" t="n">
        <v>37.91</v>
      </c>
      <c r="DO851" s="2" t="n">
        <v>0</v>
      </c>
      <c r="DP851" s="2" t="n">
        <v>45.85</v>
      </c>
      <c r="DQ851" s="2" t="n">
        <v>47.51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66.19</v>
      </c>
      <c r="DX851" s="2" t="n">
        <v>0</v>
      </c>
      <c r="DY851" s="2" t="n">
        <v>72.79000000000001</v>
      </c>
      <c r="DZ851" s="2" t="n">
        <v>74.84</v>
      </c>
      <c r="EA851" s="2" t="n">
        <v>0</v>
      </c>
      <c r="EB851" s="2" t="n">
        <v>80.93000000000001</v>
      </c>
      <c r="EC851" s="2" t="n">
        <v>82.98999999999999</v>
      </c>
      <c r="ED851" s="2" t="n">
        <v>0</v>
      </c>
      <c r="EE851" s="2" t="n">
        <v>87.59</v>
      </c>
      <c r="EF851" s="2" t="n">
        <v>90.01000000000001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9.449999999999999</v>
      </c>
      <c r="DF852" s="2" t="n">
        <v>0</v>
      </c>
      <c r="DG852" s="2" t="n">
        <v>15.71</v>
      </c>
      <c r="DH852" s="2" t="n">
        <v>17.51</v>
      </c>
      <c r="DI852" s="2" t="n">
        <v>0</v>
      </c>
      <c r="DJ852" s="2" t="n">
        <v>26.39</v>
      </c>
      <c r="DK852" s="2" t="n">
        <v>28.02</v>
      </c>
      <c r="DL852" s="2" t="n">
        <v>0</v>
      </c>
      <c r="DM852" s="2" t="n">
        <v>36.13</v>
      </c>
      <c r="DN852" s="2" t="n">
        <v>37.91</v>
      </c>
      <c r="DO852" s="2" t="n">
        <v>0</v>
      </c>
      <c r="DP852" s="2" t="n">
        <v>45.85</v>
      </c>
      <c r="DQ852" s="2" t="n">
        <v>47.51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66.19</v>
      </c>
      <c r="DX852" s="2" t="n">
        <v>0</v>
      </c>
      <c r="DY852" s="2" t="n">
        <v>72.79000000000001</v>
      </c>
      <c r="DZ852" s="2" t="n">
        <v>74.84</v>
      </c>
      <c r="EA852" s="2" t="n">
        <v>0</v>
      </c>
      <c r="EB852" s="2" t="n">
        <v>80.93000000000001</v>
      </c>
      <c r="EC852" s="2" t="n">
        <v>82.98999999999999</v>
      </c>
      <c r="ED852" s="2" t="n">
        <v>0</v>
      </c>
      <c r="EE852" s="2" t="n">
        <v>87.59</v>
      </c>
      <c r="EF852" s="2" t="n">
        <v>90.01000000000001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9.449999999999999</v>
      </c>
      <c r="DF853" s="2" t="n">
        <v>0</v>
      </c>
      <c r="DG853" s="2" t="n">
        <v>15.71</v>
      </c>
      <c r="DH853" s="2" t="n">
        <v>17.51</v>
      </c>
      <c r="DI853" s="2" t="n">
        <v>0</v>
      </c>
      <c r="DJ853" s="2" t="n">
        <v>26.39</v>
      </c>
      <c r="DK853" s="2" t="n">
        <v>28.02</v>
      </c>
      <c r="DL853" s="2" t="n">
        <v>0</v>
      </c>
      <c r="DM853" s="2" t="n">
        <v>36.13</v>
      </c>
      <c r="DN853" s="2" t="n">
        <v>37.91</v>
      </c>
      <c r="DO853" s="2" t="n">
        <v>0</v>
      </c>
      <c r="DP853" s="2" t="n">
        <v>45.85</v>
      </c>
      <c r="DQ853" s="2" t="n">
        <v>47.51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66.19</v>
      </c>
      <c r="DX853" s="2" t="n">
        <v>0</v>
      </c>
      <c r="DY853" s="2" t="n">
        <v>72.79000000000001</v>
      </c>
      <c r="DZ853" s="2" t="n">
        <v>74.84</v>
      </c>
      <c r="EA853" s="2" t="n">
        <v>0</v>
      </c>
      <c r="EB853" s="2" t="n">
        <v>80.93000000000001</v>
      </c>
      <c r="EC853" s="2" t="n">
        <v>82.98999999999999</v>
      </c>
      <c r="ED853" s="2" t="n">
        <v>0</v>
      </c>
      <c r="EE853" s="2" t="n">
        <v>87.59</v>
      </c>
      <c r="EF853" s="2" t="n">
        <v>90.01000000000001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9.449999999999999</v>
      </c>
      <c r="DF854" s="2" t="n">
        <v>0</v>
      </c>
      <c r="DG854" s="2" t="n">
        <v>15.71</v>
      </c>
      <c r="DH854" s="2" t="n">
        <v>17.51</v>
      </c>
      <c r="DI854" s="2" t="n">
        <v>0</v>
      </c>
      <c r="DJ854" s="2" t="n">
        <v>26.39</v>
      </c>
      <c r="DK854" s="2" t="n">
        <v>28.02</v>
      </c>
      <c r="DL854" s="2" t="n">
        <v>0</v>
      </c>
      <c r="DM854" s="2" t="n">
        <v>36.13</v>
      </c>
      <c r="DN854" s="2" t="n">
        <v>37.91</v>
      </c>
      <c r="DO854" s="2" t="n">
        <v>0</v>
      </c>
      <c r="DP854" s="2" t="n">
        <v>45.85</v>
      </c>
      <c r="DQ854" s="2" t="n">
        <v>47.51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66.19</v>
      </c>
      <c r="DX854" s="2" t="n">
        <v>0</v>
      </c>
      <c r="DY854" s="2" t="n">
        <v>72.79000000000001</v>
      </c>
      <c r="DZ854" s="2" t="n">
        <v>74.84</v>
      </c>
      <c r="EA854" s="2" t="n">
        <v>0</v>
      </c>
      <c r="EB854" s="2" t="n">
        <v>80.93000000000001</v>
      </c>
      <c r="EC854" s="2" t="n">
        <v>82.98999999999999</v>
      </c>
      <c r="ED854" s="2" t="n">
        <v>0</v>
      </c>
      <c r="EE854" s="2" t="n">
        <v>87.59</v>
      </c>
      <c r="EF854" s="2" t="n">
        <v>90.01000000000001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9.449999999999999</v>
      </c>
      <c r="DF855" s="2" t="n">
        <v>0</v>
      </c>
      <c r="DG855" s="2" t="n">
        <v>15.71</v>
      </c>
      <c r="DH855" s="2" t="n">
        <v>17.51</v>
      </c>
      <c r="DI855" s="2" t="n">
        <v>0</v>
      </c>
      <c r="DJ855" s="2" t="n">
        <v>26.39</v>
      </c>
      <c r="DK855" s="2" t="n">
        <v>28.02</v>
      </c>
      <c r="DL855" s="2" t="n">
        <v>0</v>
      </c>
      <c r="DM855" s="2" t="n">
        <v>36.13</v>
      </c>
      <c r="DN855" s="2" t="n">
        <v>37.91</v>
      </c>
      <c r="DO855" s="2" t="n">
        <v>0</v>
      </c>
      <c r="DP855" s="2" t="n">
        <v>45.85</v>
      </c>
      <c r="DQ855" s="2" t="n">
        <v>47.51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66.19</v>
      </c>
      <c r="DX855" s="2" t="n">
        <v>0</v>
      </c>
      <c r="DY855" s="2" t="n">
        <v>72.79000000000001</v>
      </c>
      <c r="DZ855" s="2" t="n">
        <v>74.84</v>
      </c>
      <c r="EA855" s="2" t="n">
        <v>0</v>
      </c>
      <c r="EB855" s="2" t="n">
        <v>80.93000000000001</v>
      </c>
      <c r="EC855" s="2" t="n">
        <v>82.98999999999999</v>
      </c>
      <c r="ED855" s="2" t="n">
        <v>0</v>
      </c>
      <c r="EE855" s="2" t="n">
        <v>87.59</v>
      </c>
      <c r="EF855" s="2" t="n">
        <v>90.01000000000001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9.449999999999999</v>
      </c>
      <c r="DF856" s="2" t="n">
        <v>0</v>
      </c>
      <c r="DG856" s="2" t="n">
        <v>15.71</v>
      </c>
      <c r="DH856" s="2" t="n">
        <v>17.51</v>
      </c>
      <c r="DI856" s="2" t="n">
        <v>0</v>
      </c>
      <c r="DJ856" s="2" t="n">
        <v>26.39</v>
      </c>
      <c r="DK856" s="2" t="n">
        <v>28.02</v>
      </c>
      <c r="DL856" s="2" t="n">
        <v>0</v>
      </c>
      <c r="DM856" s="2" t="n">
        <v>36.13</v>
      </c>
      <c r="DN856" s="2" t="n">
        <v>37.91</v>
      </c>
      <c r="DO856" s="2" t="n">
        <v>0</v>
      </c>
      <c r="DP856" s="2" t="n">
        <v>45.85</v>
      </c>
      <c r="DQ856" s="2" t="n">
        <v>47.51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66.19</v>
      </c>
      <c r="DX856" s="2" t="n">
        <v>0</v>
      </c>
      <c r="DY856" s="2" t="n">
        <v>72.79000000000001</v>
      </c>
      <c r="DZ856" s="2" t="n">
        <v>74.84</v>
      </c>
      <c r="EA856" s="2" t="n">
        <v>0</v>
      </c>
      <c r="EB856" s="2" t="n">
        <v>80.93000000000001</v>
      </c>
      <c r="EC856" s="2" t="n">
        <v>82.98999999999999</v>
      </c>
      <c r="ED856" s="2" t="n">
        <v>0</v>
      </c>
      <c r="EE856" s="2" t="n">
        <v>87.59</v>
      </c>
      <c r="EF856" s="2" t="n">
        <v>90.01000000000001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9.449999999999999</v>
      </c>
      <c r="DF857" s="2" t="n">
        <v>0</v>
      </c>
      <c r="DG857" s="2" t="n">
        <v>15.71</v>
      </c>
      <c r="DH857" s="2" t="n">
        <v>17.51</v>
      </c>
      <c r="DI857" s="2" t="n">
        <v>0</v>
      </c>
      <c r="DJ857" s="2" t="n">
        <v>26.39</v>
      </c>
      <c r="DK857" s="2" t="n">
        <v>28.02</v>
      </c>
      <c r="DL857" s="2" t="n">
        <v>0</v>
      </c>
      <c r="DM857" s="2" t="n">
        <v>36.13</v>
      </c>
      <c r="DN857" s="2" t="n">
        <v>37.91</v>
      </c>
      <c r="DO857" s="2" t="n">
        <v>0</v>
      </c>
      <c r="DP857" s="2" t="n">
        <v>45.85</v>
      </c>
      <c r="DQ857" s="2" t="n">
        <v>47.51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66.19</v>
      </c>
      <c r="DX857" s="2" t="n">
        <v>0</v>
      </c>
      <c r="DY857" s="2" t="n">
        <v>72.79000000000001</v>
      </c>
      <c r="DZ857" s="2" t="n">
        <v>74.84</v>
      </c>
      <c r="EA857" s="2" t="n">
        <v>0</v>
      </c>
      <c r="EB857" s="2" t="n">
        <v>80.93000000000001</v>
      </c>
      <c r="EC857" s="2" t="n">
        <v>82.98999999999999</v>
      </c>
      <c r="ED857" s="2" t="n">
        <v>0</v>
      </c>
      <c r="EE857" s="2" t="n">
        <v>87.59</v>
      </c>
      <c r="EF857" s="2" t="n">
        <v>90.01000000000001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9.449999999999999</v>
      </c>
      <c r="DF858" s="2" t="n">
        <v>0</v>
      </c>
      <c r="DG858" s="2" t="n">
        <v>15.71</v>
      </c>
      <c r="DH858" s="2" t="n">
        <v>17.51</v>
      </c>
      <c r="DI858" s="2" t="n">
        <v>0</v>
      </c>
      <c r="DJ858" s="2" t="n">
        <v>26.39</v>
      </c>
      <c r="DK858" s="2" t="n">
        <v>28.02</v>
      </c>
      <c r="DL858" s="2" t="n">
        <v>0</v>
      </c>
      <c r="DM858" s="2" t="n">
        <v>36.13</v>
      </c>
      <c r="DN858" s="2" t="n">
        <v>37.91</v>
      </c>
      <c r="DO858" s="2" t="n">
        <v>0</v>
      </c>
      <c r="DP858" s="2" t="n">
        <v>45.85</v>
      </c>
      <c r="DQ858" s="2" t="n">
        <v>47.51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66.19</v>
      </c>
      <c r="DX858" s="2" t="n">
        <v>0</v>
      </c>
      <c r="DY858" s="2" t="n">
        <v>72.79000000000001</v>
      </c>
      <c r="DZ858" s="2" t="n">
        <v>74.84</v>
      </c>
      <c r="EA858" s="2" t="n">
        <v>0</v>
      </c>
      <c r="EB858" s="2" t="n">
        <v>80.93000000000001</v>
      </c>
      <c r="EC858" s="2" t="n">
        <v>82.98999999999999</v>
      </c>
      <c r="ED858" s="2" t="n">
        <v>0</v>
      </c>
      <c r="EE858" s="2" t="n">
        <v>87.59</v>
      </c>
      <c r="EF858" s="2" t="n">
        <v>90.01000000000001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9.449999999999999</v>
      </c>
      <c r="DF859" s="2" t="n">
        <v>0</v>
      </c>
      <c r="DG859" s="2" t="n">
        <v>15.71</v>
      </c>
      <c r="DH859" s="2" t="n">
        <v>17.51</v>
      </c>
      <c r="DI859" s="2" t="n">
        <v>0</v>
      </c>
      <c r="DJ859" s="2" t="n">
        <v>26.39</v>
      </c>
      <c r="DK859" s="2" t="n">
        <v>28.02</v>
      </c>
      <c r="DL859" s="2" t="n">
        <v>0</v>
      </c>
      <c r="DM859" s="2" t="n">
        <v>36.13</v>
      </c>
      <c r="DN859" s="2" t="n">
        <v>37.91</v>
      </c>
      <c r="DO859" s="2" t="n">
        <v>0</v>
      </c>
      <c r="DP859" s="2" t="n">
        <v>45.85</v>
      </c>
      <c r="DQ859" s="2" t="n">
        <v>47.51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66.19</v>
      </c>
      <c r="DX859" s="2" t="n">
        <v>0</v>
      </c>
      <c r="DY859" s="2" t="n">
        <v>72.79000000000001</v>
      </c>
      <c r="DZ859" s="2" t="n">
        <v>74.84</v>
      </c>
      <c r="EA859" s="2" t="n">
        <v>0</v>
      </c>
      <c r="EB859" s="2" t="n">
        <v>80.93000000000001</v>
      </c>
      <c r="EC859" s="2" t="n">
        <v>82.98999999999999</v>
      </c>
      <c r="ED859" s="2" t="n">
        <v>0</v>
      </c>
      <c r="EE859" s="2" t="n">
        <v>87.59</v>
      </c>
      <c r="EF859" s="2" t="n">
        <v>90.01000000000001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9.449999999999999</v>
      </c>
      <c r="DF860" s="2" t="n">
        <v>0</v>
      </c>
      <c r="DG860" s="2" t="n">
        <v>15.71</v>
      </c>
      <c r="DH860" s="2" t="n">
        <v>17.51</v>
      </c>
      <c r="DI860" s="2" t="n">
        <v>0</v>
      </c>
      <c r="DJ860" s="2" t="n">
        <v>26.39</v>
      </c>
      <c r="DK860" s="2" t="n">
        <v>28.02</v>
      </c>
      <c r="DL860" s="2" t="n">
        <v>0</v>
      </c>
      <c r="DM860" s="2" t="n">
        <v>36.13</v>
      </c>
      <c r="DN860" s="2" t="n">
        <v>37.91</v>
      </c>
      <c r="DO860" s="2" t="n">
        <v>0</v>
      </c>
      <c r="DP860" s="2" t="n">
        <v>45.85</v>
      </c>
      <c r="DQ860" s="2" t="n">
        <v>47.51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66.19</v>
      </c>
      <c r="DX860" s="2" t="n">
        <v>0</v>
      </c>
      <c r="DY860" s="2" t="n">
        <v>72.79000000000001</v>
      </c>
      <c r="DZ860" s="2" t="n">
        <v>74.84</v>
      </c>
      <c r="EA860" s="2" t="n">
        <v>0</v>
      </c>
      <c r="EB860" s="2" t="n">
        <v>80.93000000000001</v>
      </c>
      <c r="EC860" s="2" t="n">
        <v>82.98999999999999</v>
      </c>
      <c r="ED860" s="2" t="n">
        <v>0</v>
      </c>
      <c r="EE860" s="2" t="n">
        <v>87.59</v>
      </c>
      <c r="EF860" s="2" t="n">
        <v>90.01000000000001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9.449999999999999</v>
      </c>
      <c r="DF861" s="2" t="n">
        <v>0</v>
      </c>
      <c r="DG861" s="2" t="n">
        <v>15.71</v>
      </c>
      <c r="DH861" s="2" t="n">
        <v>17.51</v>
      </c>
      <c r="DI861" s="2" t="n">
        <v>0</v>
      </c>
      <c r="DJ861" s="2" t="n">
        <v>26.39</v>
      </c>
      <c r="DK861" s="2" t="n">
        <v>28.02</v>
      </c>
      <c r="DL861" s="2" t="n">
        <v>0</v>
      </c>
      <c r="DM861" s="2" t="n">
        <v>36.13</v>
      </c>
      <c r="DN861" s="2" t="n">
        <v>37.91</v>
      </c>
      <c r="DO861" s="2" t="n">
        <v>0</v>
      </c>
      <c r="DP861" s="2" t="n">
        <v>45.85</v>
      </c>
      <c r="DQ861" s="2" t="n">
        <v>47.51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66.19</v>
      </c>
      <c r="DX861" s="2" t="n">
        <v>0</v>
      </c>
      <c r="DY861" s="2" t="n">
        <v>72.79000000000001</v>
      </c>
      <c r="DZ861" s="2" t="n">
        <v>74.84</v>
      </c>
      <c r="EA861" s="2" t="n">
        <v>0</v>
      </c>
      <c r="EB861" s="2" t="n">
        <v>80.93000000000001</v>
      </c>
      <c r="EC861" s="2" t="n">
        <v>82.98999999999999</v>
      </c>
      <c r="ED861" s="2" t="n">
        <v>0</v>
      </c>
      <c r="EE861" s="2" t="n">
        <v>87.59</v>
      </c>
      <c r="EF861" s="2" t="n">
        <v>90.01000000000001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9.449999999999999</v>
      </c>
      <c r="DF862" s="2" t="n">
        <v>0</v>
      </c>
      <c r="DG862" s="2" t="n">
        <v>15.71</v>
      </c>
      <c r="DH862" s="2" t="n">
        <v>17.51</v>
      </c>
      <c r="DI862" s="2" t="n">
        <v>0</v>
      </c>
      <c r="DJ862" s="2" t="n">
        <v>26.39</v>
      </c>
      <c r="DK862" s="2" t="n">
        <v>28.02</v>
      </c>
      <c r="DL862" s="2" t="n">
        <v>0</v>
      </c>
      <c r="DM862" s="2" t="n">
        <v>36.13</v>
      </c>
      <c r="DN862" s="2" t="n">
        <v>37.91</v>
      </c>
      <c r="DO862" s="2" t="n">
        <v>0</v>
      </c>
      <c r="DP862" s="2" t="n">
        <v>45.85</v>
      </c>
      <c r="DQ862" s="2" t="n">
        <v>47.51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66.19</v>
      </c>
      <c r="DX862" s="2" t="n">
        <v>0</v>
      </c>
      <c r="DY862" s="2" t="n">
        <v>72.79000000000001</v>
      </c>
      <c r="DZ862" s="2" t="n">
        <v>74.84</v>
      </c>
      <c r="EA862" s="2" t="n">
        <v>0</v>
      </c>
      <c r="EB862" s="2" t="n">
        <v>80.93000000000001</v>
      </c>
      <c r="EC862" s="2" t="n">
        <v>82.98999999999999</v>
      </c>
      <c r="ED862" s="2" t="n">
        <v>0</v>
      </c>
      <c r="EE862" s="2" t="n">
        <v>87.59</v>
      </c>
      <c r="EF862" s="2" t="n">
        <v>90.01000000000001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9.449999999999999</v>
      </c>
      <c r="DF863" s="2" t="n">
        <v>0</v>
      </c>
      <c r="DG863" s="2" t="n">
        <v>15.71</v>
      </c>
      <c r="DH863" s="2" t="n">
        <v>17.51</v>
      </c>
      <c r="DI863" s="2" t="n">
        <v>0</v>
      </c>
      <c r="DJ863" s="2" t="n">
        <v>26.39</v>
      </c>
      <c r="DK863" s="2" t="n">
        <v>28.02</v>
      </c>
      <c r="DL863" s="2" t="n">
        <v>0</v>
      </c>
      <c r="DM863" s="2" t="n">
        <v>36.13</v>
      </c>
      <c r="DN863" s="2" t="n">
        <v>37.91</v>
      </c>
      <c r="DO863" s="2" t="n">
        <v>0</v>
      </c>
      <c r="DP863" s="2" t="n">
        <v>45.85</v>
      </c>
      <c r="DQ863" s="2" t="n">
        <v>47.51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66.19</v>
      </c>
      <c r="DX863" s="2" t="n">
        <v>0</v>
      </c>
      <c r="DY863" s="2" t="n">
        <v>72.79000000000001</v>
      </c>
      <c r="DZ863" s="2" t="n">
        <v>74.84</v>
      </c>
      <c r="EA863" s="2" t="n">
        <v>0</v>
      </c>
      <c r="EB863" s="2" t="n">
        <v>80.93000000000001</v>
      </c>
      <c r="EC863" s="2" t="n">
        <v>82.98999999999999</v>
      </c>
      <c r="ED863" s="2" t="n">
        <v>0</v>
      </c>
      <c r="EE863" s="2" t="n">
        <v>87.59</v>
      </c>
      <c r="EF863" s="2" t="n">
        <v>90.01000000000001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9.449999999999999</v>
      </c>
      <c r="DF864" s="2" t="n">
        <v>0</v>
      </c>
      <c r="DG864" s="2" t="n">
        <v>15.71</v>
      </c>
      <c r="DH864" s="2" t="n">
        <v>17.51</v>
      </c>
      <c r="DI864" s="2" t="n">
        <v>0</v>
      </c>
      <c r="DJ864" s="2" t="n">
        <v>26.39</v>
      </c>
      <c r="DK864" s="2" t="n">
        <v>28.02</v>
      </c>
      <c r="DL864" s="2" t="n">
        <v>0</v>
      </c>
      <c r="DM864" s="2" t="n">
        <v>36.13</v>
      </c>
      <c r="DN864" s="2" t="n">
        <v>37.91</v>
      </c>
      <c r="DO864" s="2" t="n">
        <v>0</v>
      </c>
      <c r="DP864" s="2" t="n">
        <v>45.85</v>
      </c>
      <c r="DQ864" s="2" t="n">
        <v>47.51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66.19</v>
      </c>
      <c r="DX864" s="2" t="n">
        <v>0</v>
      </c>
      <c r="DY864" s="2" t="n">
        <v>72.79000000000001</v>
      </c>
      <c r="DZ864" s="2" t="n">
        <v>74.84</v>
      </c>
      <c r="EA864" s="2" t="n">
        <v>0</v>
      </c>
      <c r="EB864" s="2" t="n">
        <v>80.93000000000001</v>
      </c>
      <c r="EC864" s="2" t="n">
        <v>82.98999999999999</v>
      </c>
      <c r="ED864" s="2" t="n">
        <v>0</v>
      </c>
      <c r="EE864" s="2" t="n">
        <v>87.59</v>
      </c>
      <c r="EF864" s="2" t="n">
        <v>90.01000000000001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9.449999999999999</v>
      </c>
      <c r="DF865" s="2" t="n">
        <v>0</v>
      </c>
      <c r="DG865" s="2" t="n">
        <v>15.71</v>
      </c>
      <c r="DH865" s="2" t="n">
        <v>17.51</v>
      </c>
      <c r="DI865" s="2" t="n">
        <v>0</v>
      </c>
      <c r="DJ865" s="2" t="n">
        <v>26.39</v>
      </c>
      <c r="DK865" s="2" t="n">
        <v>28.02</v>
      </c>
      <c r="DL865" s="2" t="n">
        <v>0</v>
      </c>
      <c r="DM865" s="2" t="n">
        <v>36.13</v>
      </c>
      <c r="DN865" s="2" t="n">
        <v>37.91</v>
      </c>
      <c r="DO865" s="2" t="n">
        <v>0</v>
      </c>
      <c r="DP865" s="2" t="n">
        <v>45.85</v>
      </c>
      <c r="DQ865" s="2" t="n">
        <v>47.51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66.19</v>
      </c>
      <c r="DX865" s="2" t="n">
        <v>0</v>
      </c>
      <c r="DY865" s="2" t="n">
        <v>72.79000000000001</v>
      </c>
      <c r="DZ865" s="2" t="n">
        <v>74.84</v>
      </c>
      <c r="EA865" s="2" t="n">
        <v>0</v>
      </c>
      <c r="EB865" s="2" t="n">
        <v>80.93000000000001</v>
      </c>
      <c r="EC865" s="2" t="n">
        <v>82.98999999999999</v>
      </c>
      <c r="ED865" s="2" t="n">
        <v>0</v>
      </c>
      <c r="EE865" s="2" t="n">
        <v>87.59</v>
      </c>
      <c r="EF865" s="2" t="n">
        <v>90.01000000000001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9.449999999999999</v>
      </c>
      <c r="DF866" s="2" t="n">
        <v>0</v>
      </c>
      <c r="DG866" s="2" t="n">
        <v>15.71</v>
      </c>
      <c r="DH866" s="2" t="n">
        <v>17.51</v>
      </c>
      <c r="DI866" s="2" t="n">
        <v>0</v>
      </c>
      <c r="DJ866" s="2" t="n">
        <v>26.39</v>
      </c>
      <c r="DK866" s="2" t="n">
        <v>28.02</v>
      </c>
      <c r="DL866" s="2" t="n">
        <v>0</v>
      </c>
      <c r="DM866" s="2" t="n">
        <v>36.13</v>
      </c>
      <c r="DN866" s="2" t="n">
        <v>37.91</v>
      </c>
      <c r="DO866" s="2" t="n">
        <v>0</v>
      </c>
      <c r="DP866" s="2" t="n">
        <v>45.85</v>
      </c>
      <c r="DQ866" s="2" t="n">
        <v>47.51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66.19</v>
      </c>
      <c r="DX866" s="2" t="n">
        <v>0</v>
      </c>
      <c r="DY866" s="2" t="n">
        <v>72.79000000000001</v>
      </c>
      <c r="DZ866" s="2" t="n">
        <v>74.84</v>
      </c>
      <c r="EA866" s="2" t="n">
        <v>0</v>
      </c>
      <c r="EB866" s="2" t="n">
        <v>80.93000000000001</v>
      </c>
      <c r="EC866" s="2" t="n">
        <v>82.98999999999999</v>
      </c>
      <c r="ED866" s="2" t="n">
        <v>0</v>
      </c>
      <c r="EE866" s="2" t="n">
        <v>87.59</v>
      </c>
      <c r="EF866" s="2" t="n">
        <v>90.01000000000001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9.449999999999999</v>
      </c>
      <c r="DF867" s="2" t="n">
        <v>0</v>
      </c>
      <c r="DG867" s="2" t="n">
        <v>15.71</v>
      </c>
      <c r="DH867" s="2" t="n">
        <v>17.51</v>
      </c>
      <c r="DI867" s="2" t="n">
        <v>0</v>
      </c>
      <c r="DJ867" s="2" t="n">
        <v>26.39</v>
      </c>
      <c r="DK867" s="2" t="n">
        <v>28.02</v>
      </c>
      <c r="DL867" s="2" t="n">
        <v>0</v>
      </c>
      <c r="DM867" s="2" t="n">
        <v>36.13</v>
      </c>
      <c r="DN867" s="2" t="n">
        <v>37.91</v>
      </c>
      <c r="DO867" s="2" t="n">
        <v>0</v>
      </c>
      <c r="DP867" s="2" t="n">
        <v>45.85</v>
      </c>
      <c r="DQ867" s="2" t="n">
        <v>47.51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66.19</v>
      </c>
      <c r="DX867" s="2" t="n">
        <v>0</v>
      </c>
      <c r="DY867" s="2" t="n">
        <v>72.79000000000001</v>
      </c>
      <c r="DZ867" s="2" t="n">
        <v>74.84</v>
      </c>
      <c r="EA867" s="2" t="n">
        <v>0</v>
      </c>
      <c r="EB867" s="2" t="n">
        <v>80.93000000000001</v>
      </c>
      <c r="EC867" s="2" t="n">
        <v>82.98999999999999</v>
      </c>
      <c r="ED867" s="2" t="n">
        <v>0</v>
      </c>
      <c r="EE867" s="2" t="n">
        <v>87.59</v>
      </c>
      <c r="EF867" s="2" t="n">
        <v>90.01000000000001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9.449999999999999</v>
      </c>
      <c r="DF868" s="2" t="n">
        <v>0</v>
      </c>
      <c r="DG868" s="2" t="n">
        <v>15.71</v>
      </c>
      <c r="DH868" s="2" t="n">
        <v>17.51</v>
      </c>
      <c r="DI868" s="2" t="n">
        <v>0</v>
      </c>
      <c r="DJ868" s="2" t="n">
        <v>26.39</v>
      </c>
      <c r="DK868" s="2" t="n">
        <v>28.02</v>
      </c>
      <c r="DL868" s="2" t="n">
        <v>0</v>
      </c>
      <c r="DM868" s="2" t="n">
        <v>36.13</v>
      </c>
      <c r="DN868" s="2" t="n">
        <v>37.91</v>
      </c>
      <c r="DO868" s="2" t="n">
        <v>0</v>
      </c>
      <c r="DP868" s="2" t="n">
        <v>45.85</v>
      </c>
      <c r="DQ868" s="2" t="n">
        <v>47.51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66.19</v>
      </c>
      <c r="DX868" s="2" t="n">
        <v>0</v>
      </c>
      <c r="DY868" s="2" t="n">
        <v>72.79000000000001</v>
      </c>
      <c r="DZ868" s="2" t="n">
        <v>74.84</v>
      </c>
      <c r="EA868" s="2" t="n">
        <v>0</v>
      </c>
      <c r="EB868" s="2" t="n">
        <v>80.93000000000001</v>
      </c>
      <c r="EC868" s="2" t="n">
        <v>82.98999999999999</v>
      </c>
      <c r="ED868" s="2" t="n">
        <v>0</v>
      </c>
      <c r="EE868" s="2" t="n">
        <v>87.59</v>
      </c>
      <c r="EF868" s="2" t="n">
        <v>90.01000000000001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9.449999999999999</v>
      </c>
      <c r="DF869" s="2" t="n">
        <v>0</v>
      </c>
      <c r="DG869" s="2" t="n">
        <v>15.71</v>
      </c>
      <c r="DH869" s="2" t="n">
        <v>17.51</v>
      </c>
      <c r="DI869" s="2" t="n">
        <v>0</v>
      </c>
      <c r="DJ869" s="2" t="n">
        <v>26.39</v>
      </c>
      <c r="DK869" s="2" t="n">
        <v>28.02</v>
      </c>
      <c r="DL869" s="2" t="n">
        <v>0</v>
      </c>
      <c r="DM869" s="2" t="n">
        <v>36.13</v>
      </c>
      <c r="DN869" s="2" t="n">
        <v>37.91</v>
      </c>
      <c r="DO869" s="2" t="n">
        <v>0</v>
      </c>
      <c r="DP869" s="2" t="n">
        <v>45.85</v>
      </c>
      <c r="DQ869" s="2" t="n">
        <v>47.51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66.19</v>
      </c>
      <c r="DX869" s="2" t="n">
        <v>0</v>
      </c>
      <c r="DY869" s="2" t="n">
        <v>72.79000000000001</v>
      </c>
      <c r="DZ869" s="2" t="n">
        <v>74.84</v>
      </c>
      <c r="EA869" s="2" t="n">
        <v>0</v>
      </c>
      <c r="EB869" s="2" t="n">
        <v>80.93000000000001</v>
      </c>
      <c r="EC869" s="2" t="n">
        <v>82.98999999999999</v>
      </c>
      <c r="ED869" s="2" t="n">
        <v>0</v>
      </c>
      <c r="EE869" s="2" t="n">
        <v>87.59</v>
      </c>
      <c r="EF869" s="2" t="n">
        <v>90.01000000000001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9.449999999999999</v>
      </c>
      <c r="DF870" s="2" t="n">
        <v>0</v>
      </c>
      <c r="DG870" s="2" t="n">
        <v>15.71</v>
      </c>
      <c r="DH870" s="2" t="n">
        <v>17.51</v>
      </c>
      <c r="DI870" s="2" t="n">
        <v>0</v>
      </c>
      <c r="DJ870" s="2" t="n">
        <v>26.39</v>
      </c>
      <c r="DK870" s="2" t="n">
        <v>28.02</v>
      </c>
      <c r="DL870" s="2" t="n">
        <v>0</v>
      </c>
      <c r="DM870" s="2" t="n">
        <v>36.13</v>
      </c>
      <c r="DN870" s="2" t="n">
        <v>37.91</v>
      </c>
      <c r="DO870" s="2" t="n">
        <v>0</v>
      </c>
      <c r="DP870" s="2" t="n">
        <v>45.85</v>
      </c>
      <c r="DQ870" s="2" t="n">
        <v>47.51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66.19</v>
      </c>
      <c r="DX870" s="2" t="n">
        <v>0</v>
      </c>
      <c r="DY870" s="2" t="n">
        <v>72.79000000000001</v>
      </c>
      <c r="DZ870" s="2" t="n">
        <v>74.84</v>
      </c>
      <c r="EA870" s="2" t="n">
        <v>0</v>
      </c>
      <c r="EB870" s="2" t="n">
        <v>80.93000000000001</v>
      </c>
      <c r="EC870" s="2" t="n">
        <v>82.98999999999999</v>
      </c>
      <c r="ED870" s="2" t="n">
        <v>0</v>
      </c>
      <c r="EE870" s="2" t="n">
        <v>87.59</v>
      </c>
      <c r="EF870" s="2" t="n">
        <v>90.01000000000001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9.449999999999999</v>
      </c>
      <c r="DF871" s="2" t="n">
        <v>0</v>
      </c>
      <c r="DG871" s="2" t="n">
        <v>15.71</v>
      </c>
      <c r="DH871" s="2" t="n">
        <v>17.51</v>
      </c>
      <c r="DI871" s="2" t="n">
        <v>0</v>
      </c>
      <c r="DJ871" s="2" t="n">
        <v>26.39</v>
      </c>
      <c r="DK871" s="2" t="n">
        <v>28.02</v>
      </c>
      <c r="DL871" s="2" t="n">
        <v>0</v>
      </c>
      <c r="DM871" s="2" t="n">
        <v>36.13</v>
      </c>
      <c r="DN871" s="2" t="n">
        <v>37.91</v>
      </c>
      <c r="DO871" s="2" t="n">
        <v>0</v>
      </c>
      <c r="DP871" s="2" t="n">
        <v>45.85</v>
      </c>
      <c r="DQ871" s="2" t="n">
        <v>47.51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66.19</v>
      </c>
      <c r="DX871" s="2" t="n">
        <v>0</v>
      </c>
      <c r="DY871" s="2" t="n">
        <v>72.79000000000001</v>
      </c>
      <c r="DZ871" s="2" t="n">
        <v>74.84</v>
      </c>
      <c r="EA871" s="2" t="n">
        <v>0</v>
      </c>
      <c r="EB871" s="2" t="n">
        <v>80.93000000000001</v>
      </c>
      <c r="EC871" s="2" t="n">
        <v>82.98999999999999</v>
      </c>
      <c r="ED871" s="2" t="n">
        <v>0</v>
      </c>
      <c r="EE871" s="2" t="n">
        <v>87.59</v>
      </c>
      <c r="EF871" s="2" t="n">
        <v>90.01000000000001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9.449999999999999</v>
      </c>
      <c r="DF872" s="2" t="n">
        <v>0</v>
      </c>
      <c r="DG872" s="2" t="n">
        <v>15.71</v>
      </c>
      <c r="DH872" s="2" t="n">
        <v>17.51</v>
      </c>
      <c r="DI872" s="2" t="n">
        <v>0</v>
      </c>
      <c r="DJ872" s="2" t="n">
        <v>26.39</v>
      </c>
      <c r="DK872" s="2" t="n">
        <v>28.02</v>
      </c>
      <c r="DL872" s="2" t="n">
        <v>0</v>
      </c>
      <c r="DM872" s="2" t="n">
        <v>36.13</v>
      </c>
      <c r="DN872" s="2" t="n">
        <v>37.91</v>
      </c>
      <c r="DO872" s="2" t="n">
        <v>0</v>
      </c>
      <c r="DP872" s="2" t="n">
        <v>45.85</v>
      </c>
      <c r="DQ872" s="2" t="n">
        <v>47.51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66.19</v>
      </c>
      <c r="DX872" s="2" t="n">
        <v>0</v>
      </c>
      <c r="DY872" s="2" t="n">
        <v>72.79000000000001</v>
      </c>
      <c r="DZ872" s="2" t="n">
        <v>74.84</v>
      </c>
      <c r="EA872" s="2" t="n">
        <v>0</v>
      </c>
      <c r="EB872" s="2" t="n">
        <v>80.93000000000001</v>
      </c>
      <c r="EC872" s="2" t="n">
        <v>82.98999999999999</v>
      </c>
      <c r="ED872" s="2" t="n">
        <v>0</v>
      </c>
      <c r="EE872" s="2" t="n">
        <v>87.59</v>
      </c>
      <c r="EF872" s="2" t="n">
        <v>90.01000000000001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9.449999999999999</v>
      </c>
      <c r="DF873" s="2" t="n">
        <v>0</v>
      </c>
      <c r="DG873" s="2" t="n">
        <v>15.71</v>
      </c>
      <c r="DH873" s="2" t="n">
        <v>17.51</v>
      </c>
      <c r="DI873" s="2" t="n">
        <v>0</v>
      </c>
      <c r="DJ873" s="2" t="n">
        <v>26.39</v>
      </c>
      <c r="DK873" s="2" t="n">
        <v>28.02</v>
      </c>
      <c r="DL873" s="2" t="n">
        <v>0</v>
      </c>
      <c r="DM873" s="2" t="n">
        <v>36.13</v>
      </c>
      <c r="DN873" s="2" t="n">
        <v>37.91</v>
      </c>
      <c r="DO873" s="2" t="n">
        <v>0</v>
      </c>
      <c r="DP873" s="2" t="n">
        <v>45.85</v>
      </c>
      <c r="DQ873" s="2" t="n">
        <v>47.51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66.19</v>
      </c>
      <c r="DX873" s="2" t="n">
        <v>0</v>
      </c>
      <c r="DY873" s="2" t="n">
        <v>72.79000000000001</v>
      </c>
      <c r="DZ873" s="2" t="n">
        <v>74.84</v>
      </c>
      <c r="EA873" s="2" t="n">
        <v>0</v>
      </c>
      <c r="EB873" s="2" t="n">
        <v>80.93000000000001</v>
      </c>
      <c r="EC873" s="2" t="n">
        <v>82.98999999999999</v>
      </c>
      <c r="ED873" s="2" t="n">
        <v>0</v>
      </c>
      <c r="EE873" s="2" t="n">
        <v>87.59</v>
      </c>
      <c r="EF873" s="2" t="n">
        <v>90.01000000000001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9.449999999999999</v>
      </c>
      <c r="DF874" s="2" t="n">
        <v>0</v>
      </c>
      <c r="DG874" s="2" t="n">
        <v>15.71</v>
      </c>
      <c r="DH874" s="2" t="n">
        <v>17.51</v>
      </c>
      <c r="DI874" s="2" t="n">
        <v>0</v>
      </c>
      <c r="DJ874" s="2" t="n">
        <v>26.39</v>
      </c>
      <c r="DK874" s="2" t="n">
        <v>28.02</v>
      </c>
      <c r="DL874" s="2" t="n">
        <v>0</v>
      </c>
      <c r="DM874" s="2" t="n">
        <v>36.13</v>
      </c>
      <c r="DN874" s="2" t="n">
        <v>37.91</v>
      </c>
      <c r="DO874" s="2" t="n">
        <v>0</v>
      </c>
      <c r="DP874" s="2" t="n">
        <v>45.85</v>
      </c>
      <c r="DQ874" s="2" t="n">
        <v>47.51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66.19</v>
      </c>
      <c r="DX874" s="2" t="n">
        <v>0</v>
      </c>
      <c r="DY874" s="2" t="n">
        <v>72.79000000000001</v>
      </c>
      <c r="DZ874" s="2" t="n">
        <v>74.84</v>
      </c>
      <c r="EA874" s="2" t="n">
        <v>0</v>
      </c>
      <c r="EB874" s="2" t="n">
        <v>80.93000000000001</v>
      </c>
      <c r="EC874" s="2" t="n">
        <v>82.98999999999999</v>
      </c>
      <c r="ED874" s="2" t="n">
        <v>0</v>
      </c>
      <c r="EE874" s="2" t="n">
        <v>87.59</v>
      </c>
      <c r="EF874" s="2" t="n">
        <v>90.01000000000001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9.449999999999999</v>
      </c>
      <c r="DF875" s="2" t="n">
        <v>0</v>
      </c>
      <c r="DG875" s="2" t="n">
        <v>15.71</v>
      </c>
      <c r="DH875" s="2" t="n">
        <v>17.51</v>
      </c>
      <c r="DI875" s="2" t="n">
        <v>0</v>
      </c>
      <c r="DJ875" s="2" t="n">
        <v>26.39</v>
      </c>
      <c r="DK875" s="2" t="n">
        <v>28.02</v>
      </c>
      <c r="DL875" s="2" t="n">
        <v>0</v>
      </c>
      <c r="DM875" s="2" t="n">
        <v>36.13</v>
      </c>
      <c r="DN875" s="2" t="n">
        <v>37.91</v>
      </c>
      <c r="DO875" s="2" t="n">
        <v>0</v>
      </c>
      <c r="DP875" s="2" t="n">
        <v>45.85</v>
      </c>
      <c r="DQ875" s="2" t="n">
        <v>47.51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66.19</v>
      </c>
      <c r="DX875" s="2" t="n">
        <v>0</v>
      </c>
      <c r="DY875" s="2" t="n">
        <v>72.79000000000001</v>
      </c>
      <c r="DZ875" s="2" t="n">
        <v>74.84</v>
      </c>
      <c r="EA875" s="2" t="n">
        <v>0</v>
      </c>
      <c r="EB875" s="2" t="n">
        <v>80.93000000000001</v>
      </c>
      <c r="EC875" s="2" t="n">
        <v>82.98999999999999</v>
      </c>
      <c r="ED875" s="2" t="n">
        <v>0</v>
      </c>
      <c r="EE875" s="2" t="n">
        <v>87.59</v>
      </c>
      <c r="EF875" s="2" t="n">
        <v>90.01000000000001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9.449999999999999</v>
      </c>
      <c r="DF876" s="2" t="n">
        <v>0</v>
      </c>
      <c r="DG876" s="2" t="n">
        <v>15.71</v>
      </c>
      <c r="DH876" s="2" t="n">
        <v>17.51</v>
      </c>
      <c r="DI876" s="2" t="n">
        <v>0</v>
      </c>
      <c r="DJ876" s="2" t="n">
        <v>26.39</v>
      </c>
      <c r="DK876" s="2" t="n">
        <v>28.02</v>
      </c>
      <c r="DL876" s="2" t="n">
        <v>0</v>
      </c>
      <c r="DM876" s="2" t="n">
        <v>36.13</v>
      </c>
      <c r="DN876" s="2" t="n">
        <v>37.91</v>
      </c>
      <c r="DO876" s="2" t="n">
        <v>0</v>
      </c>
      <c r="DP876" s="2" t="n">
        <v>45.85</v>
      </c>
      <c r="DQ876" s="2" t="n">
        <v>47.51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66.19</v>
      </c>
      <c r="DX876" s="2" t="n">
        <v>0</v>
      </c>
      <c r="DY876" s="2" t="n">
        <v>72.79000000000001</v>
      </c>
      <c r="DZ876" s="2" t="n">
        <v>74.84</v>
      </c>
      <c r="EA876" s="2" t="n">
        <v>0</v>
      </c>
      <c r="EB876" s="2" t="n">
        <v>80.93000000000001</v>
      </c>
      <c r="EC876" s="2" t="n">
        <v>82.98999999999999</v>
      </c>
      <c r="ED876" s="2" t="n">
        <v>0</v>
      </c>
      <c r="EE876" s="2" t="n">
        <v>87.59</v>
      </c>
      <c r="EF876" s="2" t="n">
        <v>90.01000000000001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9.449999999999999</v>
      </c>
      <c r="DF877" s="2" t="n">
        <v>0</v>
      </c>
      <c r="DG877" s="2" t="n">
        <v>15.71</v>
      </c>
      <c r="DH877" s="2" t="n">
        <v>17.51</v>
      </c>
      <c r="DI877" s="2" t="n">
        <v>0</v>
      </c>
      <c r="DJ877" s="2" t="n">
        <v>26.39</v>
      </c>
      <c r="DK877" s="2" t="n">
        <v>28.02</v>
      </c>
      <c r="DL877" s="2" t="n">
        <v>0</v>
      </c>
      <c r="DM877" s="2" t="n">
        <v>36.13</v>
      </c>
      <c r="DN877" s="2" t="n">
        <v>37.91</v>
      </c>
      <c r="DO877" s="2" t="n">
        <v>0</v>
      </c>
      <c r="DP877" s="2" t="n">
        <v>45.85</v>
      </c>
      <c r="DQ877" s="2" t="n">
        <v>47.51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66.19</v>
      </c>
      <c r="DX877" s="2" t="n">
        <v>0</v>
      </c>
      <c r="DY877" s="2" t="n">
        <v>72.79000000000001</v>
      </c>
      <c r="DZ877" s="2" t="n">
        <v>74.84</v>
      </c>
      <c r="EA877" s="2" t="n">
        <v>0</v>
      </c>
      <c r="EB877" s="2" t="n">
        <v>80.93000000000001</v>
      </c>
      <c r="EC877" s="2" t="n">
        <v>82.98999999999999</v>
      </c>
      <c r="ED877" s="2" t="n">
        <v>0</v>
      </c>
      <c r="EE877" s="2" t="n">
        <v>87.59</v>
      </c>
      <c r="EF877" s="2" t="n">
        <v>90.01000000000001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9.449999999999999</v>
      </c>
      <c r="DF878" s="2" t="n">
        <v>0</v>
      </c>
      <c r="DG878" s="2" t="n">
        <v>15.71</v>
      </c>
      <c r="DH878" s="2" t="n">
        <v>17.51</v>
      </c>
      <c r="DI878" s="2" t="n">
        <v>0</v>
      </c>
      <c r="DJ878" s="2" t="n">
        <v>26.39</v>
      </c>
      <c r="DK878" s="2" t="n">
        <v>28.02</v>
      </c>
      <c r="DL878" s="2" t="n">
        <v>0</v>
      </c>
      <c r="DM878" s="2" t="n">
        <v>36.13</v>
      </c>
      <c r="DN878" s="2" t="n">
        <v>37.91</v>
      </c>
      <c r="DO878" s="2" t="n">
        <v>0</v>
      </c>
      <c r="DP878" s="2" t="n">
        <v>45.85</v>
      </c>
      <c r="DQ878" s="2" t="n">
        <v>47.51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66.19</v>
      </c>
      <c r="DX878" s="2" t="n">
        <v>0</v>
      </c>
      <c r="DY878" s="2" t="n">
        <v>72.79000000000001</v>
      </c>
      <c r="DZ878" s="2" t="n">
        <v>74.84</v>
      </c>
      <c r="EA878" s="2" t="n">
        <v>0</v>
      </c>
      <c r="EB878" s="2" t="n">
        <v>80.93000000000001</v>
      </c>
      <c r="EC878" s="2" t="n">
        <v>82.98999999999999</v>
      </c>
      <c r="ED878" s="2" t="n">
        <v>0</v>
      </c>
      <c r="EE878" s="2" t="n">
        <v>87.59</v>
      </c>
      <c r="EF878" s="2" t="n">
        <v>90.01000000000001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9.449999999999999</v>
      </c>
      <c r="DF879" s="2" t="n">
        <v>0</v>
      </c>
      <c r="DG879" s="2" t="n">
        <v>15.71</v>
      </c>
      <c r="DH879" s="2" t="n">
        <v>17.51</v>
      </c>
      <c r="DI879" s="2" t="n">
        <v>0</v>
      </c>
      <c r="DJ879" s="2" t="n">
        <v>26.39</v>
      </c>
      <c r="DK879" s="2" t="n">
        <v>28.02</v>
      </c>
      <c r="DL879" s="2" t="n">
        <v>0</v>
      </c>
      <c r="DM879" s="2" t="n">
        <v>36.13</v>
      </c>
      <c r="DN879" s="2" t="n">
        <v>37.91</v>
      </c>
      <c r="DO879" s="2" t="n">
        <v>0</v>
      </c>
      <c r="DP879" s="2" t="n">
        <v>45.85</v>
      </c>
      <c r="DQ879" s="2" t="n">
        <v>47.51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66.19</v>
      </c>
      <c r="DX879" s="2" t="n">
        <v>0</v>
      </c>
      <c r="DY879" s="2" t="n">
        <v>72.79000000000001</v>
      </c>
      <c r="DZ879" s="2" t="n">
        <v>74.84</v>
      </c>
      <c r="EA879" s="2" t="n">
        <v>0</v>
      </c>
      <c r="EB879" s="2" t="n">
        <v>80.93000000000001</v>
      </c>
      <c r="EC879" s="2" t="n">
        <v>82.98999999999999</v>
      </c>
      <c r="ED879" s="2" t="n">
        <v>0</v>
      </c>
      <c r="EE879" s="2" t="n">
        <v>87.59</v>
      </c>
      <c r="EF879" s="2" t="n">
        <v>90.01000000000001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9.449999999999999</v>
      </c>
      <c r="DF880" s="2" t="n">
        <v>0</v>
      </c>
      <c r="DG880" s="2" t="n">
        <v>15.71</v>
      </c>
      <c r="DH880" s="2" t="n">
        <v>17.51</v>
      </c>
      <c r="DI880" s="2" t="n">
        <v>0</v>
      </c>
      <c r="DJ880" s="2" t="n">
        <v>26.39</v>
      </c>
      <c r="DK880" s="2" t="n">
        <v>28.02</v>
      </c>
      <c r="DL880" s="2" t="n">
        <v>0</v>
      </c>
      <c r="DM880" s="2" t="n">
        <v>36.13</v>
      </c>
      <c r="DN880" s="2" t="n">
        <v>37.91</v>
      </c>
      <c r="DO880" s="2" t="n">
        <v>0</v>
      </c>
      <c r="DP880" s="2" t="n">
        <v>45.85</v>
      </c>
      <c r="DQ880" s="2" t="n">
        <v>47.51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66.19</v>
      </c>
      <c r="DX880" s="2" t="n">
        <v>0</v>
      </c>
      <c r="DY880" s="2" t="n">
        <v>72.79000000000001</v>
      </c>
      <c r="DZ880" s="2" t="n">
        <v>74.84</v>
      </c>
      <c r="EA880" s="2" t="n">
        <v>0</v>
      </c>
      <c r="EB880" s="2" t="n">
        <v>80.93000000000001</v>
      </c>
      <c r="EC880" s="2" t="n">
        <v>82.98999999999999</v>
      </c>
      <c r="ED880" s="2" t="n">
        <v>0</v>
      </c>
      <c r="EE880" s="2" t="n">
        <v>87.59</v>
      </c>
      <c r="EF880" s="2" t="n">
        <v>90.01000000000001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9.449999999999999</v>
      </c>
      <c r="DF881" s="2" t="n">
        <v>0</v>
      </c>
      <c r="DG881" s="2" t="n">
        <v>15.71</v>
      </c>
      <c r="DH881" s="2" t="n">
        <v>17.51</v>
      </c>
      <c r="DI881" s="2" t="n">
        <v>0</v>
      </c>
      <c r="DJ881" s="2" t="n">
        <v>26.39</v>
      </c>
      <c r="DK881" s="2" t="n">
        <v>28.02</v>
      </c>
      <c r="DL881" s="2" t="n">
        <v>0</v>
      </c>
      <c r="DM881" s="2" t="n">
        <v>36.13</v>
      </c>
      <c r="DN881" s="2" t="n">
        <v>37.91</v>
      </c>
      <c r="DO881" s="2" t="n">
        <v>0</v>
      </c>
      <c r="DP881" s="2" t="n">
        <v>45.85</v>
      </c>
      <c r="DQ881" s="2" t="n">
        <v>47.51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66.19</v>
      </c>
      <c r="DX881" s="2" t="n">
        <v>0</v>
      </c>
      <c r="DY881" s="2" t="n">
        <v>72.79000000000001</v>
      </c>
      <c r="DZ881" s="2" t="n">
        <v>74.84</v>
      </c>
      <c r="EA881" s="2" t="n">
        <v>0</v>
      </c>
      <c r="EB881" s="2" t="n">
        <v>80.93000000000001</v>
      </c>
      <c r="EC881" s="2" t="n">
        <v>82.98999999999999</v>
      </c>
      <c r="ED881" s="2" t="n">
        <v>0</v>
      </c>
      <c r="EE881" s="2" t="n">
        <v>87.59</v>
      </c>
      <c r="EF881" s="2" t="n">
        <v>90.01000000000001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9.449999999999999</v>
      </c>
      <c r="DF882" s="2" t="n">
        <v>0</v>
      </c>
      <c r="DG882" s="2" t="n">
        <v>15.71</v>
      </c>
      <c r="DH882" s="2" t="n">
        <v>17.51</v>
      </c>
      <c r="DI882" s="2" t="n">
        <v>0</v>
      </c>
      <c r="DJ882" s="2" t="n">
        <v>26.39</v>
      </c>
      <c r="DK882" s="2" t="n">
        <v>28.02</v>
      </c>
      <c r="DL882" s="2" t="n">
        <v>0</v>
      </c>
      <c r="DM882" s="2" t="n">
        <v>36.13</v>
      </c>
      <c r="DN882" s="2" t="n">
        <v>37.91</v>
      </c>
      <c r="DO882" s="2" t="n">
        <v>0</v>
      </c>
      <c r="DP882" s="2" t="n">
        <v>45.85</v>
      </c>
      <c r="DQ882" s="2" t="n">
        <v>47.51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66.19</v>
      </c>
      <c r="DX882" s="2" t="n">
        <v>0</v>
      </c>
      <c r="DY882" s="2" t="n">
        <v>72.79000000000001</v>
      </c>
      <c r="DZ882" s="2" t="n">
        <v>74.84</v>
      </c>
      <c r="EA882" s="2" t="n">
        <v>0</v>
      </c>
      <c r="EB882" s="2" t="n">
        <v>80.93000000000001</v>
      </c>
      <c r="EC882" s="2" t="n">
        <v>82.98999999999999</v>
      </c>
      <c r="ED882" s="2" t="n">
        <v>0</v>
      </c>
      <c r="EE882" s="2" t="n">
        <v>87.59</v>
      </c>
      <c r="EF882" s="2" t="n">
        <v>90.01000000000001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9.449999999999999</v>
      </c>
      <c r="DF883" s="2" t="n">
        <v>0</v>
      </c>
      <c r="DG883" s="2" t="n">
        <v>15.71</v>
      </c>
      <c r="DH883" s="2" t="n">
        <v>17.51</v>
      </c>
      <c r="DI883" s="2" t="n">
        <v>0</v>
      </c>
      <c r="DJ883" s="2" t="n">
        <v>26.39</v>
      </c>
      <c r="DK883" s="2" t="n">
        <v>28.02</v>
      </c>
      <c r="DL883" s="2" t="n">
        <v>0</v>
      </c>
      <c r="DM883" s="2" t="n">
        <v>36.13</v>
      </c>
      <c r="DN883" s="2" t="n">
        <v>37.91</v>
      </c>
      <c r="DO883" s="2" t="n">
        <v>0</v>
      </c>
      <c r="DP883" s="2" t="n">
        <v>45.85</v>
      </c>
      <c r="DQ883" s="2" t="n">
        <v>47.51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66.19</v>
      </c>
      <c r="DX883" s="2" t="n">
        <v>0</v>
      </c>
      <c r="DY883" s="2" t="n">
        <v>72.79000000000001</v>
      </c>
      <c r="DZ883" s="2" t="n">
        <v>74.84</v>
      </c>
      <c r="EA883" s="2" t="n">
        <v>0</v>
      </c>
      <c r="EB883" s="2" t="n">
        <v>80.93000000000001</v>
      </c>
      <c r="EC883" s="2" t="n">
        <v>82.98999999999999</v>
      </c>
      <c r="ED883" s="2" t="n">
        <v>0</v>
      </c>
      <c r="EE883" s="2" t="n">
        <v>87.59</v>
      </c>
      <c r="EF883" s="2" t="n">
        <v>90.01000000000001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9.449999999999999</v>
      </c>
      <c r="DF884" s="2" t="n">
        <v>0</v>
      </c>
      <c r="DG884" s="2" t="n">
        <v>15.71</v>
      </c>
      <c r="DH884" s="2" t="n">
        <v>17.51</v>
      </c>
      <c r="DI884" s="2" t="n">
        <v>0</v>
      </c>
      <c r="DJ884" s="2" t="n">
        <v>26.39</v>
      </c>
      <c r="DK884" s="2" t="n">
        <v>28.02</v>
      </c>
      <c r="DL884" s="2" t="n">
        <v>0</v>
      </c>
      <c r="DM884" s="2" t="n">
        <v>36.13</v>
      </c>
      <c r="DN884" s="2" t="n">
        <v>37.91</v>
      </c>
      <c r="DO884" s="2" t="n">
        <v>0</v>
      </c>
      <c r="DP884" s="2" t="n">
        <v>45.85</v>
      </c>
      <c r="DQ884" s="2" t="n">
        <v>47.51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66.19</v>
      </c>
      <c r="DX884" s="2" t="n">
        <v>0</v>
      </c>
      <c r="DY884" s="2" t="n">
        <v>72.79000000000001</v>
      </c>
      <c r="DZ884" s="2" t="n">
        <v>74.84</v>
      </c>
      <c r="EA884" s="2" t="n">
        <v>0</v>
      </c>
      <c r="EB884" s="2" t="n">
        <v>80.93000000000001</v>
      </c>
      <c r="EC884" s="2" t="n">
        <v>82.98999999999999</v>
      </c>
      <c r="ED884" s="2" t="n">
        <v>0</v>
      </c>
      <c r="EE884" s="2" t="n">
        <v>87.59</v>
      </c>
      <c r="EF884" s="2" t="n">
        <v>90.01000000000001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9.449999999999999</v>
      </c>
      <c r="DF885" s="2" t="n">
        <v>0</v>
      </c>
      <c r="DG885" s="2" t="n">
        <v>15.71</v>
      </c>
      <c r="DH885" s="2" t="n">
        <v>17.51</v>
      </c>
      <c r="DI885" s="2" t="n">
        <v>0</v>
      </c>
      <c r="DJ885" s="2" t="n">
        <v>26.39</v>
      </c>
      <c r="DK885" s="2" t="n">
        <v>28.02</v>
      </c>
      <c r="DL885" s="2" t="n">
        <v>0</v>
      </c>
      <c r="DM885" s="2" t="n">
        <v>36.13</v>
      </c>
      <c r="DN885" s="2" t="n">
        <v>37.91</v>
      </c>
      <c r="DO885" s="2" t="n">
        <v>0</v>
      </c>
      <c r="DP885" s="2" t="n">
        <v>45.85</v>
      </c>
      <c r="DQ885" s="2" t="n">
        <v>47.51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66.19</v>
      </c>
      <c r="DX885" s="2" t="n">
        <v>0</v>
      </c>
      <c r="DY885" s="2" t="n">
        <v>72.79000000000001</v>
      </c>
      <c r="DZ885" s="2" t="n">
        <v>74.84</v>
      </c>
      <c r="EA885" s="2" t="n">
        <v>0</v>
      </c>
      <c r="EB885" s="2" t="n">
        <v>80.93000000000001</v>
      </c>
      <c r="EC885" s="2" t="n">
        <v>82.98999999999999</v>
      </c>
      <c r="ED885" s="2" t="n">
        <v>0</v>
      </c>
      <c r="EE885" s="2" t="n">
        <v>87.59</v>
      </c>
      <c r="EF885" s="2" t="n">
        <v>90.01000000000001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9.449999999999999</v>
      </c>
      <c r="DF886" s="2" t="n">
        <v>0</v>
      </c>
      <c r="DG886" s="2" t="n">
        <v>15.71</v>
      </c>
      <c r="DH886" s="2" t="n">
        <v>17.51</v>
      </c>
      <c r="DI886" s="2" t="n">
        <v>0</v>
      </c>
      <c r="DJ886" s="2" t="n">
        <v>26.39</v>
      </c>
      <c r="DK886" s="2" t="n">
        <v>28.02</v>
      </c>
      <c r="DL886" s="2" t="n">
        <v>0</v>
      </c>
      <c r="DM886" s="2" t="n">
        <v>36.13</v>
      </c>
      <c r="DN886" s="2" t="n">
        <v>37.91</v>
      </c>
      <c r="DO886" s="2" t="n">
        <v>0</v>
      </c>
      <c r="DP886" s="2" t="n">
        <v>45.85</v>
      </c>
      <c r="DQ886" s="2" t="n">
        <v>47.51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66.19</v>
      </c>
      <c r="DX886" s="2" t="n">
        <v>0</v>
      </c>
      <c r="DY886" s="2" t="n">
        <v>72.79000000000001</v>
      </c>
      <c r="DZ886" s="2" t="n">
        <v>74.84</v>
      </c>
      <c r="EA886" s="2" t="n">
        <v>0</v>
      </c>
      <c r="EB886" s="2" t="n">
        <v>80.93000000000001</v>
      </c>
      <c r="EC886" s="2" t="n">
        <v>82.98999999999999</v>
      </c>
      <c r="ED886" s="2" t="n">
        <v>0</v>
      </c>
      <c r="EE886" s="2" t="n">
        <v>87.59</v>
      </c>
      <c r="EF886" s="2" t="n">
        <v>90.01000000000001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9.449999999999999</v>
      </c>
      <c r="DF887" s="2" t="n">
        <v>0</v>
      </c>
      <c r="DG887" s="2" t="n">
        <v>15.71</v>
      </c>
      <c r="DH887" s="2" t="n">
        <v>17.51</v>
      </c>
      <c r="DI887" s="2" t="n">
        <v>0</v>
      </c>
      <c r="DJ887" s="2" t="n">
        <v>26.39</v>
      </c>
      <c r="DK887" s="2" t="n">
        <v>28.02</v>
      </c>
      <c r="DL887" s="2" t="n">
        <v>0</v>
      </c>
      <c r="DM887" s="2" t="n">
        <v>36.13</v>
      </c>
      <c r="DN887" s="2" t="n">
        <v>37.91</v>
      </c>
      <c r="DO887" s="2" t="n">
        <v>0</v>
      </c>
      <c r="DP887" s="2" t="n">
        <v>45.85</v>
      </c>
      <c r="DQ887" s="2" t="n">
        <v>47.51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66.19</v>
      </c>
      <c r="DX887" s="2" t="n">
        <v>0</v>
      </c>
      <c r="DY887" s="2" t="n">
        <v>72.79000000000001</v>
      </c>
      <c r="DZ887" s="2" t="n">
        <v>74.84</v>
      </c>
      <c r="EA887" s="2" t="n">
        <v>0</v>
      </c>
      <c r="EB887" s="2" t="n">
        <v>80.93000000000001</v>
      </c>
      <c r="EC887" s="2" t="n">
        <v>82.98999999999999</v>
      </c>
      <c r="ED887" s="2" t="n">
        <v>0</v>
      </c>
      <c r="EE887" s="2" t="n">
        <v>87.59</v>
      </c>
      <c r="EF887" s="2" t="n">
        <v>90.01000000000001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9.449999999999999</v>
      </c>
      <c r="DF888" s="2" t="n">
        <v>0</v>
      </c>
      <c r="DG888" s="2" t="n">
        <v>15.71</v>
      </c>
      <c r="DH888" s="2" t="n">
        <v>17.51</v>
      </c>
      <c r="DI888" s="2" t="n">
        <v>0</v>
      </c>
      <c r="DJ888" s="2" t="n">
        <v>26.39</v>
      </c>
      <c r="DK888" s="2" t="n">
        <v>28.02</v>
      </c>
      <c r="DL888" s="2" t="n">
        <v>0</v>
      </c>
      <c r="DM888" s="2" t="n">
        <v>36.13</v>
      </c>
      <c r="DN888" s="2" t="n">
        <v>37.91</v>
      </c>
      <c r="DO888" s="2" t="n">
        <v>0</v>
      </c>
      <c r="DP888" s="2" t="n">
        <v>45.85</v>
      </c>
      <c r="DQ888" s="2" t="n">
        <v>47.51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66.19</v>
      </c>
      <c r="DX888" s="2" t="n">
        <v>0</v>
      </c>
      <c r="DY888" s="2" t="n">
        <v>72.79000000000001</v>
      </c>
      <c r="DZ888" s="2" t="n">
        <v>74.84</v>
      </c>
      <c r="EA888" s="2" t="n">
        <v>0</v>
      </c>
      <c r="EB888" s="2" t="n">
        <v>80.93000000000001</v>
      </c>
      <c r="EC888" s="2" t="n">
        <v>82.98999999999999</v>
      </c>
      <c r="ED888" s="2" t="n">
        <v>0</v>
      </c>
      <c r="EE888" s="2" t="n">
        <v>87.59</v>
      </c>
      <c r="EF888" s="2" t="n">
        <v>90.01000000000001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9.449999999999999</v>
      </c>
      <c r="DF889" s="2" t="n">
        <v>0</v>
      </c>
      <c r="DG889" s="2" t="n">
        <v>15.71</v>
      </c>
      <c r="DH889" s="2" t="n">
        <v>17.51</v>
      </c>
      <c r="DI889" s="2" t="n">
        <v>0</v>
      </c>
      <c r="DJ889" s="2" t="n">
        <v>26.39</v>
      </c>
      <c r="DK889" s="2" t="n">
        <v>28.02</v>
      </c>
      <c r="DL889" s="2" t="n">
        <v>0</v>
      </c>
      <c r="DM889" s="2" t="n">
        <v>36.13</v>
      </c>
      <c r="DN889" s="2" t="n">
        <v>37.91</v>
      </c>
      <c r="DO889" s="2" t="n">
        <v>0</v>
      </c>
      <c r="DP889" s="2" t="n">
        <v>45.85</v>
      </c>
      <c r="DQ889" s="2" t="n">
        <v>47.51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66.19</v>
      </c>
      <c r="DX889" s="2" t="n">
        <v>0</v>
      </c>
      <c r="DY889" s="2" t="n">
        <v>72.79000000000001</v>
      </c>
      <c r="DZ889" s="2" t="n">
        <v>74.84</v>
      </c>
      <c r="EA889" s="2" t="n">
        <v>0</v>
      </c>
      <c r="EB889" s="2" t="n">
        <v>80.93000000000001</v>
      </c>
      <c r="EC889" s="2" t="n">
        <v>82.98999999999999</v>
      </c>
      <c r="ED889" s="2" t="n">
        <v>0</v>
      </c>
      <c r="EE889" s="2" t="n">
        <v>87.59</v>
      </c>
      <c r="EF889" s="2" t="n">
        <v>90.01000000000001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9.449999999999999</v>
      </c>
      <c r="DF890" s="2" t="n">
        <v>0</v>
      </c>
      <c r="DG890" s="2" t="n">
        <v>15.71</v>
      </c>
      <c r="DH890" s="2" t="n">
        <v>17.51</v>
      </c>
      <c r="DI890" s="2" t="n">
        <v>0</v>
      </c>
      <c r="DJ890" s="2" t="n">
        <v>26.39</v>
      </c>
      <c r="DK890" s="2" t="n">
        <v>28.02</v>
      </c>
      <c r="DL890" s="2" t="n">
        <v>0</v>
      </c>
      <c r="DM890" s="2" t="n">
        <v>36.13</v>
      </c>
      <c r="DN890" s="2" t="n">
        <v>37.91</v>
      </c>
      <c r="DO890" s="2" t="n">
        <v>0</v>
      </c>
      <c r="DP890" s="2" t="n">
        <v>45.85</v>
      </c>
      <c r="DQ890" s="2" t="n">
        <v>47.51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66.19</v>
      </c>
      <c r="DX890" s="2" t="n">
        <v>0</v>
      </c>
      <c r="DY890" s="2" t="n">
        <v>72.79000000000001</v>
      </c>
      <c r="DZ890" s="2" t="n">
        <v>74.84</v>
      </c>
      <c r="EA890" s="2" t="n">
        <v>0</v>
      </c>
      <c r="EB890" s="2" t="n">
        <v>80.93000000000001</v>
      </c>
      <c r="EC890" s="2" t="n">
        <v>82.98999999999999</v>
      </c>
      <c r="ED890" s="2" t="n">
        <v>0</v>
      </c>
      <c r="EE890" s="2" t="n">
        <v>87.59</v>
      </c>
      <c r="EF890" s="2" t="n">
        <v>90.01000000000001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9.449999999999999</v>
      </c>
      <c r="DF891" s="2" t="n">
        <v>0</v>
      </c>
      <c r="DG891" s="2" t="n">
        <v>15.71</v>
      </c>
      <c r="DH891" s="2" t="n">
        <v>17.51</v>
      </c>
      <c r="DI891" s="2" t="n">
        <v>0</v>
      </c>
      <c r="DJ891" s="2" t="n">
        <v>26.39</v>
      </c>
      <c r="DK891" s="2" t="n">
        <v>28.02</v>
      </c>
      <c r="DL891" s="2" t="n">
        <v>0</v>
      </c>
      <c r="DM891" s="2" t="n">
        <v>36.13</v>
      </c>
      <c r="DN891" s="2" t="n">
        <v>37.91</v>
      </c>
      <c r="DO891" s="2" t="n">
        <v>0</v>
      </c>
      <c r="DP891" s="2" t="n">
        <v>45.85</v>
      </c>
      <c r="DQ891" s="2" t="n">
        <v>47.51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66.19</v>
      </c>
      <c r="DX891" s="2" t="n">
        <v>0</v>
      </c>
      <c r="DY891" s="2" t="n">
        <v>72.79000000000001</v>
      </c>
      <c r="DZ891" s="2" t="n">
        <v>74.84</v>
      </c>
      <c r="EA891" s="2" t="n">
        <v>0</v>
      </c>
      <c r="EB891" s="2" t="n">
        <v>80.93000000000001</v>
      </c>
      <c r="EC891" s="2" t="n">
        <v>82.98999999999999</v>
      </c>
      <c r="ED891" s="2" t="n">
        <v>0</v>
      </c>
      <c r="EE891" s="2" t="n">
        <v>87.59</v>
      </c>
      <c r="EF891" s="2" t="n">
        <v>90.01000000000001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04/01/2027</t>
        </is>
      </c>
      <c r="E892" s="2" t="inlineStr">
        <is>
          <t>04/04/2029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2.92</v>
      </c>
      <c r="BO892" s="2" t="n">
        <v>3.43</v>
      </c>
      <c r="BP892" s="2" t="n">
        <v>0</v>
      </c>
      <c r="BQ892" s="2" t="n">
        <v>6.47</v>
      </c>
      <c r="BR892" s="2" t="n">
        <v>7.02</v>
      </c>
      <c r="BS892" s="2" t="n">
        <v>0</v>
      </c>
      <c r="BT892" s="2" t="n">
        <v>10.1</v>
      </c>
      <c r="BU892" s="2" t="n">
        <v>10.64</v>
      </c>
      <c r="BV892" s="2" t="n">
        <v>0</v>
      </c>
      <c r="BW892" s="2" t="n">
        <v>13.9</v>
      </c>
      <c r="BX892" s="2" t="n">
        <v>14.44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20.34</v>
      </c>
      <c r="DF892" s="2" t="n">
        <v>0</v>
      </c>
      <c r="DG892" s="2" t="n">
        <v>23.48</v>
      </c>
      <c r="DH892" s="2" t="n">
        <v>23.68</v>
      </c>
      <c r="DI892" s="2" t="n">
        <v>0</v>
      </c>
      <c r="DJ892" s="2" t="n">
        <v>31.87</v>
      </c>
      <c r="DK892" s="2" t="n">
        <v>33.15</v>
      </c>
      <c r="DL892" s="2" t="n">
        <v>0</v>
      </c>
      <c r="DM892" s="2" t="n">
        <v>41.29</v>
      </c>
      <c r="DN892" s="2" t="n">
        <v>42.08</v>
      </c>
      <c r="DO892" s="2" t="n">
        <v>0</v>
      </c>
      <c r="DP892" s="2" t="n">
        <v>47.44</v>
      </c>
      <c r="DQ892" s="2" t="n">
        <v>48.73</v>
      </c>
      <c r="DR892" s="2" t="n">
        <v>0</v>
      </c>
      <c r="DS892" s="2" t="n">
        <v>53.53</v>
      </c>
      <c r="DT892" s="2" t="n">
        <v>54.93</v>
      </c>
      <c r="DU892" s="2" t="n">
        <v>0</v>
      </c>
      <c r="DV892" s="2" t="n">
        <v>59.17</v>
      </c>
      <c r="DW892" s="2" t="n">
        <v>60.58</v>
      </c>
      <c r="DX892" s="2" t="n">
        <v>0</v>
      </c>
      <c r="DY892" s="2" t="n">
        <v>66.09</v>
      </c>
      <c r="DZ892" s="2" t="n">
        <v>67.45999999999999</v>
      </c>
      <c r="EA892" s="2" t="n">
        <v>0</v>
      </c>
      <c r="EB892" s="2" t="n">
        <v>72.53</v>
      </c>
      <c r="EC892" s="2" t="n">
        <v>73.72</v>
      </c>
      <c r="ED892" s="2" t="n">
        <v>0</v>
      </c>
      <c r="EE892" s="2" t="n">
        <v>78.14</v>
      </c>
      <c r="EF892" s="2" t="n">
        <v>79.86</v>
      </c>
      <c r="EG892" s="2" t="n">
        <v>0</v>
      </c>
      <c r="EH892" s="2" t="n">
        <v>85.47</v>
      </c>
      <c r="EI892" s="2" t="n">
        <v>87.22</v>
      </c>
      <c r="EJ892" s="2" t="n">
        <v>0</v>
      </c>
      <c r="EK892" s="2" t="n">
        <v>92.44</v>
      </c>
      <c r="EL892" s="2" t="n">
        <v>93.78</v>
      </c>
      <c r="EM892" s="2" t="n">
        <v>0</v>
      </c>
      <c r="EN892" s="2" t="n">
        <v>97.36</v>
      </c>
      <c r="EO892" s="2" t="n">
        <v>97.95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8.75</v>
      </c>
      <c r="DF893" s="2" t="n">
        <v>0</v>
      </c>
      <c r="DG893" s="2" t="n">
        <v>12.72</v>
      </c>
      <c r="DH893" s="2" t="n">
        <v>13.92</v>
      </c>
      <c r="DI893" s="2" t="n">
        <v>0</v>
      </c>
      <c r="DJ893" s="2" t="n">
        <v>21.84</v>
      </c>
      <c r="DK893" s="2" t="n">
        <v>23.71</v>
      </c>
      <c r="DL893" s="2" t="n">
        <v>0</v>
      </c>
      <c r="DM893" s="2" t="n">
        <v>31.36</v>
      </c>
      <c r="DN893" s="2" t="n">
        <v>33.21</v>
      </c>
      <c r="DO893" s="2" t="n">
        <v>0</v>
      </c>
      <c r="DP893" s="2" t="n">
        <v>40.97</v>
      </c>
      <c r="DQ893" s="2" t="n">
        <v>42.83</v>
      </c>
      <c r="DR893" s="2" t="n">
        <v>0</v>
      </c>
      <c r="DS893" s="2" t="n">
        <v>50.46</v>
      </c>
      <c r="DT893" s="2" t="n">
        <v>52.5</v>
      </c>
      <c r="DU893" s="2" t="n">
        <v>0</v>
      </c>
      <c r="DV893" s="2" t="n">
        <v>59.27</v>
      </c>
      <c r="DW893" s="2" t="n">
        <v>61.32</v>
      </c>
      <c r="DX893" s="2" t="n">
        <v>0</v>
      </c>
      <c r="DY893" s="2" t="n">
        <v>68.22</v>
      </c>
      <c r="DZ893" s="2" t="n">
        <v>70.41</v>
      </c>
      <c r="EA893" s="2" t="n">
        <v>0</v>
      </c>
      <c r="EB893" s="2" t="n">
        <v>76.31999999999999</v>
      </c>
      <c r="EC893" s="2" t="n">
        <v>77.95999999999999</v>
      </c>
      <c r="ED893" s="2" t="n">
        <v>0</v>
      </c>
      <c r="EE893" s="2" t="n">
        <v>82.22</v>
      </c>
      <c r="EF893" s="2" t="n">
        <v>83.69</v>
      </c>
      <c r="EG893" s="2" t="n">
        <v>0</v>
      </c>
      <c r="EH893" s="2" t="n">
        <v>89.09</v>
      </c>
      <c r="EI893" s="2" t="n">
        <v>90.61</v>
      </c>
      <c r="EJ893" s="2" t="n">
        <v>0</v>
      </c>
      <c r="EK893" s="2" t="n">
        <v>95.55</v>
      </c>
      <c r="EL893" s="2" t="n">
        <v>96.79000000000001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8.75</v>
      </c>
      <c r="DF894" s="2" t="n">
        <v>0</v>
      </c>
      <c r="DG894" s="2" t="n">
        <v>12.72</v>
      </c>
      <c r="DH894" s="2" t="n">
        <v>13.92</v>
      </c>
      <c r="DI894" s="2" t="n">
        <v>0</v>
      </c>
      <c r="DJ894" s="2" t="n">
        <v>21.84</v>
      </c>
      <c r="DK894" s="2" t="n">
        <v>23.71</v>
      </c>
      <c r="DL894" s="2" t="n">
        <v>0</v>
      </c>
      <c r="DM894" s="2" t="n">
        <v>31.36</v>
      </c>
      <c r="DN894" s="2" t="n">
        <v>33.21</v>
      </c>
      <c r="DO894" s="2" t="n">
        <v>0</v>
      </c>
      <c r="DP894" s="2" t="n">
        <v>40.97</v>
      </c>
      <c r="DQ894" s="2" t="n">
        <v>42.83</v>
      </c>
      <c r="DR894" s="2" t="n">
        <v>0</v>
      </c>
      <c r="DS894" s="2" t="n">
        <v>50.46</v>
      </c>
      <c r="DT894" s="2" t="n">
        <v>52.5</v>
      </c>
      <c r="DU894" s="2" t="n">
        <v>0</v>
      </c>
      <c r="DV894" s="2" t="n">
        <v>59.27</v>
      </c>
      <c r="DW894" s="2" t="n">
        <v>61.32</v>
      </c>
      <c r="DX894" s="2" t="n">
        <v>0</v>
      </c>
      <c r="DY894" s="2" t="n">
        <v>68.22</v>
      </c>
      <c r="DZ894" s="2" t="n">
        <v>70.41</v>
      </c>
      <c r="EA894" s="2" t="n">
        <v>0</v>
      </c>
      <c r="EB894" s="2" t="n">
        <v>76.31999999999999</v>
      </c>
      <c r="EC894" s="2" t="n">
        <v>77.95999999999999</v>
      </c>
      <c r="ED894" s="2" t="n">
        <v>0</v>
      </c>
      <c r="EE894" s="2" t="n">
        <v>82.22</v>
      </c>
      <c r="EF894" s="2" t="n">
        <v>83.69</v>
      </c>
      <c r="EG894" s="2" t="n">
        <v>0</v>
      </c>
      <c r="EH894" s="2" t="n">
        <v>89.09</v>
      </c>
      <c r="EI894" s="2" t="n">
        <v>90.61</v>
      </c>
      <c r="EJ894" s="2" t="n">
        <v>0</v>
      </c>
      <c r="EK894" s="2" t="n">
        <v>95.55</v>
      </c>
      <c r="EL894" s="2" t="n">
        <v>96.79000000000001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8.75</v>
      </c>
      <c r="DF895" s="2" t="n">
        <v>0</v>
      </c>
      <c r="DG895" s="2" t="n">
        <v>12.72</v>
      </c>
      <c r="DH895" s="2" t="n">
        <v>13.92</v>
      </c>
      <c r="DI895" s="2" t="n">
        <v>0</v>
      </c>
      <c r="DJ895" s="2" t="n">
        <v>21.84</v>
      </c>
      <c r="DK895" s="2" t="n">
        <v>23.71</v>
      </c>
      <c r="DL895" s="2" t="n">
        <v>0</v>
      </c>
      <c r="DM895" s="2" t="n">
        <v>31.36</v>
      </c>
      <c r="DN895" s="2" t="n">
        <v>33.21</v>
      </c>
      <c r="DO895" s="2" t="n">
        <v>0</v>
      </c>
      <c r="DP895" s="2" t="n">
        <v>40.97</v>
      </c>
      <c r="DQ895" s="2" t="n">
        <v>42.83</v>
      </c>
      <c r="DR895" s="2" t="n">
        <v>0</v>
      </c>
      <c r="DS895" s="2" t="n">
        <v>50.46</v>
      </c>
      <c r="DT895" s="2" t="n">
        <v>52.5</v>
      </c>
      <c r="DU895" s="2" t="n">
        <v>0</v>
      </c>
      <c r="DV895" s="2" t="n">
        <v>59.27</v>
      </c>
      <c r="DW895" s="2" t="n">
        <v>61.32</v>
      </c>
      <c r="DX895" s="2" t="n">
        <v>0</v>
      </c>
      <c r="DY895" s="2" t="n">
        <v>68.22</v>
      </c>
      <c r="DZ895" s="2" t="n">
        <v>70.41</v>
      </c>
      <c r="EA895" s="2" t="n">
        <v>0</v>
      </c>
      <c r="EB895" s="2" t="n">
        <v>76.31999999999999</v>
      </c>
      <c r="EC895" s="2" t="n">
        <v>77.95999999999999</v>
      </c>
      <c r="ED895" s="2" t="n">
        <v>0</v>
      </c>
      <c r="EE895" s="2" t="n">
        <v>82.22</v>
      </c>
      <c r="EF895" s="2" t="n">
        <v>83.69</v>
      </c>
      <c r="EG895" s="2" t="n">
        <v>0</v>
      </c>
      <c r="EH895" s="2" t="n">
        <v>89.09</v>
      </c>
      <c r="EI895" s="2" t="n">
        <v>90.61</v>
      </c>
      <c r="EJ895" s="2" t="n">
        <v>0</v>
      </c>
      <c r="EK895" s="2" t="n">
        <v>95.55</v>
      </c>
      <c r="EL895" s="2" t="n">
        <v>96.79000000000001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8.75</v>
      </c>
      <c r="DF896" s="2" t="n">
        <v>0</v>
      </c>
      <c r="DG896" s="2" t="n">
        <v>12.72</v>
      </c>
      <c r="DH896" s="2" t="n">
        <v>13.92</v>
      </c>
      <c r="DI896" s="2" t="n">
        <v>0</v>
      </c>
      <c r="DJ896" s="2" t="n">
        <v>21.84</v>
      </c>
      <c r="DK896" s="2" t="n">
        <v>23.71</v>
      </c>
      <c r="DL896" s="2" t="n">
        <v>0</v>
      </c>
      <c r="DM896" s="2" t="n">
        <v>31.36</v>
      </c>
      <c r="DN896" s="2" t="n">
        <v>33.21</v>
      </c>
      <c r="DO896" s="2" t="n">
        <v>0</v>
      </c>
      <c r="DP896" s="2" t="n">
        <v>40.97</v>
      </c>
      <c r="DQ896" s="2" t="n">
        <v>42.83</v>
      </c>
      <c r="DR896" s="2" t="n">
        <v>0</v>
      </c>
      <c r="DS896" s="2" t="n">
        <v>50.46</v>
      </c>
      <c r="DT896" s="2" t="n">
        <v>52.5</v>
      </c>
      <c r="DU896" s="2" t="n">
        <v>0</v>
      </c>
      <c r="DV896" s="2" t="n">
        <v>59.27</v>
      </c>
      <c r="DW896" s="2" t="n">
        <v>61.32</v>
      </c>
      <c r="DX896" s="2" t="n">
        <v>0</v>
      </c>
      <c r="DY896" s="2" t="n">
        <v>68.22</v>
      </c>
      <c r="DZ896" s="2" t="n">
        <v>70.41</v>
      </c>
      <c r="EA896" s="2" t="n">
        <v>0</v>
      </c>
      <c r="EB896" s="2" t="n">
        <v>76.31999999999999</v>
      </c>
      <c r="EC896" s="2" t="n">
        <v>77.95999999999999</v>
      </c>
      <c r="ED896" s="2" t="n">
        <v>0</v>
      </c>
      <c r="EE896" s="2" t="n">
        <v>82.22</v>
      </c>
      <c r="EF896" s="2" t="n">
        <v>83.69</v>
      </c>
      <c r="EG896" s="2" t="n">
        <v>0</v>
      </c>
      <c r="EH896" s="2" t="n">
        <v>89.09</v>
      </c>
      <c r="EI896" s="2" t="n">
        <v>90.61</v>
      </c>
      <c r="EJ896" s="2" t="n">
        <v>0</v>
      </c>
      <c r="EK896" s="2" t="n">
        <v>95.55</v>
      </c>
      <c r="EL896" s="2" t="n">
        <v>96.79000000000001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8.75</v>
      </c>
      <c r="DF897" s="2" t="n">
        <v>0</v>
      </c>
      <c r="DG897" s="2" t="n">
        <v>12.72</v>
      </c>
      <c r="DH897" s="2" t="n">
        <v>13.92</v>
      </c>
      <c r="DI897" s="2" t="n">
        <v>0</v>
      </c>
      <c r="DJ897" s="2" t="n">
        <v>21.84</v>
      </c>
      <c r="DK897" s="2" t="n">
        <v>23.71</v>
      </c>
      <c r="DL897" s="2" t="n">
        <v>0</v>
      </c>
      <c r="DM897" s="2" t="n">
        <v>31.36</v>
      </c>
      <c r="DN897" s="2" t="n">
        <v>33.21</v>
      </c>
      <c r="DO897" s="2" t="n">
        <v>0</v>
      </c>
      <c r="DP897" s="2" t="n">
        <v>40.97</v>
      </c>
      <c r="DQ897" s="2" t="n">
        <v>42.83</v>
      </c>
      <c r="DR897" s="2" t="n">
        <v>0</v>
      </c>
      <c r="DS897" s="2" t="n">
        <v>50.46</v>
      </c>
      <c r="DT897" s="2" t="n">
        <v>52.5</v>
      </c>
      <c r="DU897" s="2" t="n">
        <v>0</v>
      </c>
      <c r="DV897" s="2" t="n">
        <v>59.27</v>
      </c>
      <c r="DW897" s="2" t="n">
        <v>61.32</v>
      </c>
      <c r="DX897" s="2" t="n">
        <v>0</v>
      </c>
      <c r="DY897" s="2" t="n">
        <v>68.22</v>
      </c>
      <c r="DZ897" s="2" t="n">
        <v>70.41</v>
      </c>
      <c r="EA897" s="2" t="n">
        <v>0</v>
      </c>
      <c r="EB897" s="2" t="n">
        <v>76.31999999999999</v>
      </c>
      <c r="EC897" s="2" t="n">
        <v>77.95999999999999</v>
      </c>
      <c r="ED897" s="2" t="n">
        <v>0</v>
      </c>
      <c r="EE897" s="2" t="n">
        <v>82.22</v>
      </c>
      <c r="EF897" s="2" t="n">
        <v>83.69</v>
      </c>
      <c r="EG897" s="2" t="n">
        <v>0</v>
      </c>
      <c r="EH897" s="2" t="n">
        <v>89.09</v>
      </c>
      <c r="EI897" s="2" t="n">
        <v>90.61</v>
      </c>
      <c r="EJ897" s="2" t="n">
        <v>0</v>
      </c>
      <c r="EK897" s="2" t="n">
        <v>95.55</v>
      </c>
      <c r="EL897" s="2" t="n">
        <v>96.79000000000001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8.75</v>
      </c>
      <c r="DF898" s="2" t="n">
        <v>0</v>
      </c>
      <c r="DG898" s="2" t="n">
        <v>12.72</v>
      </c>
      <c r="DH898" s="2" t="n">
        <v>13.92</v>
      </c>
      <c r="DI898" s="2" t="n">
        <v>0</v>
      </c>
      <c r="DJ898" s="2" t="n">
        <v>21.84</v>
      </c>
      <c r="DK898" s="2" t="n">
        <v>23.71</v>
      </c>
      <c r="DL898" s="2" t="n">
        <v>0</v>
      </c>
      <c r="DM898" s="2" t="n">
        <v>31.36</v>
      </c>
      <c r="DN898" s="2" t="n">
        <v>33.21</v>
      </c>
      <c r="DO898" s="2" t="n">
        <v>0</v>
      </c>
      <c r="DP898" s="2" t="n">
        <v>40.97</v>
      </c>
      <c r="DQ898" s="2" t="n">
        <v>42.83</v>
      </c>
      <c r="DR898" s="2" t="n">
        <v>0</v>
      </c>
      <c r="DS898" s="2" t="n">
        <v>50.46</v>
      </c>
      <c r="DT898" s="2" t="n">
        <v>52.5</v>
      </c>
      <c r="DU898" s="2" t="n">
        <v>0</v>
      </c>
      <c r="DV898" s="2" t="n">
        <v>59.27</v>
      </c>
      <c r="DW898" s="2" t="n">
        <v>61.32</v>
      </c>
      <c r="DX898" s="2" t="n">
        <v>0</v>
      </c>
      <c r="DY898" s="2" t="n">
        <v>68.22</v>
      </c>
      <c r="DZ898" s="2" t="n">
        <v>70.41</v>
      </c>
      <c r="EA898" s="2" t="n">
        <v>0</v>
      </c>
      <c r="EB898" s="2" t="n">
        <v>76.31999999999999</v>
      </c>
      <c r="EC898" s="2" t="n">
        <v>77.95999999999999</v>
      </c>
      <c r="ED898" s="2" t="n">
        <v>0</v>
      </c>
      <c r="EE898" s="2" t="n">
        <v>82.22</v>
      </c>
      <c r="EF898" s="2" t="n">
        <v>83.69</v>
      </c>
      <c r="EG898" s="2" t="n">
        <v>0</v>
      </c>
      <c r="EH898" s="2" t="n">
        <v>89.09</v>
      </c>
      <c r="EI898" s="2" t="n">
        <v>90.61</v>
      </c>
      <c r="EJ898" s="2" t="n">
        <v>0</v>
      </c>
      <c r="EK898" s="2" t="n">
        <v>95.55</v>
      </c>
      <c r="EL898" s="2" t="n">
        <v>96.79000000000001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8.75</v>
      </c>
      <c r="DF899" s="2" t="n">
        <v>0</v>
      </c>
      <c r="DG899" s="2" t="n">
        <v>12.72</v>
      </c>
      <c r="DH899" s="2" t="n">
        <v>13.92</v>
      </c>
      <c r="DI899" s="2" t="n">
        <v>0</v>
      </c>
      <c r="DJ899" s="2" t="n">
        <v>21.84</v>
      </c>
      <c r="DK899" s="2" t="n">
        <v>23.71</v>
      </c>
      <c r="DL899" s="2" t="n">
        <v>0</v>
      </c>
      <c r="DM899" s="2" t="n">
        <v>31.36</v>
      </c>
      <c r="DN899" s="2" t="n">
        <v>33.21</v>
      </c>
      <c r="DO899" s="2" t="n">
        <v>0</v>
      </c>
      <c r="DP899" s="2" t="n">
        <v>40.97</v>
      </c>
      <c r="DQ899" s="2" t="n">
        <v>42.83</v>
      </c>
      <c r="DR899" s="2" t="n">
        <v>0</v>
      </c>
      <c r="DS899" s="2" t="n">
        <v>50.46</v>
      </c>
      <c r="DT899" s="2" t="n">
        <v>52.5</v>
      </c>
      <c r="DU899" s="2" t="n">
        <v>0</v>
      </c>
      <c r="DV899" s="2" t="n">
        <v>59.27</v>
      </c>
      <c r="DW899" s="2" t="n">
        <v>61.32</v>
      </c>
      <c r="DX899" s="2" t="n">
        <v>0</v>
      </c>
      <c r="DY899" s="2" t="n">
        <v>68.22</v>
      </c>
      <c r="DZ899" s="2" t="n">
        <v>70.41</v>
      </c>
      <c r="EA899" s="2" t="n">
        <v>0</v>
      </c>
      <c r="EB899" s="2" t="n">
        <v>76.31999999999999</v>
      </c>
      <c r="EC899" s="2" t="n">
        <v>77.95999999999999</v>
      </c>
      <c r="ED899" s="2" t="n">
        <v>0</v>
      </c>
      <c r="EE899" s="2" t="n">
        <v>82.22</v>
      </c>
      <c r="EF899" s="2" t="n">
        <v>83.69</v>
      </c>
      <c r="EG899" s="2" t="n">
        <v>0</v>
      </c>
      <c r="EH899" s="2" t="n">
        <v>89.09</v>
      </c>
      <c r="EI899" s="2" t="n">
        <v>90.61</v>
      </c>
      <c r="EJ899" s="2" t="n">
        <v>0</v>
      </c>
      <c r="EK899" s="2" t="n">
        <v>95.55</v>
      </c>
      <c r="EL899" s="2" t="n">
        <v>96.79000000000001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8.75</v>
      </c>
      <c r="DF900" s="2" t="n">
        <v>0</v>
      </c>
      <c r="DG900" s="2" t="n">
        <v>12.72</v>
      </c>
      <c r="DH900" s="2" t="n">
        <v>13.92</v>
      </c>
      <c r="DI900" s="2" t="n">
        <v>0</v>
      </c>
      <c r="DJ900" s="2" t="n">
        <v>21.84</v>
      </c>
      <c r="DK900" s="2" t="n">
        <v>23.71</v>
      </c>
      <c r="DL900" s="2" t="n">
        <v>0</v>
      </c>
      <c r="DM900" s="2" t="n">
        <v>31.36</v>
      </c>
      <c r="DN900" s="2" t="n">
        <v>33.21</v>
      </c>
      <c r="DO900" s="2" t="n">
        <v>0</v>
      </c>
      <c r="DP900" s="2" t="n">
        <v>40.97</v>
      </c>
      <c r="DQ900" s="2" t="n">
        <v>42.83</v>
      </c>
      <c r="DR900" s="2" t="n">
        <v>0</v>
      </c>
      <c r="DS900" s="2" t="n">
        <v>50.46</v>
      </c>
      <c r="DT900" s="2" t="n">
        <v>52.5</v>
      </c>
      <c r="DU900" s="2" t="n">
        <v>0</v>
      </c>
      <c r="DV900" s="2" t="n">
        <v>59.27</v>
      </c>
      <c r="DW900" s="2" t="n">
        <v>61.32</v>
      </c>
      <c r="DX900" s="2" t="n">
        <v>0</v>
      </c>
      <c r="DY900" s="2" t="n">
        <v>68.22</v>
      </c>
      <c r="DZ900" s="2" t="n">
        <v>70.41</v>
      </c>
      <c r="EA900" s="2" t="n">
        <v>0</v>
      </c>
      <c r="EB900" s="2" t="n">
        <v>76.31999999999999</v>
      </c>
      <c r="EC900" s="2" t="n">
        <v>77.95999999999999</v>
      </c>
      <c r="ED900" s="2" t="n">
        <v>0</v>
      </c>
      <c r="EE900" s="2" t="n">
        <v>82.22</v>
      </c>
      <c r="EF900" s="2" t="n">
        <v>83.69</v>
      </c>
      <c r="EG900" s="2" t="n">
        <v>0</v>
      </c>
      <c r="EH900" s="2" t="n">
        <v>89.09</v>
      </c>
      <c r="EI900" s="2" t="n">
        <v>90.61</v>
      </c>
      <c r="EJ900" s="2" t="n">
        <v>0</v>
      </c>
      <c r="EK900" s="2" t="n">
        <v>95.55</v>
      </c>
      <c r="EL900" s="2" t="n">
        <v>96.79000000000001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8.75</v>
      </c>
      <c r="DF901" s="2" t="n">
        <v>0</v>
      </c>
      <c r="DG901" s="2" t="n">
        <v>12.72</v>
      </c>
      <c r="DH901" s="2" t="n">
        <v>13.92</v>
      </c>
      <c r="DI901" s="2" t="n">
        <v>0</v>
      </c>
      <c r="DJ901" s="2" t="n">
        <v>21.84</v>
      </c>
      <c r="DK901" s="2" t="n">
        <v>23.71</v>
      </c>
      <c r="DL901" s="2" t="n">
        <v>0</v>
      </c>
      <c r="DM901" s="2" t="n">
        <v>31.36</v>
      </c>
      <c r="DN901" s="2" t="n">
        <v>33.21</v>
      </c>
      <c r="DO901" s="2" t="n">
        <v>0</v>
      </c>
      <c r="DP901" s="2" t="n">
        <v>40.97</v>
      </c>
      <c r="DQ901" s="2" t="n">
        <v>42.83</v>
      </c>
      <c r="DR901" s="2" t="n">
        <v>0</v>
      </c>
      <c r="DS901" s="2" t="n">
        <v>50.46</v>
      </c>
      <c r="DT901" s="2" t="n">
        <v>52.5</v>
      </c>
      <c r="DU901" s="2" t="n">
        <v>0</v>
      </c>
      <c r="DV901" s="2" t="n">
        <v>59.27</v>
      </c>
      <c r="DW901" s="2" t="n">
        <v>61.32</v>
      </c>
      <c r="DX901" s="2" t="n">
        <v>0</v>
      </c>
      <c r="DY901" s="2" t="n">
        <v>68.22</v>
      </c>
      <c r="DZ901" s="2" t="n">
        <v>70.41</v>
      </c>
      <c r="EA901" s="2" t="n">
        <v>0</v>
      </c>
      <c r="EB901" s="2" t="n">
        <v>76.31999999999999</v>
      </c>
      <c r="EC901" s="2" t="n">
        <v>77.95999999999999</v>
      </c>
      <c r="ED901" s="2" t="n">
        <v>0</v>
      </c>
      <c r="EE901" s="2" t="n">
        <v>82.22</v>
      </c>
      <c r="EF901" s="2" t="n">
        <v>83.69</v>
      </c>
      <c r="EG901" s="2" t="n">
        <v>0</v>
      </c>
      <c r="EH901" s="2" t="n">
        <v>89.09</v>
      </c>
      <c r="EI901" s="2" t="n">
        <v>90.61</v>
      </c>
      <c r="EJ901" s="2" t="n">
        <v>0</v>
      </c>
      <c r="EK901" s="2" t="n">
        <v>95.55</v>
      </c>
      <c r="EL901" s="2" t="n">
        <v>96.79000000000001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27/04/2028</t>
        </is>
      </c>
      <c r="E902" s="2" t="inlineStr">
        <is>
          <t>07/02/2029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1.96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43.04</v>
      </c>
      <c r="DX902" s="2" t="n">
        <v>0</v>
      </c>
      <c r="DY902" s="2" t="n">
        <v>57.28</v>
      </c>
      <c r="DZ902" s="2" t="n">
        <v>57.28</v>
      </c>
      <c r="EA902" s="2" t="n">
        <v>0</v>
      </c>
      <c r="EB902" s="2" t="n">
        <v>70.56999999999999</v>
      </c>
      <c r="EC902" s="2" t="n">
        <v>71.52</v>
      </c>
      <c r="ED902" s="2" t="n">
        <v>0</v>
      </c>
      <c r="EE902" s="2" t="n">
        <v>78.17</v>
      </c>
      <c r="EF902" s="2" t="n">
        <v>81.01000000000001</v>
      </c>
      <c r="EG902" s="2" t="n">
        <v>0</v>
      </c>
      <c r="EH902" s="2" t="n">
        <v>92.41</v>
      </c>
      <c r="EI902" s="2" t="n">
        <v>95.25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27/04/2028</t>
        </is>
      </c>
      <c r="E904" s="2" t="inlineStr">
        <is>
          <t>07/02/2029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2.5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27.48</v>
      </c>
      <c r="DX904" s="2" t="n">
        <v>0</v>
      </c>
      <c r="DY904" s="2" t="n">
        <v>45.61</v>
      </c>
      <c r="DZ904" s="2" t="n">
        <v>45.61</v>
      </c>
      <c r="EA904" s="2" t="n">
        <v>0</v>
      </c>
      <c r="EB904" s="2" t="n">
        <v>62.53</v>
      </c>
      <c r="EC904" s="2" t="n">
        <v>63.74</v>
      </c>
      <c r="ED904" s="2" t="n">
        <v>0</v>
      </c>
      <c r="EE904" s="2" t="n">
        <v>72.2</v>
      </c>
      <c r="EF904" s="2" t="n">
        <v>75.83</v>
      </c>
      <c r="EG904" s="2" t="n">
        <v>0</v>
      </c>
      <c r="EH904" s="2" t="n">
        <v>90.33</v>
      </c>
      <c r="EI904" s="2" t="n">
        <v>93.95999999999999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27/04/2028</t>
        </is>
      </c>
      <c r="E905" s="2" t="inlineStr">
        <is>
          <t>04/04/2029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0.83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16.49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18.32</v>
      </c>
      <c r="DX905" s="2" t="n">
        <v>0</v>
      </c>
      <c r="DY905" s="2" t="n">
        <v>22.43</v>
      </c>
      <c r="DZ905" s="2" t="n">
        <v>23.16</v>
      </c>
      <c r="EA905" s="2" t="n">
        <v>0</v>
      </c>
      <c r="EB905" s="2" t="n">
        <v>27.02</v>
      </c>
      <c r="EC905" s="2" t="n">
        <v>27.75</v>
      </c>
      <c r="ED905" s="2" t="n">
        <v>0</v>
      </c>
      <c r="EE905" s="2" t="n">
        <v>34.34</v>
      </c>
      <c r="EF905" s="2" t="n">
        <v>37.05</v>
      </c>
      <c r="EG905" s="2" t="n">
        <v>0</v>
      </c>
      <c r="EH905" s="2" t="n">
        <v>45.21</v>
      </c>
      <c r="EI905" s="2" t="n">
        <v>47.93</v>
      </c>
      <c r="EJ905" s="2" t="n">
        <v>0</v>
      </c>
      <c r="EK905" s="2" t="n">
        <v>56.39</v>
      </c>
      <c r="EL905" s="2" t="n">
        <v>58.21</v>
      </c>
      <c r="EM905" s="2" t="n">
        <v>0</v>
      </c>
      <c r="EN905" s="2" t="n">
        <v>63.04</v>
      </c>
      <c r="EO905" s="2" t="n">
        <v>64.84999999999999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27/04/2028</t>
        </is>
      </c>
      <c r="E906" s="2" t="inlineStr">
        <is>
          <t>04/04/2029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0.83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16.49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18.32</v>
      </c>
      <c r="DX906" s="2" t="n">
        <v>0</v>
      </c>
      <c r="DY906" s="2" t="n">
        <v>22.43</v>
      </c>
      <c r="DZ906" s="2" t="n">
        <v>23.16</v>
      </c>
      <c r="EA906" s="2" t="n">
        <v>0</v>
      </c>
      <c r="EB906" s="2" t="n">
        <v>27.02</v>
      </c>
      <c r="EC906" s="2" t="n">
        <v>27.75</v>
      </c>
      <c r="ED906" s="2" t="n">
        <v>0</v>
      </c>
      <c r="EE906" s="2" t="n">
        <v>34.34</v>
      </c>
      <c r="EF906" s="2" t="n">
        <v>37.05</v>
      </c>
      <c r="EG906" s="2" t="n">
        <v>0</v>
      </c>
      <c r="EH906" s="2" t="n">
        <v>45.21</v>
      </c>
      <c r="EI906" s="2" t="n">
        <v>47.93</v>
      </c>
      <c r="EJ906" s="2" t="n">
        <v>0</v>
      </c>
      <c r="EK906" s="2" t="n">
        <v>56.39</v>
      </c>
      <c r="EL906" s="2" t="n">
        <v>58.21</v>
      </c>
      <c r="EM906" s="2" t="n">
        <v>0</v>
      </c>
      <c r="EN906" s="2" t="n">
        <v>63.04</v>
      </c>
      <c r="EO906" s="2" t="n">
        <v>64.84999999999999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27/04/2028</t>
        </is>
      </c>
      <c r="E907" s="2" t="inlineStr">
        <is>
          <t>04/04/2029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0.83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16.49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18.32</v>
      </c>
      <c r="DX907" s="2" t="n">
        <v>0</v>
      </c>
      <c r="DY907" s="2" t="n">
        <v>22.43</v>
      </c>
      <c r="DZ907" s="2" t="n">
        <v>23.16</v>
      </c>
      <c r="EA907" s="2" t="n">
        <v>0</v>
      </c>
      <c r="EB907" s="2" t="n">
        <v>27.02</v>
      </c>
      <c r="EC907" s="2" t="n">
        <v>27.75</v>
      </c>
      <c r="ED907" s="2" t="n">
        <v>0</v>
      </c>
      <c r="EE907" s="2" t="n">
        <v>34.34</v>
      </c>
      <c r="EF907" s="2" t="n">
        <v>37.05</v>
      </c>
      <c r="EG907" s="2" t="n">
        <v>0</v>
      </c>
      <c r="EH907" s="2" t="n">
        <v>45.21</v>
      </c>
      <c r="EI907" s="2" t="n">
        <v>47.93</v>
      </c>
      <c r="EJ907" s="2" t="n">
        <v>0</v>
      </c>
      <c r="EK907" s="2" t="n">
        <v>56.39</v>
      </c>
      <c r="EL907" s="2" t="n">
        <v>58.21</v>
      </c>
      <c r="EM907" s="2" t="n">
        <v>0</v>
      </c>
      <c r="EN907" s="2" t="n">
        <v>63.04</v>
      </c>
      <c r="EO907" s="2" t="n">
        <v>64.84999999999999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27/04/2028</t>
        </is>
      </c>
      <c r="E908" s="2" t="inlineStr">
        <is>
          <t>04/04/2029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0.83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16.49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18.32</v>
      </c>
      <c r="DX908" s="2" t="n">
        <v>0</v>
      </c>
      <c r="DY908" s="2" t="n">
        <v>22.43</v>
      </c>
      <c r="DZ908" s="2" t="n">
        <v>23.16</v>
      </c>
      <c r="EA908" s="2" t="n">
        <v>0</v>
      </c>
      <c r="EB908" s="2" t="n">
        <v>27.02</v>
      </c>
      <c r="EC908" s="2" t="n">
        <v>27.75</v>
      </c>
      <c r="ED908" s="2" t="n">
        <v>0</v>
      </c>
      <c r="EE908" s="2" t="n">
        <v>34.34</v>
      </c>
      <c r="EF908" s="2" t="n">
        <v>37.05</v>
      </c>
      <c r="EG908" s="2" t="n">
        <v>0</v>
      </c>
      <c r="EH908" s="2" t="n">
        <v>45.21</v>
      </c>
      <c r="EI908" s="2" t="n">
        <v>47.93</v>
      </c>
      <c r="EJ908" s="2" t="n">
        <v>0</v>
      </c>
      <c r="EK908" s="2" t="n">
        <v>56.39</v>
      </c>
      <c r="EL908" s="2" t="n">
        <v>58.21</v>
      </c>
      <c r="EM908" s="2" t="n">
        <v>0</v>
      </c>
      <c r="EN908" s="2" t="n">
        <v>63.04</v>
      </c>
      <c r="EO908" s="2" t="n">
        <v>64.84999999999999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30/05/2028</t>
        </is>
      </c>
      <c r="E909" s="2" t="inlineStr">
        <is>
          <t>20/03/2029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3.66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27.48</v>
      </c>
      <c r="EA909" s="2" t="n">
        <v>0</v>
      </c>
      <c r="EB909" s="2" t="n">
        <v>37.45</v>
      </c>
      <c r="EC909" s="2" t="n">
        <v>40.17</v>
      </c>
      <c r="ED909" s="2" t="n">
        <v>0</v>
      </c>
      <c r="EE909" s="2" t="n">
        <v>46.52</v>
      </c>
      <c r="EF909" s="2" t="n">
        <v>49.24</v>
      </c>
      <c r="EG909" s="2" t="n">
        <v>0</v>
      </c>
      <c r="EH909" s="2" t="n">
        <v>66.45999999999999</v>
      </c>
      <c r="EI909" s="2" t="n">
        <v>69.18000000000001</v>
      </c>
      <c r="EJ909" s="2" t="n">
        <v>0</v>
      </c>
      <c r="EK909" s="2" t="n">
        <v>84.59</v>
      </c>
      <c r="EL909" s="2" t="n">
        <v>87.31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30/05/2028</t>
        </is>
      </c>
      <c r="E910" s="2" t="inlineStr">
        <is>
          <t>20/03/2029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3.66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27.48</v>
      </c>
      <c r="EA910" s="2" t="n">
        <v>0</v>
      </c>
      <c r="EB910" s="2" t="n">
        <v>37.45</v>
      </c>
      <c r="EC910" s="2" t="n">
        <v>40.17</v>
      </c>
      <c r="ED910" s="2" t="n">
        <v>0</v>
      </c>
      <c r="EE910" s="2" t="n">
        <v>46.52</v>
      </c>
      <c r="EF910" s="2" t="n">
        <v>49.24</v>
      </c>
      <c r="EG910" s="2" t="n">
        <v>0</v>
      </c>
      <c r="EH910" s="2" t="n">
        <v>66.45999999999999</v>
      </c>
      <c r="EI910" s="2" t="n">
        <v>69.18000000000001</v>
      </c>
      <c r="EJ910" s="2" t="n">
        <v>0</v>
      </c>
      <c r="EK910" s="2" t="n">
        <v>84.59</v>
      </c>
      <c r="EL910" s="2" t="n">
        <v>87.31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30/05/2028</t>
        </is>
      </c>
      <c r="E911" s="2" t="inlineStr">
        <is>
          <t>20/03/2029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3.66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27.48</v>
      </c>
      <c r="EA911" s="2" t="n">
        <v>0</v>
      </c>
      <c r="EB911" s="2" t="n">
        <v>37.45</v>
      </c>
      <c r="EC911" s="2" t="n">
        <v>40.17</v>
      </c>
      <c r="ED911" s="2" t="n">
        <v>0</v>
      </c>
      <c r="EE911" s="2" t="n">
        <v>46.52</v>
      </c>
      <c r="EF911" s="2" t="n">
        <v>49.24</v>
      </c>
      <c r="EG911" s="2" t="n">
        <v>0</v>
      </c>
      <c r="EH911" s="2" t="n">
        <v>66.45999999999999</v>
      </c>
      <c r="EI911" s="2" t="n">
        <v>69.18000000000001</v>
      </c>
      <c r="EJ911" s="2" t="n">
        <v>0</v>
      </c>
      <c r="EK911" s="2" t="n">
        <v>84.59</v>
      </c>
      <c r="EL911" s="2" t="n">
        <v>87.31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04/01/2027</t>
        </is>
      </c>
      <c r="E914" s="2" t="inlineStr">
        <is>
          <t>05/05/2027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19.47</v>
      </c>
      <c r="BO914" s="2" t="n">
        <v>22.9</v>
      </c>
      <c r="BP914" s="2" t="n">
        <v>0</v>
      </c>
      <c r="BQ914" s="2" t="n">
        <v>43.19</v>
      </c>
      <c r="BR914" s="2" t="n">
        <v>46.82</v>
      </c>
      <c r="BS914" s="2" t="n">
        <v>0</v>
      </c>
      <c r="BT914" s="2" t="n">
        <v>67.37</v>
      </c>
      <c r="BU914" s="2" t="n">
        <v>70.98999999999999</v>
      </c>
      <c r="BV914" s="2" t="n">
        <v>0</v>
      </c>
      <c r="BW914" s="2" t="n">
        <v>92.75</v>
      </c>
      <c r="BX914" s="2" t="n">
        <v>96.37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04/01/2027</t>
        </is>
      </c>
      <c r="E915" s="2" t="inlineStr">
        <is>
          <t>05/05/2027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19.47</v>
      </c>
      <c r="BO915" s="2" t="n">
        <v>22.9</v>
      </c>
      <c r="BP915" s="2" t="n">
        <v>0</v>
      </c>
      <c r="BQ915" s="2" t="n">
        <v>43.19</v>
      </c>
      <c r="BR915" s="2" t="n">
        <v>46.82</v>
      </c>
      <c r="BS915" s="2" t="n">
        <v>0</v>
      </c>
      <c r="BT915" s="2" t="n">
        <v>67.37</v>
      </c>
      <c r="BU915" s="2" t="n">
        <v>70.98999999999999</v>
      </c>
      <c r="BV915" s="2" t="n">
        <v>0</v>
      </c>
      <c r="BW915" s="2" t="n">
        <v>92.75</v>
      </c>
      <c r="BX915" s="2" t="n">
        <v>96.37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21/06/2028</t>
        </is>
      </c>
      <c r="E916" s="2" t="inlineStr">
        <is>
          <t>04/04/2029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21.99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27.48</v>
      </c>
      <c r="ED916" s="2" t="n">
        <v>0</v>
      </c>
      <c r="EE916" s="2" t="n">
        <v>38.36</v>
      </c>
      <c r="EF916" s="2" t="n">
        <v>43.8</v>
      </c>
      <c r="EG916" s="2" t="n">
        <v>0</v>
      </c>
      <c r="EH916" s="2" t="n">
        <v>51.05</v>
      </c>
      <c r="EI916" s="2" t="n">
        <v>56.49</v>
      </c>
      <c r="EJ916" s="2" t="n">
        <v>0</v>
      </c>
      <c r="EK916" s="2" t="n">
        <v>69.18000000000001</v>
      </c>
      <c r="EL916" s="2" t="n">
        <v>74.62</v>
      </c>
      <c r="EM916" s="2" t="n">
        <v>0</v>
      </c>
      <c r="EN916" s="2" t="n">
        <v>89.12</v>
      </c>
      <c r="EO916" s="2" t="n">
        <v>94.56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21/06/2028</t>
        </is>
      </c>
      <c r="E917" s="2" t="inlineStr">
        <is>
          <t>04/04/2029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21.99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27.48</v>
      </c>
      <c r="ED917" s="2" t="n">
        <v>0</v>
      </c>
      <c r="EE917" s="2" t="n">
        <v>38.36</v>
      </c>
      <c r="EF917" s="2" t="n">
        <v>43.8</v>
      </c>
      <c r="EG917" s="2" t="n">
        <v>0</v>
      </c>
      <c r="EH917" s="2" t="n">
        <v>51.05</v>
      </c>
      <c r="EI917" s="2" t="n">
        <v>56.49</v>
      </c>
      <c r="EJ917" s="2" t="n">
        <v>0</v>
      </c>
      <c r="EK917" s="2" t="n">
        <v>69.18000000000001</v>
      </c>
      <c r="EL917" s="2" t="n">
        <v>74.62</v>
      </c>
      <c r="EM917" s="2" t="n">
        <v>0</v>
      </c>
      <c r="EN917" s="2" t="n">
        <v>89.12</v>
      </c>
      <c r="EO917" s="2" t="n">
        <v>94.56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21/06/2028</t>
        </is>
      </c>
      <c r="E918" s="2" t="inlineStr">
        <is>
          <t>04/04/2029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21.99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27.48</v>
      </c>
      <c r="ED918" s="2" t="n">
        <v>0</v>
      </c>
      <c r="EE918" s="2" t="n">
        <v>38.36</v>
      </c>
      <c r="EF918" s="2" t="n">
        <v>43.8</v>
      </c>
      <c r="EG918" s="2" t="n">
        <v>0</v>
      </c>
      <c r="EH918" s="2" t="n">
        <v>51.05</v>
      </c>
      <c r="EI918" s="2" t="n">
        <v>56.49</v>
      </c>
      <c r="EJ918" s="2" t="n">
        <v>0</v>
      </c>
      <c r="EK918" s="2" t="n">
        <v>69.18000000000001</v>
      </c>
      <c r="EL918" s="2" t="n">
        <v>74.62</v>
      </c>
      <c r="EM918" s="2" t="n">
        <v>0</v>
      </c>
      <c r="EN918" s="2" t="n">
        <v>89.12</v>
      </c>
      <c r="EO918" s="2" t="n">
        <v>94.56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04/08/2028</t>
        </is>
      </c>
      <c r="E919" s="2" t="inlineStr">
        <is>
          <t>18/12/2028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0</v>
      </c>
      <c r="DR919" s="2" t="n">
        <v>0</v>
      </c>
      <c r="DS919" s="2" t="n">
        <v>27.03</v>
      </c>
      <c r="DT919" s="2" t="n">
        <v>32.1</v>
      </c>
      <c r="DU919" s="2" t="n">
        <v>0</v>
      </c>
      <c r="DV919" s="2" t="n">
        <v>58.33</v>
      </c>
      <c r="DW919" s="2" t="n">
        <v>61.55</v>
      </c>
      <c r="DX919" s="2" t="n">
        <v>0</v>
      </c>
      <c r="DY919" s="2" t="n">
        <v>88.61</v>
      </c>
      <c r="DZ919" s="2" t="n">
        <v>84.3</v>
      </c>
      <c r="EA919" s="2" t="n">
        <v>0</v>
      </c>
      <c r="EB919" s="2" t="n">
        <v>97.63</v>
      </c>
      <c r="EC919" s="2" t="n">
        <v>94.78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04/08/2028</t>
        </is>
      </c>
      <c r="E920" s="2" t="inlineStr">
        <is>
          <t>18/12/2028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0</v>
      </c>
      <c r="DR920" s="2" t="n">
        <v>0</v>
      </c>
      <c r="DS920" s="2" t="n">
        <v>27.03</v>
      </c>
      <c r="DT920" s="2" t="n">
        <v>32.1</v>
      </c>
      <c r="DU920" s="2" t="n">
        <v>0</v>
      </c>
      <c r="DV920" s="2" t="n">
        <v>58.33</v>
      </c>
      <c r="DW920" s="2" t="n">
        <v>61.55</v>
      </c>
      <c r="DX920" s="2" t="n">
        <v>0</v>
      </c>
      <c r="DY920" s="2" t="n">
        <v>88.61</v>
      </c>
      <c r="DZ920" s="2" t="n">
        <v>84.3</v>
      </c>
      <c r="EA920" s="2" t="n">
        <v>0</v>
      </c>
      <c r="EB920" s="2" t="n">
        <v>97.63</v>
      </c>
      <c r="EC920" s="2" t="n">
        <v>94.78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04/08/2028</t>
        </is>
      </c>
      <c r="E921" s="2" t="inlineStr">
        <is>
          <t>18/12/2028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0</v>
      </c>
      <c r="DR921" s="2" t="n">
        <v>0</v>
      </c>
      <c r="DS921" s="2" t="n">
        <v>30.29</v>
      </c>
      <c r="DT921" s="2" t="n">
        <v>35.97</v>
      </c>
      <c r="DU921" s="2" t="n">
        <v>0</v>
      </c>
      <c r="DV921" s="2" t="n">
        <v>63.16</v>
      </c>
      <c r="DW921" s="2" t="n">
        <v>68.95999999999999</v>
      </c>
      <c r="DX921" s="2" t="n">
        <v>0</v>
      </c>
      <c r="DY921" s="2" t="n">
        <v>87.23999999999999</v>
      </c>
      <c r="DZ921" s="2" t="n">
        <v>84.06</v>
      </c>
      <c r="EA921" s="2" t="n">
        <v>0</v>
      </c>
      <c r="EB921" s="2" t="n">
        <v>97.34</v>
      </c>
      <c r="EC921" s="2" t="n">
        <v>94.15000000000001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04/08/2028</t>
        </is>
      </c>
      <c r="E922" s="2" t="inlineStr">
        <is>
          <t>18/12/2028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0</v>
      </c>
      <c r="DR922" s="2" t="n">
        <v>0</v>
      </c>
      <c r="DS922" s="2" t="n">
        <v>30.29</v>
      </c>
      <c r="DT922" s="2" t="n">
        <v>35.97</v>
      </c>
      <c r="DU922" s="2" t="n">
        <v>0</v>
      </c>
      <c r="DV922" s="2" t="n">
        <v>63.16</v>
      </c>
      <c r="DW922" s="2" t="n">
        <v>68.95999999999999</v>
      </c>
      <c r="DX922" s="2" t="n">
        <v>0</v>
      </c>
      <c r="DY922" s="2" t="n">
        <v>87.23999999999999</v>
      </c>
      <c r="DZ922" s="2" t="n">
        <v>84.06</v>
      </c>
      <c r="EA922" s="2" t="n">
        <v>0</v>
      </c>
      <c r="EB922" s="2" t="n">
        <v>97.34</v>
      </c>
      <c r="EC922" s="2" t="n">
        <v>94.15000000000001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04/08/2028</t>
        </is>
      </c>
      <c r="E923" s="2" t="inlineStr">
        <is>
          <t>18/12/2028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0</v>
      </c>
      <c r="DR923" s="2" t="n">
        <v>0</v>
      </c>
      <c r="DS923" s="2" t="n">
        <v>30.29</v>
      </c>
      <c r="DT923" s="2" t="n">
        <v>35.97</v>
      </c>
      <c r="DU923" s="2" t="n">
        <v>0</v>
      </c>
      <c r="DV923" s="2" t="n">
        <v>63.16</v>
      </c>
      <c r="DW923" s="2" t="n">
        <v>68.95999999999999</v>
      </c>
      <c r="DX923" s="2" t="n">
        <v>0</v>
      </c>
      <c r="DY923" s="2" t="n">
        <v>87.23999999999999</v>
      </c>
      <c r="DZ923" s="2" t="n">
        <v>84.06</v>
      </c>
      <c r="EA923" s="2" t="n">
        <v>0</v>
      </c>
      <c r="EB923" s="2" t="n">
        <v>97.34</v>
      </c>
      <c r="EC923" s="2" t="n">
        <v>94.15000000000001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04/10/2028</t>
        </is>
      </c>
      <c r="E924" s="2" t="inlineStr">
        <is>
          <t>06/11/2028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0</v>
      </c>
      <c r="DX924" s="2" t="n">
        <v>0</v>
      </c>
      <c r="DY924" s="2" t="n">
        <v>100</v>
      </c>
      <c r="DZ924" s="2" t="n">
        <v>86.36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04/08/2028</t>
        </is>
      </c>
      <c r="E925" s="2" t="inlineStr">
        <is>
          <t>18/12/2028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0</v>
      </c>
      <c r="DR925" s="2" t="n">
        <v>0</v>
      </c>
      <c r="DS925" s="2" t="n">
        <v>30.29</v>
      </c>
      <c r="DT925" s="2" t="n">
        <v>35.97</v>
      </c>
      <c r="DU925" s="2" t="n">
        <v>0</v>
      </c>
      <c r="DV925" s="2" t="n">
        <v>63.16</v>
      </c>
      <c r="DW925" s="2" t="n">
        <v>68.95999999999999</v>
      </c>
      <c r="DX925" s="2" t="n">
        <v>0</v>
      </c>
      <c r="DY925" s="2" t="n">
        <v>87.23999999999999</v>
      </c>
      <c r="DZ925" s="2" t="n">
        <v>84.06</v>
      </c>
      <c r="EA925" s="2" t="n">
        <v>0</v>
      </c>
      <c r="EB925" s="2" t="n">
        <v>97.34</v>
      </c>
      <c r="EC925" s="2" t="n">
        <v>94.15000000000001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04/08/2028</t>
        </is>
      </c>
      <c r="E926" s="2" t="inlineStr">
        <is>
          <t>18/12/2028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0</v>
      </c>
      <c r="DR926" s="2" t="n">
        <v>0</v>
      </c>
      <c r="DS926" s="2" t="n">
        <v>30.29</v>
      </c>
      <c r="DT926" s="2" t="n">
        <v>35.97</v>
      </c>
      <c r="DU926" s="2" t="n">
        <v>0</v>
      </c>
      <c r="DV926" s="2" t="n">
        <v>63.16</v>
      </c>
      <c r="DW926" s="2" t="n">
        <v>68.95999999999999</v>
      </c>
      <c r="DX926" s="2" t="n">
        <v>0</v>
      </c>
      <c r="DY926" s="2" t="n">
        <v>87.23999999999999</v>
      </c>
      <c r="DZ926" s="2" t="n">
        <v>84.06</v>
      </c>
      <c r="EA926" s="2" t="n">
        <v>0</v>
      </c>
      <c r="EB926" s="2" t="n">
        <v>97.34</v>
      </c>
      <c r="EC926" s="2" t="n">
        <v>94.15000000000001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25/04/2029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5.9</v>
      </c>
      <c r="DI927" s="2" t="n">
        <v>0</v>
      </c>
      <c r="DJ927" s="2" t="n">
        <v>11.76</v>
      </c>
      <c r="DK927" s="2" t="n">
        <v>12.96</v>
      </c>
      <c r="DL927" s="2" t="n">
        <v>0</v>
      </c>
      <c r="DM927" s="2" t="n">
        <v>20.44</v>
      </c>
      <c r="DN927" s="2" t="n">
        <v>21.62</v>
      </c>
      <c r="DO927" s="2" t="n">
        <v>0</v>
      </c>
      <c r="DP927" s="2" t="n">
        <v>29.06</v>
      </c>
      <c r="DQ927" s="2" t="n">
        <v>30.86</v>
      </c>
      <c r="DR927" s="2" t="n">
        <v>0</v>
      </c>
      <c r="DS927" s="2" t="n">
        <v>38.76</v>
      </c>
      <c r="DT927" s="2" t="n">
        <v>39.77</v>
      </c>
      <c r="DU927" s="2" t="n">
        <v>0</v>
      </c>
      <c r="DV927" s="2" t="n">
        <v>46.92</v>
      </c>
      <c r="DW927" s="2" t="n">
        <v>48.69</v>
      </c>
      <c r="DX927" s="2" t="n">
        <v>0</v>
      </c>
      <c r="DY927" s="2" t="n">
        <v>55.35</v>
      </c>
      <c r="DZ927" s="2" t="n">
        <v>57.01</v>
      </c>
      <c r="EA927" s="2" t="n">
        <v>0</v>
      </c>
      <c r="EB927" s="2" t="n">
        <v>62.5</v>
      </c>
      <c r="EC927" s="2" t="n">
        <v>64.41</v>
      </c>
      <c r="ED927" s="2" t="n">
        <v>0</v>
      </c>
      <c r="EE927" s="2" t="n">
        <v>68.02</v>
      </c>
      <c r="EF927" s="2" t="n">
        <v>70.38</v>
      </c>
      <c r="EG927" s="2" t="n">
        <v>0</v>
      </c>
      <c r="EH927" s="2" t="n">
        <v>78.67</v>
      </c>
      <c r="EI927" s="2" t="n">
        <v>80.62</v>
      </c>
      <c r="EJ927" s="2" t="n">
        <v>0</v>
      </c>
      <c r="EK927" s="2" t="n">
        <v>88.23</v>
      </c>
      <c r="EL927" s="2" t="n">
        <v>89.89</v>
      </c>
      <c r="EM927" s="2" t="n">
        <v>0</v>
      </c>
      <c r="EN927" s="2" t="n">
        <v>97.67</v>
      </c>
      <c r="EO927" s="2" t="n">
        <v>98.65000000000001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28/11/2028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</v>
      </c>
      <c r="EA928" s="2" t="n">
        <v>0</v>
      </c>
      <c r="EB928" s="2" t="n">
        <v>0</v>
      </c>
      <c r="EC928" s="2" t="n">
        <v>0.15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31.73</v>
      </c>
      <c r="EJ928" s="2" t="n">
        <v>0</v>
      </c>
      <c r="EK928" s="2" t="n">
        <v>52.87</v>
      </c>
      <c r="EL928" s="2" t="n">
        <v>62.52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28/11/2028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</v>
      </c>
      <c r="EA929" s="2" t="n">
        <v>0</v>
      </c>
      <c r="EB929" s="2" t="n">
        <v>0</v>
      </c>
      <c r="EC929" s="2" t="n">
        <v>0.15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31.73</v>
      </c>
      <c r="EJ929" s="2" t="n">
        <v>0</v>
      </c>
      <c r="EK929" s="2" t="n">
        <v>52.87</v>
      </c>
      <c r="EL929" s="2" t="n">
        <v>62.52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28/11/2028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</v>
      </c>
      <c r="EA930" s="2" t="n">
        <v>0</v>
      </c>
      <c r="EB930" s="2" t="n">
        <v>0</v>
      </c>
      <c r="EC930" s="2" t="n">
        <v>0.15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31.73</v>
      </c>
      <c r="EJ930" s="2" t="n">
        <v>0</v>
      </c>
      <c r="EK930" s="2" t="n">
        <v>52.87</v>
      </c>
      <c r="EL930" s="2" t="n">
        <v>62.52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28/11/2028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</v>
      </c>
      <c r="EA931" s="2" t="n">
        <v>0</v>
      </c>
      <c r="EB931" s="2" t="n">
        <v>0</v>
      </c>
      <c r="EC931" s="2" t="n">
        <v>0.15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31.73</v>
      </c>
      <c r="EJ931" s="2" t="n">
        <v>0</v>
      </c>
      <c r="EK931" s="2" t="n">
        <v>52.87</v>
      </c>
      <c r="EL931" s="2" t="n">
        <v>62.52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20.8</v>
      </c>
      <c r="DO932" s="2" t="n">
        <v>0</v>
      </c>
      <c r="DP932" s="2" t="n">
        <v>28.17</v>
      </c>
      <c r="DQ932" s="2" t="n">
        <v>30.81</v>
      </c>
      <c r="DR932" s="2" t="n">
        <v>0</v>
      </c>
      <c r="DS932" s="2" t="n">
        <v>39.92</v>
      </c>
      <c r="DT932" s="2" t="n">
        <v>40.55</v>
      </c>
      <c r="DU932" s="2" t="n">
        <v>0</v>
      </c>
      <c r="DV932" s="2" t="n">
        <v>48.23</v>
      </c>
      <c r="DW932" s="2" t="n">
        <v>50.24</v>
      </c>
      <c r="DX932" s="2" t="n">
        <v>0</v>
      </c>
      <c r="DY932" s="2" t="n">
        <v>58.47</v>
      </c>
      <c r="DZ932" s="2" t="n">
        <v>60.14</v>
      </c>
      <c r="EA932" s="2" t="n">
        <v>0</v>
      </c>
      <c r="EB932" s="2" t="n">
        <v>66.56999999999999</v>
      </c>
      <c r="EC932" s="2" t="n">
        <v>68.78</v>
      </c>
      <c r="ED932" s="2" t="n">
        <v>0</v>
      </c>
      <c r="EE932" s="2" t="n">
        <v>72.45999999999999</v>
      </c>
      <c r="EF932" s="2" t="n">
        <v>75.44</v>
      </c>
      <c r="EG932" s="2" t="n">
        <v>0</v>
      </c>
      <c r="EH932" s="2" t="n">
        <v>82.62</v>
      </c>
      <c r="EI932" s="2" t="n">
        <v>84.38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20.8</v>
      </c>
      <c r="DO933" s="2" t="n">
        <v>0</v>
      </c>
      <c r="DP933" s="2" t="n">
        <v>28.17</v>
      </c>
      <c r="DQ933" s="2" t="n">
        <v>30.81</v>
      </c>
      <c r="DR933" s="2" t="n">
        <v>0</v>
      </c>
      <c r="DS933" s="2" t="n">
        <v>39.92</v>
      </c>
      <c r="DT933" s="2" t="n">
        <v>40.55</v>
      </c>
      <c r="DU933" s="2" t="n">
        <v>0</v>
      </c>
      <c r="DV933" s="2" t="n">
        <v>48.23</v>
      </c>
      <c r="DW933" s="2" t="n">
        <v>50.24</v>
      </c>
      <c r="DX933" s="2" t="n">
        <v>0</v>
      </c>
      <c r="DY933" s="2" t="n">
        <v>58.47</v>
      </c>
      <c r="DZ933" s="2" t="n">
        <v>60.14</v>
      </c>
      <c r="EA933" s="2" t="n">
        <v>0</v>
      </c>
      <c r="EB933" s="2" t="n">
        <v>66.56999999999999</v>
      </c>
      <c r="EC933" s="2" t="n">
        <v>68.78</v>
      </c>
      <c r="ED933" s="2" t="n">
        <v>0</v>
      </c>
      <c r="EE933" s="2" t="n">
        <v>72.45999999999999</v>
      </c>
      <c r="EF933" s="2" t="n">
        <v>75.44</v>
      </c>
      <c r="EG933" s="2" t="n">
        <v>0</v>
      </c>
      <c r="EH933" s="2" t="n">
        <v>82.62</v>
      </c>
      <c r="EI933" s="2" t="n">
        <v>84.38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20.8</v>
      </c>
      <c r="DO934" s="2" t="n">
        <v>0</v>
      </c>
      <c r="DP934" s="2" t="n">
        <v>28.17</v>
      </c>
      <c r="DQ934" s="2" t="n">
        <v>30.81</v>
      </c>
      <c r="DR934" s="2" t="n">
        <v>0</v>
      </c>
      <c r="DS934" s="2" t="n">
        <v>39.92</v>
      </c>
      <c r="DT934" s="2" t="n">
        <v>40.55</v>
      </c>
      <c r="DU934" s="2" t="n">
        <v>0</v>
      </c>
      <c r="DV934" s="2" t="n">
        <v>48.23</v>
      </c>
      <c r="DW934" s="2" t="n">
        <v>50.24</v>
      </c>
      <c r="DX934" s="2" t="n">
        <v>0</v>
      </c>
      <c r="DY934" s="2" t="n">
        <v>58.47</v>
      </c>
      <c r="DZ934" s="2" t="n">
        <v>60.14</v>
      </c>
      <c r="EA934" s="2" t="n">
        <v>0</v>
      </c>
      <c r="EB934" s="2" t="n">
        <v>66.56999999999999</v>
      </c>
      <c r="EC934" s="2" t="n">
        <v>68.78</v>
      </c>
      <c r="ED934" s="2" t="n">
        <v>0</v>
      </c>
      <c r="EE934" s="2" t="n">
        <v>72.45999999999999</v>
      </c>
      <c r="EF934" s="2" t="n">
        <v>75.44</v>
      </c>
      <c r="EG934" s="2" t="n">
        <v>0</v>
      </c>
      <c r="EH934" s="2" t="n">
        <v>82.62</v>
      </c>
      <c r="EI934" s="2" t="n">
        <v>84.38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20.8</v>
      </c>
      <c r="DO935" s="2" t="n">
        <v>0</v>
      </c>
      <c r="DP935" s="2" t="n">
        <v>28.17</v>
      </c>
      <c r="DQ935" s="2" t="n">
        <v>30.81</v>
      </c>
      <c r="DR935" s="2" t="n">
        <v>0</v>
      </c>
      <c r="DS935" s="2" t="n">
        <v>39.92</v>
      </c>
      <c r="DT935" s="2" t="n">
        <v>40.55</v>
      </c>
      <c r="DU935" s="2" t="n">
        <v>0</v>
      </c>
      <c r="DV935" s="2" t="n">
        <v>48.23</v>
      </c>
      <c r="DW935" s="2" t="n">
        <v>50.24</v>
      </c>
      <c r="DX935" s="2" t="n">
        <v>0</v>
      </c>
      <c r="DY935" s="2" t="n">
        <v>58.47</v>
      </c>
      <c r="DZ935" s="2" t="n">
        <v>60.14</v>
      </c>
      <c r="EA935" s="2" t="n">
        <v>0</v>
      </c>
      <c r="EB935" s="2" t="n">
        <v>66.56999999999999</v>
      </c>
      <c r="EC935" s="2" t="n">
        <v>68.78</v>
      </c>
      <c r="ED935" s="2" t="n">
        <v>0</v>
      </c>
      <c r="EE935" s="2" t="n">
        <v>72.45999999999999</v>
      </c>
      <c r="EF935" s="2" t="n">
        <v>75.44</v>
      </c>
      <c r="EG935" s="2" t="n">
        <v>0</v>
      </c>
      <c r="EH935" s="2" t="n">
        <v>82.62</v>
      </c>
      <c r="EI935" s="2" t="n">
        <v>84.38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20.8</v>
      </c>
      <c r="DO936" s="2" t="n">
        <v>0</v>
      </c>
      <c r="DP936" s="2" t="n">
        <v>28.17</v>
      </c>
      <c r="DQ936" s="2" t="n">
        <v>30.81</v>
      </c>
      <c r="DR936" s="2" t="n">
        <v>0</v>
      </c>
      <c r="DS936" s="2" t="n">
        <v>39.92</v>
      </c>
      <c r="DT936" s="2" t="n">
        <v>40.55</v>
      </c>
      <c r="DU936" s="2" t="n">
        <v>0</v>
      </c>
      <c r="DV936" s="2" t="n">
        <v>48.23</v>
      </c>
      <c r="DW936" s="2" t="n">
        <v>50.24</v>
      </c>
      <c r="DX936" s="2" t="n">
        <v>0</v>
      </c>
      <c r="DY936" s="2" t="n">
        <v>58.47</v>
      </c>
      <c r="DZ936" s="2" t="n">
        <v>60.14</v>
      </c>
      <c r="EA936" s="2" t="n">
        <v>0</v>
      </c>
      <c r="EB936" s="2" t="n">
        <v>66.56999999999999</v>
      </c>
      <c r="EC936" s="2" t="n">
        <v>68.78</v>
      </c>
      <c r="ED936" s="2" t="n">
        <v>0</v>
      </c>
      <c r="EE936" s="2" t="n">
        <v>72.45999999999999</v>
      </c>
      <c r="EF936" s="2" t="n">
        <v>75.44</v>
      </c>
      <c r="EG936" s="2" t="n">
        <v>0</v>
      </c>
      <c r="EH936" s="2" t="n">
        <v>82.62</v>
      </c>
      <c r="EI936" s="2" t="n">
        <v>84.38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20.8</v>
      </c>
      <c r="DO937" s="2" t="n">
        <v>0</v>
      </c>
      <c r="DP937" s="2" t="n">
        <v>28.17</v>
      </c>
      <c r="DQ937" s="2" t="n">
        <v>30.81</v>
      </c>
      <c r="DR937" s="2" t="n">
        <v>0</v>
      </c>
      <c r="DS937" s="2" t="n">
        <v>39.92</v>
      </c>
      <c r="DT937" s="2" t="n">
        <v>40.55</v>
      </c>
      <c r="DU937" s="2" t="n">
        <v>0</v>
      </c>
      <c r="DV937" s="2" t="n">
        <v>48.23</v>
      </c>
      <c r="DW937" s="2" t="n">
        <v>50.24</v>
      </c>
      <c r="DX937" s="2" t="n">
        <v>0</v>
      </c>
      <c r="DY937" s="2" t="n">
        <v>58.47</v>
      </c>
      <c r="DZ937" s="2" t="n">
        <v>60.14</v>
      </c>
      <c r="EA937" s="2" t="n">
        <v>0</v>
      </c>
      <c r="EB937" s="2" t="n">
        <v>66.56999999999999</v>
      </c>
      <c r="EC937" s="2" t="n">
        <v>68.78</v>
      </c>
      <c r="ED937" s="2" t="n">
        <v>0</v>
      </c>
      <c r="EE937" s="2" t="n">
        <v>72.45999999999999</v>
      </c>
      <c r="EF937" s="2" t="n">
        <v>75.44</v>
      </c>
      <c r="EG937" s="2" t="n">
        <v>0</v>
      </c>
      <c r="EH937" s="2" t="n">
        <v>82.62</v>
      </c>
      <c r="EI937" s="2" t="n">
        <v>84.38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8.51</v>
      </c>
      <c r="DI938" s="2" t="n">
        <v>0</v>
      </c>
      <c r="DJ938" s="2" t="n">
        <v>15.11</v>
      </c>
      <c r="DK938" s="2" t="n">
        <v>16.86</v>
      </c>
      <c r="DL938" s="2" t="n">
        <v>0</v>
      </c>
      <c r="DM938" s="2" t="n">
        <v>24.93</v>
      </c>
      <c r="DN938" s="2" t="n">
        <v>26.65</v>
      </c>
      <c r="DO938" s="2" t="n">
        <v>0</v>
      </c>
      <c r="DP938" s="2" t="n">
        <v>34.76</v>
      </c>
      <c r="DQ938" s="2" t="n">
        <v>36.42</v>
      </c>
      <c r="DR938" s="2" t="n">
        <v>0</v>
      </c>
      <c r="DS938" s="2" t="n">
        <v>45.23</v>
      </c>
      <c r="DT938" s="2" t="n">
        <v>46.68</v>
      </c>
      <c r="DU938" s="2" t="n">
        <v>0</v>
      </c>
      <c r="DV938" s="2" t="n">
        <v>54.08</v>
      </c>
      <c r="DW938" s="2" t="n">
        <v>56.06</v>
      </c>
      <c r="DX938" s="2" t="n">
        <v>0</v>
      </c>
      <c r="DY938" s="2" t="n">
        <v>63.15</v>
      </c>
      <c r="DZ938" s="2" t="n">
        <v>65.15000000000001</v>
      </c>
      <c r="EA938" s="2" t="n">
        <v>0</v>
      </c>
      <c r="EB938" s="2" t="n">
        <v>71.20999999999999</v>
      </c>
      <c r="EC938" s="2" t="n">
        <v>73.31999999999999</v>
      </c>
      <c r="ED938" s="2" t="n">
        <v>0</v>
      </c>
      <c r="EE938" s="2" t="n">
        <v>77.59999999999999</v>
      </c>
      <c r="EF938" s="2" t="n">
        <v>79.73999999999999</v>
      </c>
      <c r="EG938" s="2" t="n">
        <v>0</v>
      </c>
      <c r="EH938" s="2" t="n">
        <v>87.22</v>
      </c>
      <c r="EI938" s="2" t="n">
        <v>88.98999999999999</v>
      </c>
      <c r="EJ938" s="2" t="n">
        <v>0</v>
      </c>
      <c r="EK938" s="2" t="n">
        <v>94.48</v>
      </c>
      <c r="EL938" s="2" t="n">
        <v>95.25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8.51</v>
      </c>
      <c r="DI939" s="2" t="n">
        <v>0</v>
      </c>
      <c r="DJ939" s="2" t="n">
        <v>15.11</v>
      </c>
      <c r="DK939" s="2" t="n">
        <v>16.86</v>
      </c>
      <c r="DL939" s="2" t="n">
        <v>0</v>
      </c>
      <c r="DM939" s="2" t="n">
        <v>24.93</v>
      </c>
      <c r="DN939" s="2" t="n">
        <v>26.65</v>
      </c>
      <c r="DO939" s="2" t="n">
        <v>0</v>
      </c>
      <c r="DP939" s="2" t="n">
        <v>34.76</v>
      </c>
      <c r="DQ939" s="2" t="n">
        <v>36.42</v>
      </c>
      <c r="DR939" s="2" t="n">
        <v>0</v>
      </c>
      <c r="DS939" s="2" t="n">
        <v>45.23</v>
      </c>
      <c r="DT939" s="2" t="n">
        <v>46.68</v>
      </c>
      <c r="DU939" s="2" t="n">
        <v>0</v>
      </c>
      <c r="DV939" s="2" t="n">
        <v>54.08</v>
      </c>
      <c r="DW939" s="2" t="n">
        <v>56.06</v>
      </c>
      <c r="DX939" s="2" t="n">
        <v>0</v>
      </c>
      <c r="DY939" s="2" t="n">
        <v>63.15</v>
      </c>
      <c r="DZ939" s="2" t="n">
        <v>65.15000000000001</v>
      </c>
      <c r="EA939" s="2" t="n">
        <v>0</v>
      </c>
      <c r="EB939" s="2" t="n">
        <v>71.20999999999999</v>
      </c>
      <c r="EC939" s="2" t="n">
        <v>73.31999999999999</v>
      </c>
      <c r="ED939" s="2" t="n">
        <v>0</v>
      </c>
      <c r="EE939" s="2" t="n">
        <v>77.59999999999999</v>
      </c>
      <c r="EF939" s="2" t="n">
        <v>79.73999999999999</v>
      </c>
      <c r="EG939" s="2" t="n">
        <v>0</v>
      </c>
      <c r="EH939" s="2" t="n">
        <v>87.22</v>
      </c>
      <c r="EI939" s="2" t="n">
        <v>88.98999999999999</v>
      </c>
      <c r="EJ939" s="2" t="n">
        <v>0</v>
      </c>
      <c r="EK939" s="2" t="n">
        <v>94.48</v>
      </c>
      <c r="EL939" s="2" t="n">
        <v>95.25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8.51</v>
      </c>
      <c r="DI940" s="2" t="n">
        <v>0</v>
      </c>
      <c r="DJ940" s="2" t="n">
        <v>15.11</v>
      </c>
      <c r="DK940" s="2" t="n">
        <v>16.86</v>
      </c>
      <c r="DL940" s="2" t="n">
        <v>0</v>
      </c>
      <c r="DM940" s="2" t="n">
        <v>24.93</v>
      </c>
      <c r="DN940" s="2" t="n">
        <v>26.65</v>
      </c>
      <c r="DO940" s="2" t="n">
        <v>0</v>
      </c>
      <c r="DP940" s="2" t="n">
        <v>34.76</v>
      </c>
      <c r="DQ940" s="2" t="n">
        <v>36.42</v>
      </c>
      <c r="DR940" s="2" t="n">
        <v>0</v>
      </c>
      <c r="DS940" s="2" t="n">
        <v>45.23</v>
      </c>
      <c r="DT940" s="2" t="n">
        <v>46.68</v>
      </c>
      <c r="DU940" s="2" t="n">
        <v>0</v>
      </c>
      <c r="DV940" s="2" t="n">
        <v>54.08</v>
      </c>
      <c r="DW940" s="2" t="n">
        <v>56.06</v>
      </c>
      <c r="DX940" s="2" t="n">
        <v>0</v>
      </c>
      <c r="DY940" s="2" t="n">
        <v>63.15</v>
      </c>
      <c r="DZ940" s="2" t="n">
        <v>65.15000000000001</v>
      </c>
      <c r="EA940" s="2" t="n">
        <v>0</v>
      </c>
      <c r="EB940" s="2" t="n">
        <v>71.20999999999999</v>
      </c>
      <c r="EC940" s="2" t="n">
        <v>73.31999999999999</v>
      </c>
      <c r="ED940" s="2" t="n">
        <v>0</v>
      </c>
      <c r="EE940" s="2" t="n">
        <v>77.59999999999999</v>
      </c>
      <c r="EF940" s="2" t="n">
        <v>79.73999999999999</v>
      </c>
      <c r="EG940" s="2" t="n">
        <v>0</v>
      </c>
      <c r="EH940" s="2" t="n">
        <v>87.22</v>
      </c>
      <c r="EI940" s="2" t="n">
        <v>88.98999999999999</v>
      </c>
      <c r="EJ940" s="2" t="n">
        <v>0</v>
      </c>
      <c r="EK940" s="2" t="n">
        <v>94.48</v>
      </c>
      <c r="EL940" s="2" t="n">
        <v>95.25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8.51</v>
      </c>
      <c r="DI941" s="2" t="n">
        <v>0</v>
      </c>
      <c r="DJ941" s="2" t="n">
        <v>15.11</v>
      </c>
      <c r="DK941" s="2" t="n">
        <v>16.86</v>
      </c>
      <c r="DL941" s="2" t="n">
        <v>0</v>
      </c>
      <c r="DM941" s="2" t="n">
        <v>24.93</v>
      </c>
      <c r="DN941" s="2" t="n">
        <v>26.65</v>
      </c>
      <c r="DO941" s="2" t="n">
        <v>0</v>
      </c>
      <c r="DP941" s="2" t="n">
        <v>34.76</v>
      </c>
      <c r="DQ941" s="2" t="n">
        <v>36.42</v>
      </c>
      <c r="DR941" s="2" t="n">
        <v>0</v>
      </c>
      <c r="DS941" s="2" t="n">
        <v>45.23</v>
      </c>
      <c r="DT941" s="2" t="n">
        <v>46.68</v>
      </c>
      <c r="DU941" s="2" t="n">
        <v>0</v>
      </c>
      <c r="DV941" s="2" t="n">
        <v>54.08</v>
      </c>
      <c r="DW941" s="2" t="n">
        <v>56.06</v>
      </c>
      <c r="DX941" s="2" t="n">
        <v>0</v>
      </c>
      <c r="DY941" s="2" t="n">
        <v>63.15</v>
      </c>
      <c r="DZ941" s="2" t="n">
        <v>65.15000000000001</v>
      </c>
      <c r="EA941" s="2" t="n">
        <v>0</v>
      </c>
      <c r="EB941" s="2" t="n">
        <v>71.20999999999999</v>
      </c>
      <c r="EC941" s="2" t="n">
        <v>73.31999999999999</v>
      </c>
      <c r="ED941" s="2" t="n">
        <v>0</v>
      </c>
      <c r="EE941" s="2" t="n">
        <v>77.59999999999999</v>
      </c>
      <c r="EF941" s="2" t="n">
        <v>79.73999999999999</v>
      </c>
      <c r="EG941" s="2" t="n">
        <v>0</v>
      </c>
      <c r="EH941" s="2" t="n">
        <v>87.22</v>
      </c>
      <c r="EI941" s="2" t="n">
        <v>88.98999999999999</v>
      </c>
      <c r="EJ941" s="2" t="n">
        <v>0</v>
      </c>
      <c r="EK941" s="2" t="n">
        <v>94.48</v>
      </c>
      <c r="EL941" s="2" t="n">
        <v>95.25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8.51</v>
      </c>
      <c r="DI942" s="2" t="n">
        <v>0</v>
      </c>
      <c r="DJ942" s="2" t="n">
        <v>15.11</v>
      </c>
      <c r="DK942" s="2" t="n">
        <v>16.86</v>
      </c>
      <c r="DL942" s="2" t="n">
        <v>0</v>
      </c>
      <c r="DM942" s="2" t="n">
        <v>24.93</v>
      </c>
      <c r="DN942" s="2" t="n">
        <v>26.65</v>
      </c>
      <c r="DO942" s="2" t="n">
        <v>0</v>
      </c>
      <c r="DP942" s="2" t="n">
        <v>34.76</v>
      </c>
      <c r="DQ942" s="2" t="n">
        <v>36.42</v>
      </c>
      <c r="DR942" s="2" t="n">
        <v>0</v>
      </c>
      <c r="DS942" s="2" t="n">
        <v>45.23</v>
      </c>
      <c r="DT942" s="2" t="n">
        <v>46.68</v>
      </c>
      <c r="DU942" s="2" t="n">
        <v>0</v>
      </c>
      <c r="DV942" s="2" t="n">
        <v>54.08</v>
      </c>
      <c r="DW942" s="2" t="n">
        <v>56.06</v>
      </c>
      <c r="DX942" s="2" t="n">
        <v>0</v>
      </c>
      <c r="DY942" s="2" t="n">
        <v>63.15</v>
      </c>
      <c r="DZ942" s="2" t="n">
        <v>65.15000000000001</v>
      </c>
      <c r="EA942" s="2" t="n">
        <v>0</v>
      </c>
      <c r="EB942" s="2" t="n">
        <v>71.20999999999999</v>
      </c>
      <c r="EC942" s="2" t="n">
        <v>73.31999999999999</v>
      </c>
      <c r="ED942" s="2" t="n">
        <v>0</v>
      </c>
      <c r="EE942" s="2" t="n">
        <v>77.59999999999999</v>
      </c>
      <c r="EF942" s="2" t="n">
        <v>79.73999999999999</v>
      </c>
      <c r="EG942" s="2" t="n">
        <v>0</v>
      </c>
      <c r="EH942" s="2" t="n">
        <v>87.22</v>
      </c>
      <c r="EI942" s="2" t="n">
        <v>88.98999999999999</v>
      </c>
      <c r="EJ942" s="2" t="n">
        <v>0</v>
      </c>
      <c r="EK942" s="2" t="n">
        <v>94.48</v>
      </c>
      <c r="EL942" s="2" t="n">
        <v>95.25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8.51</v>
      </c>
      <c r="DI943" s="2" t="n">
        <v>0</v>
      </c>
      <c r="DJ943" s="2" t="n">
        <v>15.11</v>
      </c>
      <c r="DK943" s="2" t="n">
        <v>16.86</v>
      </c>
      <c r="DL943" s="2" t="n">
        <v>0</v>
      </c>
      <c r="DM943" s="2" t="n">
        <v>24.93</v>
      </c>
      <c r="DN943" s="2" t="n">
        <v>26.65</v>
      </c>
      <c r="DO943" s="2" t="n">
        <v>0</v>
      </c>
      <c r="DP943" s="2" t="n">
        <v>34.76</v>
      </c>
      <c r="DQ943" s="2" t="n">
        <v>36.42</v>
      </c>
      <c r="DR943" s="2" t="n">
        <v>0</v>
      </c>
      <c r="DS943" s="2" t="n">
        <v>45.23</v>
      </c>
      <c r="DT943" s="2" t="n">
        <v>46.68</v>
      </c>
      <c r="DU943" s="2" t="n">
        <v>0</v>
      </c>
      <c r="DV943" s="2" t="n">
        <v>54.08</v>
      </c>
      <c r="DW943" s="2" t="n">
        <v>56.06</v>
      </c>
      <c r="DX943" s="2" t="n">
        <v>0</v>
      </c>
      <c r="DY943" s="2" t="n">
        <v>63.15</v>
      </c>
      <c r="DZ943" s="2" t="n">
        <v>65.15000000000001</v>
      </c>
      <c r="EA943" s="2" t="n">
        <v>0</v>
      </c>
      <c r="EB943" s="2" t="n">
        <v>71.20999999999999</v>
      </c>
      <c r="EC943" s="2" t="n">
        <v>73.31999999999999</v>
      </c>
      <c r="ED943" s="2" t="n">
        <v>0</v>
      </c>
      <c r="EE943" s="2" t="n">
        <v>77.59999999999999</v>
      </c>
      <c r="EF943" s="2" t="n">
        <v>79.73999999999999</v>
      </c>
      <c r="EG943" s="2" t="n">
        <v>0</v>
      </c>
      <c r="EH943" s="2" t="n">
        <v>87.22</v>
      </c>
      <c r="EI943" s="2" t="n">
        <v>88.98999999999999</v>
      </c>
      <c r="EJ943" s="2" t="n">
        <v>0</v>
      </c>
      <c r="EK943" s="2" t="n">
        <v>94.48</v>
      </c>
      <c r="EL943" s="2" t="n">
        <v>95.25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8.51</v>
      </c>
      <c r="DI944" s="2" t="n">
        <v>0</v>
      </c>
      <c r="DJ944" s="2" t="n">
        <v>15.11</v>
      </c>
      <c r="DK944" s="2" t="n">
        <v>16.86</v>
      </c>
      <c r="DL944" s="2" t="n">
        <v>0</v>
      </c>
      <c r="DM944" s="2" t="n">
        <v>24.93</v>
      </c>
      <c r="DN944" s="2" t="n">
        <v>26.65</v>
      </c>
      <c r="DO944" s="2" t="n">
        <v>0</v>
      </c>
      <c r="DP944" s="2" t="n">
        <v>34.76</v>
      </c>
      <c r="DQ944" s="2" t="n">
        <v>36.42</v>
      </c>
      <c r="DR944" s="2" t="n">
        <v>0</v>
      </c>
      <c r="DS944" s="2" t="n">
        <v>45.23</v>
      </c>
      <c r="DT944" s="2" t="n">
        <v>46.68</v>
      </c>
      <c r="DU944" s="2" t="n">
        <v>0</v>
      </c>
      <c r="DV944" s="2" t="n">
        <v>54.08</v>
      </c>
      <c r="DW944" s="2" t="n">
        <v>56.06</v>
      </c>
      <c r="DX944" s="2" t="n">
        <v>0</v>
      </c>
      <c r="DY944" s="2" t="n">
        <v>63.15</v>
      </c>
      <c r="DZ944" s="2" t="n">
        <v>65.15000000000001</v>
      </c>
      <c r="EA944" s="2" t="n">
        <v>0</v>
      </c>
      <c r="EB944" s="2" t="n">
        <v>71.20999999999999</v>
      </c>
      <c r="EC944" s="2" t="n">
        <v>73.31999999999999</v>
      </c>
      <c r="ED944" s="2" t="n">
        <v>0</v>
      </c>
      <c r="EE944" s="2" t="n">
        <v>77.59999999999999</v>
      </c>
      <c r="EF944" s="2" t="n">
        <v>79.73999999999999</v>
      </c>
      <c r="EG944" s="2" t="n">
        <v>0</v>
      </c>
      <c r="EH944" s="2" t="n">
        <v>87.22</v>
      </c>
      <c r="EI944" s="2" t="n">
        <v>88.98999999999999</v>
      </c>
      <c r="EJ944" s="2" t="n">
        <v>0</v>
      </c>
      <c r="EK944" s="2" t="n">
        <v>94.48</v>
      </c>
      <c r="EL944" s="2" t="n">
        <v>95.25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/>
  </sheetPr>
  <dimension ref="A1:BW42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52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28">
        <f>COUNTIF('CURVA PREVISION'!$I$2:$KZ$2,"??/??/????")+COUNT('CURVA PREVISION'!$I$2:$KZ$2)</f>
        <v/>
      </c>
    </row>
    <row r="3">
      <c r="C3" s="49" t="inlineStr">
        <is>
          <t>índice do mês →</t>
        </is>
      </c>
      <c r="D3" s="53">
        <f>IF($B$2="","",(YEAR(D4)-YEAR($B$2))*12+MONTH(D4)-MONTH($B$2))</f>
        <v/>
      </c>
      <c r="E3" s="53">
        <f>IF($B$2="","",(YEAR(E4)-YEAR($B$2))*12+MONTH(E4)-MONTH($B$2))</f>
        <v/>
      </c>
      <c r="F3" s="53">
        <f>IF($B$2="","",(YEAR(F4)-YEAR($B$2))*12+MONTH(F4)-MONTH($B$2))</f>
        <v/>
      </c>
      <c r="G3" s="53">
        <f>IF($B$2="","",(YEAR(G4)-YEAR($B$2))*12+MONTH(G4)-MONTH($B$2))</f>
        <v/>
      </c>
      <c r="H3" s="53">
        <f>IF($B$2="","",(YEAR(H4)-YEAR($B$2))*12+MONTH(H4)-MONTH($B$2))</f>
        <v/>
      </c>
      <c r="I3" s="53">
        <f>IF($B$2="","",(YEAR(I4)-YEAR($B$2))*12+MONTH(I4)-MONTH($B$2))</f>
        <v/>
      </c>
      <c r="J3" s="53">
        <f>IF($B$2="","",(YEAR(J4)-YEAR($B$2))*12+MONTH(J4)-MONTH($B$2))</f>
        <v/>
      </c>
      <c r="K3" s="53">
        <f>IF($B$2="","",(YEAR(K4)-YEAR($B$2))*12+MONTH(K4)-MONTH($B$2))</f>
        <v/>
      </c>
      <c r="L3" s="53">
        <f>IF($B$2="","",(YEAR(L4)-YEAR($B$2))*12+MONTH(L4)-MONTH($B$2))</f>
        <v/>
      </c>
      <c r="M3" s="53">
        <f>IF($B$2="","",(YEAR(M4)-YEAR($B$2))*12+MONTH(M4)-MONTH($B$2))</f>
        <v/>
      </c>
      <c r="N3" s="53">
        <f>IF($B$2="","",(YEAR(N4)-YEAR($B$2))*12+MONTH(N4)-MONTH($B$2))</f>
        <v/>
      </c>
      <c r="O3" s="53">
        <f>IF($B$2="","",(YEAR(O4)-YEAR($B$2))*12+MONTH(O4)-MONTH($B$2))</f>
        <v/>
      </c>
      <c r="P3" s="53">
        <f>IF($B$2="","",(YEAR(P4)-YEAR($B$2))*12+MONTH(P4)-MONTH($B$2))</f>
        <v/>
      </c>
      <c r="Q3" s="53">
        <f>IF($B$2="","",(YEAR(Q4)-YEAR($B$2))*12+MONTH(Q4)-MONTH($B$2))</f>
        <v/>
      </c>
      <c r="R3" s="53">
        <f>IF($B$2="","",(YEAR(R4)-YEAR($B$2))*12+MONTH(R4)-MONTH($B$2))</f>
        <v/>
      </c>
      <c r="S3" s="53">
        <f>IF($B$2="","",(YEAR(S4)-YEAR($B$2))*12+MONTH(S4)-MONTH($B$2))</f>
        <v/>
      </c>
      <c r="T3" s="53">
        <f>IF($B$2="","",(YEAR(T4)-YEAR($B$2))*12+MONTH(T4)-MONTH($B$2))</f>
        <v/>
      </c>
      <c r="U3" s="53">
        <f>IF($B$2="","",(YEAR(U4)-YEAR($B$2))*12+MONTH(U4)-MONTH($B$2))</f>
        <v/>
      </c>
      <c r="V3" s="53">
        <f>IF($B$2="","",(YEAR(V4)-YEAR($B$2))*12+MONTH(V4)-MONTH($B$2))</f>
        <v/>
      </c>
      <c r="W3" s="53">
        <f>IF($B$2="","",(YEAR(W4)-YEAR($B$2))*12+MONTH(W4)-MONTH($B$2))</f>
        <v/>
      </c>
      <c r="X3" s="53">
        <f>IF($B$2="","",(YEAR(X4)-YEAR($B$2))*12+MONTH(X4)-MONTH($B$2))</f>
        <v/>
      </c>
      <c r="Y3" s="53">
        <f>IF($B$2="","",(YEAR(Y4)-YEAR($B$2))*12+MONTH(Y4)-MONTH($B$2))</f>
        <v/>
      </c>
      <c r="Z3" s="53">
        <f>IF($B$2="","",(YEAR(Z4)-YEAR($B$2))*12+MONTH(Z4)-MONTH($B$2))</f>
        <v/>
      </c>
      <c r="AA3" s="53">
        <f>IF($B$2="","",(YEAR(AA4)-YEAR($B$2))*12+MONTH(AA4)-MONTH($B$2))</f>
        <v/>
      </c>
      <c r="AB3" s="53">
        <f>IF($B$2="","",(YEAR(AB4)-YEAR($B$2))*12+MONTH(AB4)-MONTH($B$2))</f>
        <v/>
      </c>
      <c r="AC3" s="53">
        <f>IF($B$2="","",(YEAR(AC4)-YEAR($B$2))*12+MONTH(AC4)-MONTH($B$2))</f>
        <v/>
      </c>
      <c r="AD3" s="53">
        <f>IF($B$2="","",(YEAR(AD4)-YEAR($B$2))*12+MONTH(AD4)-MONTH($B$2))</f>
        <v/>
      </c>
      <c r="AE3" s="53">
        <f>IF($B$2="","",(YEAR(AE4)-YEAR($B$2))*12+MONTH(AE4)-MONTH($B$2))</f>
        <v/>
      </c>
      <c r="AF3" s="53">
        <f>IF($B$2="","",(YEAR(AF4)-YEAR($B$2))*12+MONTH(AF4)-MONTH($B$2))</f>
        <v/>
      </c>
      <c r="AG3" s="53">
        <f>IF($B$2="","",(YEAR(AG4)-YEAR($B$2))*12+MONTH(AG4)-MONTH($B$2))</f>
        <v/>
      </c>
      <c r="AH3" s="53">
        <f>IF($B$2="","",(YEAR(AH4)-YEAR($B$2))*12+MONTH(AH4)-MONTH($B$2))</f>
        <v/>
      </c>
      <c r="AI3" s="53">
        <f>IF($B$2="","",(YEAR(AI4)-YEAR($B$2))*12+MONTH(AI4)-MONTH($B$2))</f>
        <v/>
      </c>
      <c r="AJ3" s="53">
        <f>IF($B$2="","",(YEAR(AJ4)-YEAR($B$2))*12+MONTH(AJ4)-MONTH($B$2))</f>
        <v/>
      </c>
      <c r="AK3" s="53">
        <f>IF($B$2="","",(YEAR(AK4)-YEAR($B$2))*12+MONTH(AK4)-MONTH($B$2))</f>
        <v/>
      </c>
      <c r="AL3" s="53">
        <f>IF($B$2="","",(YEAR(AL4)-YEAR($B$2))*12+MONTH(AL4)-MONTH($B$2))</f>
        <v/>
      </c>
      <c r="AM3" s="53">
        <f>IF($B$2="","",(YEAR(AM4)-YEAR($B$2))*12+MONTH(AM4)-MONTH($B$2))</f>
        <v/>
      </c>
      <c r="AN3" s="53">
        <f>IF($B$2="","",(YEAR(AN4)-YEAR($B$2))*12+MONTH(AN4)-MONTH($B$2))</f>
        <v/>
      </c>
      <c r="AO3" s="53">
        <f>IF($B$2="","",(YEAR(AO4)-YEAR($B$2))*12+MONTH(AO4)-MONTH($B$2))</f>
        <v/>
      </c>
      <c r="AP3" s="53">
        <f>IF($B$2="","",(YEAR(AP4)-YEAR($B$2))*12+MONTH(AP4)-MONTH($B$2))</f>
        <v/>
      </c>
      <c r="AQ3" s="53">
        <f>IF($B$2="","",(YEAR(AQ4)-YEAR($B$2))*12+MONTH(AQ4)-MONTH($B$2))</f>
        <v/>
      </c>
      <c r="AR3" s="53">
        <f>IF($B$2="","",(YEAR(AR4)-YEAR($B$2))*12+MONTH(AR4)-MONTH($B$2))</f>
        <v/>
      </c>
      <c r="AS3" s="53">
        <f>IF($B$2="","",(YEAR(AS4)-YEAR($B$2))*12+MONTH(AS4)-MONTH($B$2))</f>
        <v/>
      </c>
      <c r="AT3" s="53">
        <f>IF($B$2="","",(YEAR(AT4)-YEAR($B$2))*12+MONTH(AT4)-MONTH($B$2))</f>
        <v/>
      </c>
      <c r="AU3" s="53">
        <f>IF($B$2="","",(YEAR(AU4)-YEAR($B$2))*12+MONTH(AU4)-MONTH($B$2))</f>
        <v/>
      </c>
      <c r="AV3" s="53">
        <f>IF($B$2="","",(YEAR(AV4)-YEAR($B$2))*12+MONTH(AV4)-MONTH($B$2))</f>
        <v/>
      </c>
      <c r="AW3" s="53">
        <f>IF($B$2="","",(YEAR(AW4)-YEAR($B$2))*12+MONTH(AW4)-MONTH($B$2))</f>
        <v/>
      </c>
      <c r="AX3" s="53">
        <f>IF($B$2="","",(YEAR(AX4)-YEAR($B$2))*12+MONTH(AX4)-MONTH($B$2))</f>
        <v/>
      </c>
      <c r="AY3" s="53">
        <f>IF($B$2="","",(YEAR(AY4)-YEAR($B$2))*12+MONTH(AY4)-MONTH($B$2))</f>
        <v/>
      </c>
      <c r="AZ3" s="53">
        <f>IF($B$2="","",(YEAR(AZ4)-YEAR($B$2))*12+MONTH(AZ4)-MONTH($B$2))</f>
        <v/>
      </c>
      <c r="BA3" s="53">
        <f>IF($B$2="","",(YEAR(BA4)-YEAR($B$2))*12+MONTH(BA4)-MONTH($B$2))</f>
        <v/>
      </c>
      <c r="BB3" s="53">
        <f>IF($B$2="","",(YEAR(BB4)-YEAR($B$2))*12+MONTH(BB4)-MONTH($B$2))</f>
        <v/>
      </c>
      <c r="BC3" s="53">
        <f>IF($B$2="","",(YEAR(BC4)-YEAR($B$2))*12+MONTH(BC4)-MONTH($B$2))</f>
        <v/>
      </c>
      <c r="BD3" s="53">
        <f>IF($B$2="","",(YEAR(BD4)-YEAR($B$2))*12+MONTH(BD4)-MONTH($B$2))</f>
        <v/>
      </c>
      <c r="BE3" s="53">
        <f>IF($B$2="","",(YEAR(BE4)-YEAR($B$2))*12+MONTH(BE4)-MONTH($B$2))</f>
        <v/>
      </c>
      <c r="BF3" s="53">
        <f>IF($B$2="","",(YEAR(BF4)-YEAR($B$2))*12+MONTH(BF4)-MONTH($B$2))</f>
        <v/>
      </c>
      <c r="BG3" s="53">
        <f>IF($B$2="","",(YEAR(BG4)-YEAR($B$2))*12+MONTH(BG4)-MONTH($B$2))</f>
        <v/>
      </c>
      <c r="BH3" s="53">
        <f>IF($B$2="","",(YEAR(BH4)-YEAR($B$2))*12+MONTH(BH4)-MONTH($B$2))</f>
        <v/>
      </c>
      <c r="BI3" s="53">
        <f>IF($B$2="","",(YEAR(BI4)-YEAR($B$2))*12+MONTH(BI4)-MONTH($B$2))</f>
        <v/>
      </c>
      <c r="BJ3" s="53">
        <f>IF($B$2="","",(YEAR(BJ4)-YEAR($B$2))*12+MONTH(BJ4)-MONTH($B$2))</f>
        <v/>
      </c>
      <c r="BK3" s="53">
        <f>IF($B$2="","",(YEAR(BK4)-YEAR($B$2))*12+MONTH(BK4)-MONTH($B$2))</f>
        <v/>
      </c>
      <c r="BL3" s="53">
        <f>IF($B$2="","",(YEAR(BL4)-YEAR($B$2))*12+MONTH(BL4)-MONTH($B$2))</f>
        <v/>
      </c>
      <c r="BM3" s="53">
        <f>IF($B$2="","",(YEAR(BM4)-YEAR($B$2))*12+MONTH(BM4)-MONTH($B$2))</f>
        <v/>
      </c>
      <c r="BN3" s="53">
        <f>IF($B$2="","",(YEAR(BN4)-YEAR($B$2))*12+MONTH(BN4)-MONTH($B$2))</f>
        <v/>
      </c>
      <c r="BO3" s="53">
        <f>IF($B$2="","",(YEAR(BO4)-YEAR($B$2))*12+MONTH(BO4)-MONTH($B$2))</f>
        <v/>
      </c>
      <c r="BP3" s="53">
        <f>IF($B$2="","",(YEAR(BP4)-YEAR($B$2))*12+MONTH(BP4)-MONTH($B$2))</f>
        <v/>
      </c>
      <c r="BQ3" s="53">
        <f>IF($B$2="","",(YEAR(BQ4)-YEAR($B$2))*12+MONTH(BQ4)-MONTH($B$2))</f>
        <v/>
      </c>
      <c r="BR3" s="53">
        <f>IF($B$2="","",(YEAR(BR4)-YEAR($B$2))*12+MONTH(BR4)-MONTH($B$2))</f>
        <v/>
      </c>
      <c r="BS3" s="53">
        <f>IF($B$2="","",(YEAR(BS4)-YEAR($B$2))*12+MONTH(BS4)-MONTH($B$2))</f>
        <v/>
      </c>
      <c r="BT3" s="53">
        <f>IF($B$2="","",(YEAR(BT4)-YEAR($B$2))*12+MONTH(BT4)-MONTH($B$2))</f>
        <v/>
      </c>
      <c r="BU3" s="53">
        <f>IF($B$2="","",(YEAR(BU4)-YEAR($B$2))*12+MONTH(BU4)-MONTH($B$2))</f>
        <v/>
      </c>
      <c r="BV3" s="53">
        <f>IF($B$2="","",(YEAR(BV4)-YEAR($B$2))*12+MONTH(BV4)-MONTH($B$2))</f>
        <v/>
      </c>
      <c r="BW3" s="53">
        <f>IF($B$2="","",(YEAR(BW4)-YEAR($B$2))*12+MONTH(BW4)-MONTH($B$2))</f>
        <v/>
      </c>
    </row>
    <row r="4" ht="32" customHeight="1">
      <c r="A4" s="20" t="inlineStr">
        <is>
          <t>PL</t>
        </is>
      </c>
      <c r="B4" s="20" t="inlineStr">
        <is>
          <t>DESCRIÇÃO</t>
        </is>
      </c>
      <c r="C4" s="20" t="inlineStr">
        <is>
          <t>LINHA NO
PREVISION</t>
        </is>
      </c>
      <c r="D4" s="54">
        <f>'MODELO PARA BI'!H1</f>
        <v/>
      </c>
      <c r="E4" s="54">
        <f>'MODELO PARA BI'!I1</f>
        <v/>
      </c>
      <c r="F4" s="54">
        <f>'MODELO PARA BI'!J1</f>
        <v/>
      </c>
      <c r="G4" s="54">
        <f>'MODELO PARA BI'!K1</f>
        <v/>
      </c>
      <c r="H4" s="54">
        <f>'MODELO PARA BI'!L1</f>
        <v/>
      </c>
      <c r="I4" s="54">
        <f>'MODELO PARA BI'!M1</f>
        <v/>
      </c>
      <c r="J4" s="54">
        <f>'MODELO PARA BI'!N1</f>
        <v/>
      </c>
      <c r="K4" s="54">
        <f>'MODELO PARA BI'!O1</f>
        <v/>
      </c>
      <c r="L4" s="54">
        <f>'MODELO PARA BI'!P1</f>
        <v/>
      </c>
      <c r="M4" s="54">
        <f>'MODELO PARA BI'!Q1</f>
        <v/>
      </c>
      <c r="N4" s="54">
        <f>'MODELO PARA BI'!R1</f>
        <v/>
      </c>
      <c r="O4" s="54">
        <f>'MODELO PARA BI'!S1</f>
        <v/>
      </c>
      <c r="P4" s="54">
        <f>'MODELO PARA BI'!T1</f>
        <v/>
      </c>
      <c r="Q4" s="54">
        <f>'MODELO PARA BI'!U1</f>
        <v/>
      </c>
      <c r="R4" s="54">
        <f>'MODELO PARA BI'!V1</f>
        <v/>
      </c>
      <c r="S4" s="54">
        <f>'MODELO PARA BI'!W1</f>
        <v/>
      </c>
      <c r="T4" s="54">
        <f>'MODELO PARA BI'!X1</f>
        <v/>
      </c>
      <c r="U4" s="54">
        <f>'MODELO PARA BI'!Y1</f>
        <v/>
      </c>
      <c r="V4" s="54">
        <f>'MODELO PARA BI'!Z1</f>
        <v/>
      </c>
      <c r="W4" s="54">
        <f>'MODELO PARA BI'!AA1</f>
        <v/>
      </c>
      <c r="X4" s="54">
        <f>'MODELO PARA BI'!AB1</f>
        <v/>
      </c>
      <c r="Y4" s="54">
        <f>'MODELO PARA BI'!AC1</f>
        <v/>
      </c>
      <c r="Z4" s="54">
        <f>'MODELO PARA BI'!AD1</f>
        <v/>
      </c>
      <c r="AA4" s="54">
        <f>'MODELO PARA BI'!AE1</f>
        <v/>
      </c>
      <c r="AB4" s="54">
        <f>'MODELO PARA BI'!AF1</f>
        <v/>
      </c>
      <c r="AC4" s="54">
        <f>'MODELO PARA BI'!AG1</f>
        <v/>
      </c>
      <c r="AD4" s="54">
        <f>'MODELO PARA BI'!AH1</f>
        <v/>
      </c>
      <c r="AE4" s="54">
        <f>'MODELO PARA BI'!AI1</f>
        <v/>
      </c>
      <c r="AF4" s="54">
        <f>'MODELO PARA BI'!AJ1</f>
        <v/>
      </c>
      <c r="AG4" s="54">
        <f>'MODELO PARA BI'!AK1</f>
        <v/>
      </c>
      <c r="AH4" s="54">
        <f>'MODELO PARA BI'!AL1</f>
        <v/>
      </c>
      <c r="AI4" s="54">
        <f>'MODELO PARA BI'!AM1</f>
        <v/>
      </c>
      <c r="AJ4" s="54">
        <f>'MODELO PARA BI'!AN1</f>
        <v/>
      </c>
      <c r="AK4" s="54">
        <f>'MODELO PARA BI'!AO1</f>
        <v/>
      </c>
      <c r="AL4" s="54">
        <f>'MODELO PARA BI'!AP1</f>
        <v/>
      </c>
      <c r="AM4" s="54">
        <f>'MODELO PARA BI'!AQ1</f>
        <v/>
      </c>
      <c r="AN4" s="54">
        <f>'MODELO PARA BI'!AR1</f>
        <v/>
      </c>
      <c r="AO4" s="54">
        <f>'MODELO PARA BI'!AS1</f>
        <v/>
      </c>
      <c r="AP4" s="54">
        <f>'MODELO PARA BI'!AT1</f>
        <v/>
      </c>
      <c r="AQ4" s="54">
        <f>'MODELO PARA BI'!AU1</f>
        <v/>
      </c>
      <c r="AR4" s="54">
        <f>'MODELO PARA BI'!AV1</f>
        <v/>
      </c>
      <c r="AS4" s="54">
        <f>'MODELO PARA BI'!AW1</f>
        <v/>
      </c>
      <c r="AT4" s="54">
        <f>'MODELO PARA BI'!AX1</f>
        <v/>
      </c>
      <c r="AU4" s="54">
        <f>'MODELO PARA BI'!AY1</f>
        <v/>
      </c>
      <c r="AV4" s="54">
        <f>'MODELO PARA BI'!AZ1</f>
        <v/>
      </c>
      <c r="AW4" s="54">
        <f>'MODELO PARA BI'!BA1</f>
        <v/>
      </c>
      <c r="AX4" s="54">
        <f>'MODELO PARA BI'!BB1</f>
        <v/>
      </c>
      <c r="AY4" s="54">
        <f>'MODELO PARA BI'!BC1</f>
        <v/>
      </c>
      <c r="AZ4" s="54">
        <f>'MODELO PARA BI'!BD1</f>
        <v/>
      </c>
      <c r="BA4" s="54">
        <f>'MODELO PARA BI'!BE1</f>
        <v/>
      </c>
      <c r="BB4" s="54">
        <f>'MODELO PARA BI'!BF1</f>
        <v/>
      </c>
      <c r="BC4" s="54">
        <f>'MODELO PARA BI'!BG1</f>
        <v/>
      </c>
      <c r="BD4" s="54">
        <f>'MODELO PARA BI'!BH1</f>
        <v/>
      </c>
      <c r="BE4" s="54">
        <f>'MODELO PARA BI'!BI1</f>
        <v/>
      </c>
      <c r="BF4" s="54">
        <f>'MODELO PARA BI'!BJ1</f>
        <v/>
      </c>
      <c r="BG4" s="54">
        <f>'MODELO PARA BI'!BK1</f>
        <v/>
      </c>
      <c r="BH4" s="54">
        <f>'MODELO PARA BI'!BL1</f>
        <v/>
      </c>
      <c r="BI4" s="54">
        <f>'MODELO PARA BI'!BM1</f>
        <v/>
      </c>
      <c r="BJ4" s="54">
        <f>'MODELO PARA BI'!BN1</f>
        <v/>
      </c>
      <c r="BK4" s="54">
        <f>'MODELO PARA BI'!BO1</f>
        <v/>
      </c>
      <c r="BL4" s="54">
        <f>'MODELO PARA BI'!BP1</f>
        <v/>
      </c>
      <c r="BM4" s="54">
        <f>'MODELO PARA BI'!BQ1</f>
        <v/>
      </c>
      <c r="BN4" s="54">
        <f>'MODELO PARA BI'!BR1</f>
        <v/>
      </c>
      <c r="BO4" s="54">
        <f>'MODELO PARA BI'!BS1</f>
        <v/>
      </c>
      <c r="BP4" s="54">
        <f>'MODELO PARA BI'!BT1</f>
        <v/>
      </c>
      <c r="BQ4" s="54">
        <f>'MODELO PARA BI'!BU1</f>
        <v/>
      </c>
      <c r="BR4" s="54">
        <f>'MODELO PARA BI'!BV1</f>
        <v/>
      </c>
      <c r="BS4" s="54">
        <f>'MODELO PARA BI'!BW1</f>
        <v/>
      </c>
      <c r="BT4" s="54">
        <f>'MODELO PARA BI'!BX1</f>
        <v/>
      </c>
      <c r="BU4" s="54">
        <f>'MODELO PARA BI'!BY1</f>
        <v/>
      </c>
      <c r="BV4" s="54">
        <f>'MODELO PARA BI'!BZ1</f>
        <v/>
      </c>
      <c r="BW4" s="54">
        <f>'MODELO PARA BI'!CA1</f>
        <v/>
      </c>
    </row>
    <row r="5">
      <c r="A5" s="34">
        <f>'VALOR POR PL'!C11</f>
        <v/>
      </c>
      <c r="B5" s="34">
        <f>'VALOR POR PL'!D11</f>
        <v/>
      </c>
      <c r="C5" s="28">
        <f>IFERROR(MATCH(A5,'CURVA PREVISION'!$B$1:$B$3000,0),"")</f>
        <v/>
      </c>
      <c r="D5" s="55">
        <f>IF(OR($C5="",$B$2="",$D$2=0),0,IF(D$3&lt;0,0,N(INDEX('CURVA PREVISION'!$A$1:$KZ$3000,$C5,10+3*MIN(D$3,$D$2-1)))))</f>
        <v/>
      </c>
      <c r="E5" s="55">
        <f>IF(OR($C5="",$B$2="",$D$2=0),0,IF(E$3&lt;0,0,N(INDEX('CURVA PREVISION'!$A$1:$KZ$3000,$C5,10+3*MIN(E$3,$D$2-1)))))</f>
        <v/>
      </c>
      <c r="F5" s="55">
        <f>IF(OR($C5="",$B$2="",$D$2=0),0,IF(F$3&lt;0,0,N(INDEX('CURVA PREVISION'!$A$1:$KZ$3000,$C5,10+3*MIN(F$3,$D$2-1)))))</f>
        <v/>
      </c>
      <c r="G5" s="55">
        <f>IF(OR($C5="",$B$2="",$D$2=0),0,IF(G$3&lt;0,0,N(INDEX('CURVA PREVISION'!$A$1:$KZ$3000,$C5,10+3*MIN(G$3,$D$2-1)))))</f>
        <v/>
      </c>
      <c r="H5" s="55">
        <f>IF(OR($C5="",$B$2="",$D$2=0),0,IF(H$3&lt;0,0,N(INDEX('CURVA PREVISION'!$A$1:$KZ$3000,$C5,10+3*MIN(H$3,$D$2-1)))))</f>
        <v/>
      </c>
      <c r="I5" s="55">
        <f>IF(OR($C5="",$B$2="",$D$2=0),0,IF(I$3&lt;0,0,N(INDEX('CURVA PREVISION'!$A$1:$KZ$3000,$C5,10+3*MIN(I$3,$D$2-1)))))</f>
        <v/>
      </c>
      <c r="J5" s="55">
        <f>IF(OR($C5="",$B$2="",$D$2=0),0,IF(J$3&lt;0,0,N(INDEX('CURVA PREVISION'!$A$1:$KZ$3000,$C5,10+3*MIN(J$3,$D$2-1)))))</f>
        <v/>
      </c>
      <c r="K5" s="55">
        <f>IF(OR($C5="",$B$2="",$D$2=0),0,IF(K$3&lt;0,0,N(INDEX('CURVA PREVISION'!$A$1:$KZ$3000,$C5,10+3*MIN(K$3,$D$2-1)))))</f>
        <v/>
      </c>
      <c r="L5" s="55">
        <f>IF(OR($C5="",$B$2="",$D$2=0),0,IF(L$3&lt;0,0,N(INDEX('CURVA PREVISION'!$A$1:$KZ$3000,$C5,10+3*MIN(L$3,$D$2-1)))))</f>
        <v/>
      </c>
      <c r="M5" s="55">
        <f>IF(OR($C5="",$B$2="",$D$2=0),0,IF(M$3&lt;0,0,N(INDEX('CURVA PREVISION'!$A$1:$KZ$3000,$C5,10+3*MIN(M$3,$D$2-1)))))</f>
        <v/>
      </c>
      <c r="N5" s="55">
        <f>IF(OR($C5="",$B$2="",$D$2=0),0,IF(N$3&lt;0,0,N(INDEX('CURVA PREVISION'!$A$1:$KZ$3000,$C5,10+3*MIN(N$3,$D$2-1)))))</f>
        <v/>
      </c>
      <c r="O5" s="55">
        <f>IF(OR($C5="",$B$2="",$D$2=0),0,IF(O$3&lt;0,0,N(INDEX('CURVA PREVISION'!$A$1:$KZ$3000,$C5,10+3*MIN(O$3,$D$2-1)))))</f>
        <v/>
      </c>
      <c r="P5" s="55">
        <f>IF(OR($C5="",$B$2="",$D$2=0),0,IF(P$3&lt;0,0,N(INDEX('CURVA PREVISION'!$A$1:$KZ$3000,$C5,10+3*MIN(P$3,$D$2-1)))))</f>
        <v/>
      </c>
      <c r="Q5" s="55">
        <f>IF(OR($C5="",$B$2="",$D$2=0),0,IF(Q$3&lt;0,0,N(INDEX('CURVA PREVISION'!$A$1:$KZ$3000,$C5,10+3*MIN(Q$3,$D$2-1)))))</f>
        <v/>
      </c>
      <c r="R5" s="55">
        <f>IF(OR($C5="",$B$2="",$D$2=0),0,IF(R$3&lt;0,0,N(INDEX('CURVA PREVISION'!$A$1:$KZ$3000,$C5,10+3*MIN(R$3,$D$2-1)))))</f>
        <v/>
      </c>
      <c r="S5" s="55">
        <f>IF(OR($C5="",$B$2="",$D$2=0),0,IF(S$3&lt;0,0,N(INDEX('CURVA PREVISION'!$A$1:$KZ$3000,$C5,10+3*MIN(S$3,$D$2-1)))))</f>
        <v/>
      </c>
      <c r="T5" s="55">
        <f>IF(OR($C5="",$B$2="",$D$2=0),0,IF(T$3&lt;0,0,N(INDEX('CURVA PREVISION'!$A$1:$KZ$3000,$C5,10+3*MIN(T$3,$D$2-1)))))</f>
        <v/>
      </c>
      <c r="U5" s="55">
        <f>IF(OR($C5="",$B$2="",$D$2=0),0,IF(U$3&lt;0,0,N(INDEX('CURVA PREVISION'!$A$1:$KZ$3000,$C5,10+3*MIN(U$3,$D$2-1)))))</f>
        <v/>
      </c>
      <c r="V5" s="55">
        <f>IF(OR($C5="",$B$2="",$D$2=0),0,IF(V$3&lt;0,0,N(INDEX('CURVA PREVISION'!$A$1:$KZ$3000,$C5,10+3*MIN(V$3,$D$2-1)))))</f>
        <v/>
      </c>
      <c r="W5" s="55">
        <f>IF(OR($C5="",$B$2="",$D$2=0),0,IF(W$3&lt;0,0,N(INDEX('CURVA PREVISION'!$A$1:$KZ$3000,$C5,10+3*MIN(W$3,$D$2-1)))))</f>
        <v/>
      </c>
      <c r="X5" s="55">
        <f>IF(OR($C5="",$B$2="",$D$2=0),0,IF(X$3&lt;0,0,N(INDEX('CURVA PREVISION'!$A$1:$KZ$3000,$C5,10+3*MIN(X$3,$D$2-1)))))</f>
        <v/>
      </c>
      <c r="Y5" s="55">
        <f>IF(OR($C5="",$B$2="",$D$2=0),0,IF(Y$3&lt;0,0,N(INDEX('CURVA PREVISION'!$A$1:$KZ$3000,$C5,10+3*MIN(Y$3,$D$2-1)))))</f>
        <v/>
      </c>
      <c r="Z5" s="55">
        <f>IF(OR($C5="",$B$2="",$D$2=0),0,IF(Z$3&lt;0,0,N(INDEX('CURVA PREVISION'!$A$1:$KZ$3000,$C5,10+3*MIN(Z$3,$D$2-1)))))</f>
        <v/>
      </c>
      <c r="AA5" s="55">
        <f>IF(OR($C5="",$B$2="",$D$2=0),0,IF(AA$3&lt;0,0,N(INDEX('CURVA PREVISION'!$A$1:$KZ$3000,$C5,10+3*MIN(AA$3,$D$2-1)))))</f>
        <v/>
      </c>
      <c r="AB5" s="55">
        <f>IF(OR($C5="",$B$2="",$D$2=0),0,IF(AB$3&lt;0,0,N(INDEX('CURVA PREVISION'!$A$1:$KZ$3000,$C5,10+3*MIN(AB$3,$D$2-1)))))</f>
        <v/>
      </c>
      <c r="AC5" s="55">
        <f>IF(OR($C5="",$B$2="",$D$2=0),0,IF(AC$3&lt;0,0,N(INDEX('CURVA PREVISION'!$A$1:$KZ$3000,$C5,10+3*MIN(AC$3,$D$2-1)))))</f>
        <v/>
      </c>
      <c r="AD5" s="55">
        <f>IF(OR($C5="",$B$2="",$D$2=0),0,IF(AD$3&lt;0,0,N(INDEX('CURVA PREVISION'!$A$1:$KZ$3000,$C5,10+3*MIN(AD$3,$D$2-1)))))</f>
        <v/>
      </c>
      <c r="AE5" s="55">
        <f>IF(OR($C5="",$B$2="",$D$2=0),0,IF(AE$3&lt;0,0,N(INDEX('CURVA PREVISION'!$A$1:$KZ$3000,$C5,10+3*MIN(AE$3,$D$2-1)))))</f>
        <v/>
      </c>
      <c r="AF5" s="55">
        <f>IF(OR($C5="",$B$2="",$D$2=0),0,IF(AF$3&lt;0,0,N(INDEX('CURVA PREVISION'!$A$1:$KZ$3000,$C5,10+3*MIN(AF$3,$D$2-1)))))</f>
        <v/>
      </c>
      <c r="AG5" s="55">
        <f>IF(OR($C5="",$B$2="",$D$2=0),0,IF(AG$3&lt;0,0,N(INDEX('CURVA PREVISION'!$A$1:$KZ$3000,$C5,10+3*MIN(AG$3,$D$2-1)))))</f>
        <v/>
      </c>
      <c r="AH5" s="55">
        <f>IF(OR($C5="",$B$2="",$D$2=0),0,IF(AH$3&lt;0,0,N(INDEX('CURVA PREVISION'!$A$1:$KZ$3000,$C5,10+3*MIN(AH$3,$D$2-1)))))</f>
        <v/>
      </c>
      <c r="AI5" s="55">
        <f>IF(OR($C5="",$B$2="",$D$2=0),0,IF(AI$3&lt;0,0,N(INDEX('CURVA PREVISION'!$A$1:$KZ$3000,$C5,10+3*MIN(AI$3,$D$2-1)))))</f>
        <v/>
      </c>
      <c r="AJ5" s="55">
        <f>IF(OR($C5="",$B$2="",$D$2=0),0,IF(AJ$3&lt;0,0,N(INDEX('CURVA PREVISION'!$A$1:$KZ$3000,$C5,10+3*MIN(AJ$3,$D$2-1)))))</f>
        <v/>
      </c>
      <c r="AK5" s="55">
        <f>IF(OR($C5="",$B$2="",$D$2=0),0,IF(AK$3&lt;0,0,N(INDEX('CURVA PREVISION'!$A$1:$KZ$3000,$C5,10+3*MIN(AK$3,$D$2-1)))))</f>
        <v/>
      </c>
      <c r="AL5" s="55">
        <f>IF(OR($C5="",$B$2="",$D$2=0),0,IF(AL$3&lt;0,0,N(INDEX('CURVA PREVISION'!$A$1:$KZ$3000,$C5,10+3*MIN(AL$3,$D$2-1)))))</f>
        <v/>
      </c>
      <c r="AM5" s="55">
        <f>IF(OR($C5="",$B$2="",$D$2=0),0,IF(AM$3&lt;0,0,N(INDEX('CURVA PREVISION'!$A$1:$KZ$3000,$C5,10+3*MIN(AM$3,$D$2-1)))))</f>
        <v/>
      </c>
      <c r="AN5" s="55">
        <f>IF(OR($C5="",$B$2="",$D$2=0),0,IF(AN$3&lt;0,0,N(INDEX('CURVA PREVISION'!$A$1:$KZ$3000,$C5,10+3*MIN(AN$3,$D$2-1)))))</f>
        <v/>
      </c>
      <c r="AO5" s="55">
        <f>IF(OR($C5="",$B$2="",$D$2=0),0,IF(AO$3&lt;0,0,N(INDEX('CURVA PREVISION'!$A$1:$KZ$3000,$C5,10+3*MIN(AO$3,$D$2-1)))))</f>
        <v/>
      </c>
      <c r="AP5" s="55">
        <f>IF(OR($C5="",$B$2="",$D$2=0),0,IF(AP$3&lt;0,0,N(INDEX('CURVA PREVISION'!$A$1:$KZ$3000,$C5,10+3*MIN(AP$3,$D$2-1)))))</f>
        <v/>
      </c>
      <c r="AQ5" s="55">
        <f>IF(OR($C5="",$B$2="",$D$2=0),0,IF(AQ$3&lt;0,0,N(INDEX('CURVA PREVISION'!$A$1:$KZ$3000,$C5,10+3*MIN(AQ$3,$D$2-1)))))</f>
        <v/>
      </c>
      <c r="AR5" s="55">
        <f>IF(OR($C5="",$B$2="",$D$2=0),0,IF(AR$3&lt;0,0,N(INDEX('CURVA PREVISION'!$A$1:$KZ$3000,$C5,10+3*MIN(AR$3,$D$2-1)))))</f>
        <v/>
      </c>
      <c r="AS5" s="55">
        <f>IF(OR($C5="",$B$2="",$D$2=0),0,IF(AS$3&lt;0,0,N(INDEX('CURVA PREVISION'!$A$1:$KZ$3000,$C5,10+3*MIN(AS$3,$D$2-1)))))</f>
        <v/>
      </c>
      <c r="AT5" s="55">
        <f>IF(OR($C5="",$B$2="",$D$2=0),0,IF(AT$3&lt;0,0,N(INDEX('CURVA PREVISION'!$A$1:$KZ$3000,$C5,10+3*MIN(AT$3,$D$2-1)))))</f>
        <v/>
      </c>
      <c r="AU5" s="55">
        <f>IF(OR($C5="",$B$2="",$D$2=0),0,IF(AU$3&lt;0,0,N(INDEX('CURVA PREVISION'!$A$1:$KZ$3000,$C5,10+3*MIN(AU$3,$D$2-1)))))</f>
        <v/>
      </c>
      <c r="AV5" s="55">
        <f>IF(OR($C5="",$B$2="",$D$2=0),0,IF(AV$3&lt;0,0,N(INDEX('CURVA PREVISION'!$A$1:$KZ$3000,$C5,10+3*MIN(AV$3,$D$2-1)))))</f>
        <v/>
      </c>
      <c r="AW5" s="55">
        <f>IF(OR($C5="",$B$2="",$D$2=0),0,IF(AW$3&lt;0,0,N(INDEX('CURVA PREVISION'!$A$1:$KZ$3000,$C5,10+3*MIN(AW$3,$D$2-1)))))</f>
        <v/>
      </c>
      <c r="AX5" s="55">
        <f>IF(OR($C5="",$B$2="",$D$2=0),0,IF(AX$3&lt;0,0,N(INDEX('CURVA PREVISION'!$A$1:$KZ$3000,$C5,10+3*MIN(AX$3,$D$2-1)))))</f>
        <v/>
      </c>
      <c r="AY5" s="55">
        <f>IF(OR($C5="",$B$2="",$D$2=0),0,IF(AY$3&lt;0,0,N(INDEX('CURVA PREVISION'!$A$1:$KZ$3000,$C5,10+3*MIN(AY$3,$D$2-1)))))</f>
        <v/>
      </c>
      <c r="AZ5" s="55">
        <f>IF(OR($C5="",$B$2="",$D$2=0),0,IF(AZ$3&lt;0,0,N(INDEX('CURVA PREVISION'!$A$1:$KZ$3000,$C5,10+3*MIN(AZ$3,$D$2-1)))))</f>
        <v/>
      </c>
      <c r="BA5" s="55">
        <f>IF(OR($C5="",$B$2="",$D$2=0),0,IF(BA$3&lt;0,0,N(INDEX('CURVA PREVISION'!$A$1:$KZ$3000,$C5,10+3*MIN(BA$3,$D$2-1)))))</f>
        <v/>
      </c>
      <c r="BB5" s="55">
        <f>IF(OR($C5="",$B$2="",$D$2=0),0,IF(BB$3&lt;0,0,N(INDEX('CURVA PREVISION'!$A$1:$KZ$3000,$C5,10+3*MIN(BB$3,$D$2-1)))))</f>
        <v/>
      </c>
      <c r="BC5" s="55">
        <f>IF(OR($C5="",$B$2="",$D$2=0),0,IF(BC$3&lt;0,0,N(INDEX('CURVA PREVISION'!$A$1:$KZ$3000,$C5,10+3*MIN(BC$3,$D$2-1)))))</f>
        <v/>
      </c>
      <c r="BD5" s="55">
        <f>IF(OR($C5="",$B$2="",$D$2=0),0,IF(BD$3&lt;0,0,N(INDEX('CURVA PREVISION'!$A$1:$KZ$3000,$C5,10+3*MIN(BD$3,$D$2-1)))))</f>
        <v/>
      </c>
      <c r="BE5" s="55">
        <f>IF(OR($C5="",$B$2="",$D$2=0),0,IF(BE$3&lt;0,0,N(INDEX('CURVA PREVISION'!$A$1:$KZ$3000,$C5,10+3*MIN(BE$3,$D$2-1)))))</f>
        <v/>
      </c>
      <c r="BF5" s="55">
        <f>IF(OR($C5="",$B$2="",$D$2=0),0,IF(BF$3&lt;0,0,N(INDEX('CURVA PREVISION'!$A$1:$KZ$3000,$C5,10+3*MIN(BF$3,$D$2-1)))))</f>
        <v/>
      </c>
      <c r="BG5" s="55">
        <f>IF(OR($C5="",$B$2="",$D$2=0),0,IF(BG$3&lt;0,0,N(INDEX('CURVA PREVISION'!$A$1:$KZ$3000,$C5,10+3*MIN(BG$3,$D$2-1)))))</f>
        <v/>
      </c>
      <c r="BH5" s="55">
        <f>IF(OR($C5="",$B$2="",$D$2=0),0,IF(BH$3&lt;0,0,N(INDEX('CURVA PREVISION'!$A$1:$KZ$3000,$C5,10+3*MIN(BH$3,$D$2-1)))))</f>
        <v/>
      </c>
      <c r="BI5" s="55">
        <f>IF(OR($C5="",$B$2="",$D$2=0),0,IF(BI$3&lt;0,0,N(INDEX('CURVA PREVISION'!$A$1:$KZ$3000,$C5,10+3*MIN(BI$3,$D$2-1)))))</f>
        <v/>
      </c>
      <c r="BJ5" s="55">
        <f>IF(OR($C5="",$B$2="",$D$2=0),0,IF(BJ$3&lt;0,0,N(INDEX('CURVA PREVISION'!$A$1:$KZ$3000,$C5,10+3*MIN(BJ$3,$D$2-1)))))</f>
        <v/>
      </c>
      <c r="BK5" s="55">
        <f>IF(OR($C5="",$B$2="",$D$2=0),0,IF(BK$3&lt;0,0,N(INDEX('CURVA PREVISION'!$A$1:$KZ$3000,$C5,10+3*MIN(BK$3,$D$2-1)))))</f>
        <v/>
      </c>
      <c r="BL5" s="55">
        <f>IF(OR($C5="",$B$2="",$D$2=0),0,IF(BL$3&lt;0,0,N(INDEX('CURVA PREVISION'!$A$1:$KZ$3000,$C5,10+3*MIN(BL$3,$D$2-1)))))</f>
        <v/>
      </c>
      <c r="BM5" s="55">
        <f>IF(OR($C5="",$B$2="",$D$2=0),0,IF(BM$3&lt;0,0,N(INDEX('CURVA PREVISION'!$A$1:$KZ$3000,$C5,10+3*MIN(BM$3,$D$2-1)))))</f>
        <v/>
      </c>
      <c r="BN5" s="55">
        <f>IF(OR($C5="",$B$2="",$D$2=0),0,IF(BN$3&lt;0,0,N(INDEX('CURVA PREVISION'!$A$1:$KZ$3000,$C5,10+3*MIN(BN$3,$D$2-1)))))</f>
        <v/>
      </c>
      <c r="BO5" s="55">
        <f>IF(OR($C5="",$B$2="",$D$2=0),0,IF(BO$3&lt;0,0,N(INDEX('CURVA PREVISION'!$A$1:$KZ$3000,$C5,10+3*MIN(BO$3,$D$2-1)))))</f>
        <v/>
      </c>
      <c r="BP5" s="55">
        <f>IF(OR($C5="",$B$2="",$D$2=0),0,IF(BP$3&lt;0,0,N(INDEX('CURVA PREVISION'!$A$1:$KZ$3000,$C5,10+3*MIN(BP$3,$D$2-1)))))</f>
        <v/>
      </c>
      <c r="BQ5" s="55">
        <f>IF(OR($C5="",$B$2="",$D$2=0),0,IF(BQ$3&lt;0,0,N(INDEX('CURVA PREVISION'!$A$1:$KZ$3000,$C5,10+3*MIN(BQ$3,$D$2-1)))))</f>
        <v/>
      </c>
      <c r="BR5" s="55">
        <f>IF(OR($C5="",$B$2="",$D$2=0),0,IF(BR$3&lt;0,0,N(INDEX('CURVA PREVISION'!$A$1:$KZ$3000,$C5,10+3*MIN(BR$3,$D$2-1)))))</f>
        <v/>
      </c>
      <c r="BS5" s="55">
        <f>IF(OR($C5="",$B$2="",$D$2=0),0,IF(BS$3&lt;0,0,N(INDEX('CURVA PREVISION'!$A$1:$KZ$3000,$C5,10+3*MIN(BS$3,$D$2-1)))))</f>
        <v/>
      </c>
      <c r="BT5" s="55">
        <f>IF(OR($C5="",$B$2="",$D$2=0),0,IF(BT$3&lt;0,0,N(INDEX('CURVA PREVISION'!$A$1:$KZ$3000,$C5,10+3*MIN(BT$3,$D$2-1)))))</f>
        <v/>
      </c>
      <c r="BU5" s="55">
        <f>IF(OR($C5="",$B$2="",$D$2=0),0,IF(BU$3&lt;0,0,N(INDEX('CURVA PREVISION'!$A$1:$KZ$3000,$C5,10+3*MIN(BU$3,$D$2-1)))))</f>
        <v/>
      </c>
      <c r="BV5" s="55">
        <f>IF(OR($C5="",$B$2="",$D$2=0),0,IF(BV$3&lt;0,0,N(INDEX('CURVA PREVISION'!$A$1:$KZ$3000,$C5,10+3*MIN(BV$3,$D$2-1)))))</f>
        <v/>
      </c>
      <c r="BW5" s="55">
        <f>IF(OR($C5="",$B$2="",$D$2=0),0,IF(BW$3&lt;0,0,N(INDEX('CURVA PREVISION'!$A$1:$KZ$3000,$C5,10+3*MIN(BW$3,$D$2-1)))))</f>
        <v/>
      </c>
    </row>
    <row r="6">
      <c r="A6" s="34">
        <f>'VALOR POR PL'!C12</f>
        <v/>
      </c>
      <c r="B6" s="34">
        <f>'VALOR POR PL'!D12</f>
        <v/>
      </c>
      <c r="C6" s="28">
        <f>IFERROR(MATCH(A6,'CURVA PREVISION'!$B$1:$B$3000,0),"")</f>
        <v/>
      </c>
      <c r="D6" s="55">
        <f>IF(OR($C6="",$B$2="",$D$2=0),0,IF(D$3&lt;0,0,N(INDEX('CURVA PREVISION'!$A$1:$KZ$3000,$C6,10+3*MIN(D$3,$D$2-1)))))</f>
        <v/>
      </c>
      <c r="E6" s="55">
        <f>IF(OR($C6="",$B$2="",$D$2=0),0,IF(E$3&lt;0,0,N(INDEX('CURVA PREVISION'!$A$1:$KZ$3000,$C6,10+3*MIN(E$3,$D$2-1)))))</f>
        <v/>
      </c>
      <c r="F6" s="55">
        <f>IF(OR($C6="",$B$2="",$D$2=0),0,IF(F$3&lt;0,0,N(INDEX('CURVA PREVISION'!$A$1:$KZ$3000,$C6,10+3*MIN(F$3,$D$2-1)))))</f>
        <v/>
      </c>
      <c r="G6" s="55">
        <f>IF(OR($C6="",$B$2="",$D$2=0),0,IF(G$3&lt;0,0,N(INDEX('CURVA PREVISION'!$A$1:$KZ$3000,$C6,10+3*MIN(G$3,$D$2-1)))))</f>
        <v/>
      </c>
      <c r="H6" s="55">
        <f>IF(OR($C6="",$B$2="",$D$2=0),0,IF(H$3&lt;0,0,N(INDEX('CURVA PREVISION'!$A$1:$KZ$3000,$C6,10+3*MIN(H$3,$D$2-1)))))</f>
        <v/>
      </c>
      <c r="I6" s="55">
        <f>IF(OR($C6="",$B$2="",$D$2=0),0,IF(I$3&lt;0,0,N(INDEX('CURVA PREVISION'!$A$1:$KZ$3000,$C6,10+3*MIN(I$3,$D$2-1)))))</f>
        <v/>
      </c>
      <c r="J6" s="55">
        <f>IF(OR($C6="",$B$2="",$D$2=0),0,IF(J$3&lt;0,0,N(INDEX('CURVA PREVISION'!$A$1:$KZ$3000,$C6,10+3*MIN(J$3,$D$2-1)))))</f>
        <v/>
      </c>
      <c r="K6" s="55">
        <f>IF(OR($C6="",$B$2="",$D$2=0),0,IF(K$3&lt;0,0,N(INDEX('CURVA PREVISION'!$A$1:$KZ$3000,$C6,10+3*MIN(K$3,$D$2-1)))))</f>
        <v/>
      </c>
      <c r="L6" s="55">
        <f>IF(OR($C6="",$B$2="",$D$2=0),0,IF(L$3&lt;0,0,N(INDEX('CURVA PREVISION'!$A$1:$KZ$3000,$C6,10+3*MIN(L$3,$D$2-1)))))</f>
        <v/>
      </c>
      <c r="M6" s="55">
        <f>IF(OR($C6="",$B$2="",$D$2=0),0,IF(M$3&lt;0,0,N(INDEX('CURVA PREVISION'!$A$1:$KZ$3000,$C6,10+3*MIN(M$3,$D$2-1)))))</f>
        <v/>
      </c>
      <c r="N6" s="55">
        <f>IF(OR($C6="",$B$2="",$D$2=0),0,IF(N$3&lt;0,0,N(INDEX('CURVA PREVISION'!$A$1:$KZ$3000,$C6,10+3*MIN(N$3,$D$2-1)))))</f>
        <v/>
      </c>
      <c r="O6" s="55">
        <f>IF(OR($C6="",$B$2="",$D$2=0),0,IF(O$3&lt;0,0,N(INDEX('CURVA PREVISION'!$A$1:$KZ$3000,$C6,10+3*MIN(O$3,$D$2-1)))))</f>
        <v/>
      </c>
      <c r="P6" s="55">
        <f>IF(OR($C6="",$B$2="",$D$2=0),0,IF(P$3&lt;0,0,N(INDEX('CURVA PREVISION'!$A$1:$KZ$3000,$C6,10+3*MIN(P$3,$D$2-1)))))</f>
        <v/>
      </c>
      <c r="Q6" s="55">
        <f>IF(OR($C6="",$B$2="",$D$2=0),0,IF(Q$3&lt;0,0,N(INDEX('CURVA PREVISION'!$A$1:$KZ$3000,$C6,10+3*MIN(Q$3,$D$2-1)))))</f>
        <v/>
      </c>
      <c r="R6" s="55">
        <f>IF(OR($C6="",$B$2="",$D$2=0),0,IF(R$3&lt;0,0,N(INDEX('CURVA PREVISION'!$A$1:$KZ$3000,$C6,10+3*MIN(R$3,$D$2-1)))))</f>
        <v/>
      </c>
      <c r="S6" s="55">
        <f>IF(OR($C6="",$B$2="",$D$2=0),0,IF(S$3&lt;0,0,N(INDEX('CURVA PREVISION'!$A$1:$KZ$3000,$C6,10+3*MIN(S$3,$D$2-1)))))</f>
        <v/>
      </c>
      <c r="T6" s="55">
        <f>IF(OR($C6="",$B$2="",$D$2=0),0,IF(T$3&lt;0,0,N(INDEX('CURVA PREVISION'!$A$1:$KZ$3000,$C6,10+3*MIN(T$3,$D$2-1)))))</f>
        <v/>
      </c>
      <c r="U6" s="55">
        <f>IF(OR($C6="",$B$2="",$D$2=0),0,IF(U$3&lt;0,0,N(INDEX('CURVA PREVISION'!$A$1:$KZ$3000,$C6,10+3*MIN(U$3,$D$2-1)))))</f>
        <v/>
      </c>
      <c r="V6" s="55">
        <f>IF(OR($C6="",$B$2="",$D$2=0),0,IF(V$3&lt;0,0,N(INDEX('CURVA PREVISION'!$A$1:$KZ$3000,$C6,10+3*MIN(V$3,$D$2-1)))))</f>
        <v/>
      </c>
      <c r="W6" s="55">
        <f>IF(OR($C6="",$B$2="",$D$2=0),0,IF(W$3&lt;0,0,N(INDEX('CURVA PREVISION'!$A$1:$KZ$3000,$C6,10+3*MIN(W$3,$D$2-1)))))</f>
        <v/>
      </c>
      <c r="X6" s="55">
        <f>IF(OR($C6="",$B$2="",$D$2=0),0,IF(X$3&lt;0,0,N(INDEX('CURVA PREVISION'!$A$1:$KZ$3000,$C6,10+3*MIN(X$3,$D$2-1)))))</f>
        <v/>
      </c>
      <c r="Y6" s="55">
        <f>IF(OR($C6="",$B$2="",$D$2=0),0,IF(Y$3&lt;0,0,N(INDEX('CURVA PREVISION'!$A$1:$KZ$3000,$C6,10+3*MIN(Y$3,$D$2-1)))))</f>
        <v/>
      </c>
      <c r="Z6" s="55">
        <f>IF(OR($C6="",$B$2="",$D$2=0),0,IF(Z$3&lt;0,0,N(INDEX('CURVA PREVISION'!$A$1:$KZ$3000,$C6,10+3*MIN(Z$3,$D$2-1)))))</f>
        <v/>
      </c>
      <c r="AA6" s="55">
        <f>IF(OR($C6="",$B$2="",$D$2=0),0,IF(AA$3&lt;0,0,N(INDEX('CURVA PREVISION'!$A$1:$KZ$3000,$C6,10+3*MIN(AA$3,$D$2-1)))))</f>
        <v/>
      </c>
      <c r="AB6" s="55">
        <f>IF(OR($C6="",$B$2="",$D$2=0),0,IF(AB$3&lt;0,0,N(INDEX('CURVA PREVISION'!$A$1:$KZ$3000,$C6,10+3*MIN(AB$3,$D$2-1)))))</f>
        <v/>
      </c>
      <c r="AC6" s="55">
        <f>IF(OR($C6="",$B$2="",$D$2=0),0,IF(AC$3&lt;0,0,N(INDEX('CURVA PREVISION'!$A$1:$KZ$3000,$C6,10+3*MIN(AC$3,$D$2-1)))))</f>
        <v/>
      </c>
      <c r="AD6" s="55">
        <f>IF(OR($C6="",$B$2="",$D$2=0),0,IF(AD$3&lt;0,0,N(INDEX('CURVA PREVISION'!$A$1:$KZ$3000,$C6,10+3*MIN(AD$3,$D$2-1)))))</f>
        <v/>
      </c>
      <c r="AE6" s="55">
        <f>IF(OR($C6="",$B$2="",$D$2=0),0,IF(AE$3&lt;0,0,N(INDEX('CURVA PREVISION'!$A$1:$KZ$3000,$C6,10+3*MIN(AE$3,$D$2-1)))))</f>
        <v/>
      </c>
      <c r="AF6" s="55">
        <f>IF(OR($C6="",$B$2="",$D$2=0),0,IF(AF$3&lt;0,0,N(INDEX('CURVA PREVISION'!$A$1:$KZ$3000,$C6,10+3*MIN(AF$3,$D$2-1)))))</f>
        <v/>
      </c>
      <c r="AG6" s="55">
        <f>IF(OR($C6="",$B$2="",$D$2=0),0,IF(AG$3&lt;0,0,N(INDEX('CURVA PREVISION'!$A$1:$KZ$3000,$C6,10+3*MIN(AG$3,$D$2-1)))))</f>
        <v/>
      </c>
      <c r="AH6" s="55">
        <f>IF(OR($C6="",$B$2="",$D$2=0),0,IF(AH$3&lt;0,0,N(INDEX('CURVA PREVISION'!$A$1:$KZ$3000,$C6,10+3*MIN(AH$3,$D$2-1)))))</f>
        <v/>
      </c>
      <c r="AI6" s="55">
        <f>IF(OR($C6="",$B$2="",$D$2=0),0,IF(AI$3&lt;0,0,N(INDEX('CURVA PREVISION'!$A$1:$KZ$3000,$C6,10+3*MIN(AI$3,$D$2-1)))))</f>
        <v/>
      </c>
      <c r="AJ6" s="55">
        <f>IF(OR($C6="",$B$2="",$D$2=0),0,IF(AJ$3&lt;0,0,N(INDEX('CURVA PREVISION'!$A$1:$KZ$3000,$C6,10+3*MIN(AJ$3,$D$2-1)))))</f>
        <v/>
      </c>
      <c r="AK6" s="55">
        <f>IF(OR($C6="",$B$2="",$D$2=0),0,IF(AK$3&lt;0,0,N(INDEX('CURVA PREVISION'!$A$1:$KZ$3000,$C6,10+3*MIN(AK$3,$D$2-1)))))</f>
        <v/>
      </c>
      <c r="AL6" s="55">
        <f>IF(OR($C6="",$B$2="",$D$2=0),0,IF(AL$3&lt;0,0,N(INDEX('CURVA PREVISION'!$A$1:$KZ$3000,$C6,10+3*MIN(AL$3,$D$2-1)))))</f>
        <v/>
      </c>
      <c r="AM6" s="55">
        <f>IF(OR($C6="",$B$2="",$D$2=0),0,IF(AM$3&lt;0,0,N(INDEX('CURVA PREVISION'!$A$1:$KZ$3000,$C6,10+3*MIN(AM$3,$D$2-1)))))</f>
        <v/>
      </c>
      <c r="AN6" s="55">
        <f>IF(OR($C6="",$B$2="",$D$2=0),0,IF(AN$3&lt;0,0,N(INDEX('CURVA PREVISION'!$A$1:$KZ$3000,$C6,10+3*MIN(AN$3,$D$2-1)))))</f>
        <v/>
      </c>
      <c r="AO6" s="55">
        <f>IF(OR($C6="",$B$2="",$D$2=0),0,IF(AO$3&lt;0,0,N(INDEX('CURVA PREVISION'!$A$1:$KZ$3000,$C6,10+3*MIN(AO$3,$D$2-1)))))</f>
        <v/>
      </c>
      <c r="AP6" s="55">
        <f>IF(OR($C6="",$B$2="",$D$2=0),0,IF(AP$3&lt;0,0,N(INDEX('CURVA PREVISION'!$A$1:$KZ$3000,$C6,10+3*MIN(AP$3,$D$2-1)))))</f>
        <v/>
      </c>
      <c r="AQ6" s="55">
        <f>IF(OR($C6="",$B$2="",$D$2=0),0,IF(AQ$3&lt;0,0,N(INDEX('CURVA PREVISION'!$A$1:$KZ$3000,$C6,10+3*MIN(AQ$3,$D$2-1)))))</f>
        <v/>
      </c>
      <c r="AR6" s="55">
        <f>IF(OR($C6="",$B$2="",$D$2=0),0,IF(AR$3&lt;0,0,N(INDEX('CURVA PREVISION'!$A$1:$KZ$3000,$C6,10+3*MIN(AR$3,$D$2-1)))))</f>
        <v/>
      </c>
      <c r="AS6" s="55">
        <f>IF(OR($C6="",$B$2="",$D$2=0),0,IF(AS$3&lt;0,0,N(INDEX('CURVA PREVISION'!$A$1:$KZ$3000,$C6,10+3*MIN(AS$3,$D$2-1)))))</f>
        <v/>
      </c>
      <c r="AT6" s="55">
        <f>IF(OR($C6="",$B$2="",$D$2=0),0,IF(AT$3&lt;0,0,N(INDEX('CURVA PREVISION'!$A$1:$KZ$3000,$C6,10+3*MIN(AT$3,$D$2-1)))))</f>
        <v/>
      </c>
      <c r="AU6" s="55">
        <f>IF(OR($C6="",$B$2="",$D$2=0),0,IF(AU$3&lt;0,0,N(INDEX('CURVA PREVISION'!$A$1:$KZ$3000,$C6,10+3*MIN(AU$3,$D$2-1)))))</f>
        <v/>
      </c>
      <c r="AV6" s="55">
        <f>IF(OR($C6="",$B$2="",$D$2=0),0,IF(AV$3&lt;0,0,N(INDEX('CURVA PREVISION'!$A$1:$KZ$3000,$C6,10+3*MIN(AV$3,$D$2-1)))))</f>
        <v/>
      </c>
      <c r="AW6" s="55">
        <f>IF(OR($C6="",$B$2="",$D$2=0),0,IF(AW$3&lt;0,0,N(INDEX('CURVA PREVISION'!$A$1:$KZ$3000,$C6,10+3*MIN(AW$3,$D$2-1)))))</f>
        <v/>
      </c>
      <c r="AX6" s="55">
        <f>IF(OR($C6="",$B$2="",$D$2=0),0,IF(AX$3&lt;0,0,N(INDEX('CURVA PREVISION'!$A$1:$KZ$3000,$C6,10+3*MIN(AX$3,$D$2-1)))))</f>
        <v/>
      </c>
      <c r="AY6" s="55">
        <f>IF(OR($C6="",$B$2="",$D$2=0),0,IF(AY$3&lt;0,0,N(INDEX('CURVA PREVISION'!$A$1:$KZ$3000,$C6,10+3*MIN(AY$3,$D$2-1)))))</f>
        <v/>
      </c>
      <c r="AZ6" s="55">
        <f>IF(OR($C6="",$B$2="",$D$2=0),0,IF(AZ$3&lt;0,0,N(INDEX('CURVA PREVISION'!$A$1:$KZ$3000,$C6,10+3*MIN(AZ$3,$D$2-1)))))</f>
        <v/>
      </c>
      <c r="BA6" s="55">
        <f>IF(OR($C6="",$B$2="",$D$2=0),0,IF(BA$3&lt;0,0,N(INDEX('CURVA PREVISION'!$A$1:$KZ$3000,$C6,10+3*MIN(BA$3,$D$2-1)))))</f>
        <v/>
      </c>
      <c r="BB6" s="55">
        <f>IF(OR($C6="",$B$2="",$D$2=0),0,IF(BB$3&lt;0,0,N(INDEX('CURVA PREVISION'!$A$1:$KZ$3000,$C6,10+3*MIN(BB$3,$D$2-1)))))</f>
        <v/>
      </c>
      <c r="BC6" s="55">
        <f>IF(OR($C6="",$B$2="",$D$2=0),0,IF(BC$3&lt;0,0,N(INDEX('CURVA PREVISION'!$A$1:$KZ$3000,$C6,10+3*MIN(BC$3,$D$2-1)))))</f>
        <v/>
      </c>
      <c r="BD6" s="55">
        <f>IF(OR($C6="",$B$2="",$D$2=0),0,IF(BD$3&lt;0,0,N(INDEX('CURVA PREVISION'!$A$1:$KZ$3000,$C6,10+3*MIN(BD$3,$D$2-1)))))</f>
        <v/>
      </c>
      <c r="BE6" s="55">
        <f>IF(OR($C6="",$B$2="",$D$2=0),0,IF(BE$3&lt;0,0,N(INDEX('CURVA PREVISION'!$A$1:$KZ$3000,$C6,10+3*MIN(BE$3,$D$2-1)))))</f>
        <v/>
      </c>
      <c r="BF6" s="55">
        <f>IF(OR($C6="",$B$2="",$D$2=0),0,IF(BF$3&lt;0,0,N(INDEX('CURVA PREVISION'!$A$1:$KZ$3000,$C6,10+3*MIN(BF$3,$D$2-1)))))</f>
        <v/>
      </c>
      <c r="BG6" s="55">
        <f>IF(OR($C6="",$B$2="",$D$2=0),0,IF(BG$3&lt;0,0,N(INDEX('CURVA PREVISION'!$A$1:$KZ$3000,$C6,10+3*MIN(BG$3,$D$2-1)))))</f>
        <v/>
      </c>
      <c r="BH6" s="55">
        <f>IF(OR($C6="",$B$2="",$D$2=0),0,IF(BH$3&lt;0,0,N(INDEX('CURVA PREVISION'!$A$1:$KZ$3000,$C6,10+3*MIN(BH$3,$D$2-1)))))</f>
        <v/>
      </c>
      <c r="BI6" s="55">
        <f>IF(OR($C6="",$B$2="",$D$2=0),0,IF(BI$3&lt;0,0,N(INDEX('CURVA PREVISION'!$A$1:$KZ$3000,$C6,10+3*MIN(BI$3,$D$2-1)))))</f>
        <v/>
      </c>
      <c r="BJ6" s="55">
        <f>IF(OR($C6="",$B$2="",$D$2=0),0,IF(BJ$3&lt;0,0,N(INDEX('CURVA PREVISION'!$A$1:$KZ$3000,$C6,10+3*MIN(BJ$3,$D$2-1)))))</f>
        <v/>
      </c>
      <c r="BK6" s="55">
        <f>IF(OR($C6="",$B$2="",$D$2=0),0,IF(BK$3&lt;0,0,N(INDEX('CURVA PREVISION'!$A$1:$KZ$3000,$C6,10+3*MIN(BK$3,$D$2-1)))))</f>
        <v/>
      </c>
      <c r="BL6" s="55">
        <f>IF(OR($C6="",$B$2="",$D$2=0),0,IF(BL$3&lt;0,0,N(INDEX('CURVA PREVISION'!$A$1:$KZ$3000,$C6,10+3*MIN(BL$3,$D$2-1)))))</f>
        <v/>
      </c>
      <c r="BM6" s="55">
        <f>IF(OR($C6="",$B$2="",$D$2=0),0,IF(BM$3&lt;0,0,N(INDEX('CURVA PREVISION'!$A$1:$KZ$3000,$C6,10+3*MIN(BM$3,$D$2-1)))))</f>
        <v/>
      </c>
      <c r="BN6" s="55">
        <f>IF(OR($C6="",$B$2="",$D$2=0),0,IF(BN$3&lt;0,0,N(INDEX('CURVA PREVISION'!$A$1:$KZ$3000,$C6,10+3*MIN(BN$3,$D$2-1)))))</f>
        <v/>
      </c>
      <c r="BO6" s="55">
        <f>IF(OR($C6="",$B$2="",$D$2=0),0,IF(BO$3&lt;0,0,N(INDEX('CURVA PREVISION'!$A$1:$KZ$3000,$C6,10+3*MIN(BO$3,$D$2-1)))))</f>
        <v/>
      </c>
      <c r="BP6" s="55">
        <f>IF(OR($C6="",$B$2="",$D$2=0),0,IF(BP$3&lt;0,0,N(INDEX('CURVA PREVISION'!$A$1:$KZ$3000,$C6,10+3*MIN(BP$3,$D$2-1)))))</f>
        <v/>
      </c>
      <c r="BQ6" s="55">
        <f>IF(OR($C6="",$B$2="",$D$2=0),0,IF(BQ$3&lt;0,0,N(INDEX('CURVA PREVISION'!$A$1:$KZ$3000,$C6,10+3*MIN(BQ$3,$D$2-1)))))</f>
        <v/>
      </c>
      <c r="BR6" s="55">
        <f>IF(OR($C6="",$B$2="",$D$2=0),0,IF(BR$3&lt;0,0,N(INDEX('CURVA PREVISION'!$A$1:$KZ$3000,$C6,10+3*MIN(BR$3,$D$2-1)))))</f>
        <v/>
      </c>
      <c r="BS6" s="55">
        <f>IF(OR($C6="",$B$2="",$D$2=0),0,IF(BS$3&lt;0,0,N(INDEX('CURVA PREVISION'!$A$1:$KZ$3000,$C6,10+3*MIN(BS$3,$D$2-1)))))</f>
        <v/>
      </c>
      <c r="BT6" s="55">
        <f>IF(OR($C6="",$B$2="",$D$2=0),0,IF(BT$3&lt;0,0,N(INDEX('CURVA PREVISION'!$A$1:$KZ$3000,$C6,10+3*MIN(BT$3,$D$2-1)))))</f>
        <v/>
      </c>
      <c r="BU6" s="55">
        <f>IF(OR($C6="",$B$2="",$D$2=0),0,IF(BU$3&lt;0,0,N(INDEX('CURVA PREVISION'!$A$1:$KZ$3000,$C6,10+3*MIN(BU$3,$D$2-1)))))</f>
        <v/>
      </c>
      <c r="BV6" s="55">
        <f>IF(OR($C6="",$B$2="",$D$2=0),0,IF(BV$3&lt;0,0,N(INDEX('CURVA PREVISION'!$A$1:$KZ$3000,$C6,10+3*MIN(BV$3,$D$2-1)))))</f>
        <v/>
      </c>
      <c r="BW6" s="55">
        <f>IF(OR($C6="",$B$2="",$D$2=0),0,IF(BW$3&lt;0,0,N(INDEX('CURVA PREVISION'!$A$1:$KZ$3000,$C6,10+3*MIN(BW$3,$D$2-1)))))</f>
        <v/>
      </c>
    </row>
    <row r="7">
      <c r="A7" s="34">
        <f>'VALOR POR PL'!C13</f>
        <v/>
      </c>
      <c r="B7" s="34">
        <f>'VALOR POR PL'!D13</f>
        <v/>
      </c>
      <c r="C7" s="28">
        <f>IFERROR(MATCH(A7,'CURVA PREVISION'!$B$1:$B$3000,0),"")</f>
        <v/>
      </c>
      <c r="D7" s="55">
        <f>IF(OR($C7="",$B$2="",$D$2=0),0,IF(D$3&lt;0,0,N(INDEX('CURVA PREVISION'!$A$1:$KZ$3000,$C7,10+3*MIN(D$3,$D$2-1)))))</f>
        <v/>
      </c>
      <c r="E7" s="55">
        <f>IF(OR($C7="",$B$2="",$D$2=0),0,IF(E$3&lt;0,0,N(INDEX('CURVA PREVISION'!$A$1:$KZ$3000,$C7,10+3*MIN(E$3,$D$2-1)))))</f>
        <v/>
      </c>
      <c r="F7" s="55">
        <f>IF(OR($C7="",$B$2="",$D$2=0),0,IF(F$3&lt;0,0,N(INDEX('CURVA PREVISION'!$A$1:$KZ$3000,$C7,10+3*MIN(F$3,$D$2-1)))))</f>
        <v/>
      </c>
      <c r="G7" s="55">
        <f>IF(OR($C7="",$B$2="",$D$2=0),0,IF(G$3&lt;0,0,N(INDEX('CURVA PREVISION'!$A$1:$KZ$3000,$C7,10+3*MIN(G$3,$D$2-1)))))</f>
        <v/>
      </c>
      <c r="H7" s="55">
        <f>IF(OR($C7="",$B$2="",$D$2=0),0,IF(H$3&lt;0,0,N(INDEX('CURVA PREVISION'!$A$1:$KZ$3000,$C7,10+3*MIN(H$3,$D$2-1)))))</f>
        <v/>
      </c>
      <c r="I7" s="55">
        <f>IF(OR($C7="",$B$2="",$D$2=0),0,IF(I$3&lt;0,0,N(INDEX('CURVA PREVISION'!$A$1:$KZ$3000,$C7,10+3*MIN(I$3,$D$2-1)))))</f>
        <v/>
      </c>
      <c r="J7" s="55">
        <f>IF(OR($C7="",$B$2="",$D$2=0),0,IF(J$3&lt;0,0,N(INDEX('CURVA PREVISION'!$A$1:$KZ$3000,$C7,10+3*MIN(J$3,$D$2-1)))))</f>
        <v/>
      </c>
      <c r="K7" s="55">
        <f>IF(OR($C7="",$B$2="",$D$2=0),0,IF(K$3&lt;0,0,N(INDEX('CURVA PREVISION'!$A$1:$KZ$3000,$C7,10+3*MIN(K$3,$D$2-1)))))</f>
        <v/>
      </c>
      <c r="L7" s="55">
        <f>IF(OR($C7="",$B$2="",$D$2=0),0,IF(L$3&lt;0,0,N(INDEX('CURVA PREVISION'!$A$1:$KZ$3000,$C7,10+3*MIN(L$3,$D$2-1)))))</f>
        <v/>
      </c>
      <c r="M7" s="55">
        <f>IF(OR($C7="",$B$2="",$D$2=0),0,IF(M$3&lt;0,0,N(INDEX('CURVA PREVISION'!$A$1:$KZ$3000,$C7,10+3*MIN(M$3,$D$2-1)))))</f>
        <v/>
      </c>
      <c r="N7" s="55">
        <f>IF(OR($C7="",$B$2="",$D$2=0),0,IF(N$3&lt;0,0,N(INDEX('CURVA PREVISION'!$A$1:$KZ$3000,$C7,10+3*MIN(N$3,$D$2-1)))))</f>
        <v/>
      </c>
      <c r="O7" s="55">
        <f>IF(OR($C7="",$B$2="",$D$2=0),0,IF(O$3&lt;0,0,N(INDEX('CURVA PREVISION'!$A$1:$KZ$3000,$C7,10+3*MIN(O$3,$D$2-1)))))</f>
        <v/>
      </c>
      <c r="P7" s="55">
        <f>IF(OR($C7="",$B$2="",$D$2=0),0,IF(P$3&lt;0,0,N(INDEX('CURVA PREVISION'!$A$1:$KZ$3000,$C7,10+3*MIN(P$3,$D$2-1)))))</f>
        <v/>
      </c>
      <c r="Q7" s="55">
        <f>IF(OR($C7="",$B$2="",$D$2=0),0,IF(Q$3&lt;0,0,N(INDEX('CURVA PREVISION'!$A$1:$KZ$3000,$C7,10+3*MIN(Q$3,$D$2-1)))))</f>
        <v/>
      </c>
      <c r="R7" s="55">
        <f>IF(OR($C7="",$B$2="",$D$2=0),0,IF(R$3&lt;0,0,N(INDEX('CURVA PREVISION'!$A$1:$KZ$3000,$C7,10+3*MIN(R$3,$D$2-1)))))</f>
        <v/>
      </c>
      <c r="S7" s="55">
        <f>IF(OR($C7="",$B$2="",$D$2=0),0,IF(S$3&lt;0,0,N(INDEX('CURVA PREVISION'!$A$1:$KZ$3000,$C7,10+3*MIN(S$3,$D$2-1)))))</f>
        <v/>
      </c>
      <c r="T7" s="55">
        <f>IF(OR($C7="",$B$2="",$D$2=0),0,IF(T$3&lt;0,0,N(INDEX('CURVA PREVISION'!$A$1:$KZ$3000,$C7,10+3*MIN(T$3,$D$2-1)))))</f>
        <v/>
      </c>
      <c r="U7" s="55">
        <f>IF(OR($C7="",$B$2="",$D$2=0),0,IF(U$3&lt;0,0,N(INDEX('CURVA PREVISION'!$A$1:$KZ$3000,$C7,10+3*MIN(U$3,$D$2-1)))))</f>
        <v/>
      </c>
      <c r="V7" s="55">
        <f>IF(OR($C7="",$B$2="",$D$2=0),0,IF(V$3&lt;0,0,N(INDEX('CURVA PREVISION'!$A$1:$KZ$3000,$C7,10+3*MIN(V$3,$D$2-1)))))</f>
        <v/>
      </c>
      <c r="W7" s="55">
        <f>IF(OR($C7="",$B$2="",$D$2=0),0,IF(W$3&lt;0,0,N(INDEX('CURVA PREVISION'!$A$1:$KZ$3000,$C7,10+3*MIN(W$3,$D$2-1)))))</f>
        <v/>
      </c>
      <c r="X7" s="55">
        <f>IF(OR($C7="",$B$2="",$D$2=0),0,IF(X$3&lt;0,0,N(INDEX('CURVA PREVISION'!$A$1:$KZ$3000,$C7,10+3*MIN(X$3,$D$2-1)))))</f>
        <v/>
      </c>
      <c r="Y7" s="55">
        <f>IF(OR($C7="",$B$2="",$D$2=0),0,IF(Y$3&lt;0,0,N(INDEX('CURVA PREVISION'!$A$1:$KZ$3000,$C7,10+3*MIN(Y$3,$D$2-1)))))</f>
        <v/>
      </c>
      <c r="Z7" s="55">
        <f>IF(OR($C7="",$B$2="",$D$2=0),0,IF(Z$3&lt;0,0,N(INDEX('CURVA PREVISION'!$A$1:$KZ$3000,$C7,10+3*MIN(Z$3,$D$2-1)))))</f>
        <v/>
      </c>
      <c r="AA7" s="55">
        <f>IF(OR($C7="",$B$2="",$D$2=0),0,IF(AA$3&lt;0,0,N(INDEX('CURVA PREVISION'!$A$1:$KZ$3000,$C7,10+3*MIN(AA$3,$D$2-1)))))</f>
        <v/>
      </c>
      <c r="AB7" s="55">
        <f>IF(OR($C7="",$B$2="",$D$2=0),0,IF(AB$3&lt;0,0,N(INDEX('CURVA PREVISION'!$A$1:$KZ$3000,$C7,10+3*MIN(AB$3,$D$2-1)))))</f>
        <v/>
      </c>
      <c r="AC7" s="55">
        <f>IF(OR($C7="",$B$2="",$D$2=0),0,IF(AC$3&lt;0,0,N(INDEX('CURVA PREVISION'!$A$1:$KZ$3000,$C7,10+3*MIN(AC$3,$D$2-1)))))</f>
        <v/>
      </c>
      <c r="AD7" s="55">
        <f>IF(OR($C7="",$B$2="",$D$2=0),0,IF(AD$3&lt;0,0,N(INDEX('CURVA PREVISION'!$A$1:$KZ$3000,$C7,10+3*MIN(AD$3,$D$2-1)))))</f>
        <v/>
      </c>
      <c r="AE7" s="55">
        <f>IF(OR($C7="",$B$2="",$D$2=0),0,IF(AE$3&lt;0,0,N(INDEX('CURVA PREVISION'!$A$1:$KZ$3000,$C7,10+3*MIN(AE$3,$D$2-1)))))</f>
        <v/>
      </c>
      <c r="AF7" s="55">
        <f>IF(OR($C7="",$B$2="",$D$2=0),0,IF(AF$3&lt;0,0,N(INDEX('CURVA PREVISION'!$A$1:$KZ$3000,$C7,10+3*MIN(AF$3,$D$2-1)))))</f>
        <v/>
      </c>
      <c r="AG7" s="55">
        <f>IF(OR($C7="",$B$2="",$D$2=0),0,IF(AG$3&lt;0,0,N(INDEX('CURVA PREVISION'!$A$1:$KZ$3000,$C7,10+3*MIN(AG$3,$D$2-1)))))</f>
        <v/>
      </c>
      <c r="AH7" s="55">
        <f>IF(OR($C7="",$B$2="",$D$2=0),0,IF(AH$3&lt;0,0,N(INDEX('CURVA PREVISION'!$A$1:$KZ$3000,$C7,10+3*MIN(AH$3,$D$2-1)))))</f>
        <v/>
      </c>
      <c r="AI7" s="55">
        <f>IF(OR($C7="",$B$2="",$D$2=0),0,IF(AI$3&lt;0,0,N(INDEX('CURVA PREVISION'!$A$1:$KZ$3000,$C7,10+3*MIN(AI$3,$D$2-1)))))</f>
        <v/>
      </c>
      <c r="AJ7" s="55">
        <f>IF(OR($C7="",$B$2="",$D$2=0),0,IF(AJ$3&lt;0,0,N(INDEX('CURVA PREVISION'!$A$1:$KZ$3000,$C7,10+3*MIN(AJ$3,$D$2-1)))))</f>
        <v/>
      </c>
      <c r="AK7" s="55">
        <f>IF(OR($C7="",$B$2="",$D$2=0),0,IF(AK$3&lt;0,0,N(INDEX('CURVA PREVISION'!$A$1:$KZ$3000,$C7,10+3*MIN(AK$3,$D$2-1)))))</f>
        <v/>
      </c>
      <c r="AL7" s="55">
        <f>IF(OR($C7="",$B$2="",$D$2=0),0,IF(AL$3&lt;0,0,N(INDEX('CURVA PREVISION'!$A$1:$KZ$3000,$C7,10+3*MIN(AL$3,$D$2-1)))))</f>
        <v/>
      </c>
      <c r="AM7" s="55">
        <f>IF(OR($C7="",$B$2="",$D$2=0),0,IF(AM$3&lt;0,0,N(INDEX('CURVA PREVISION'!$A$1:$KZ$3000,$C7,10+3*MIN(AM$3,$D$2-1)))))</f>
        <v/>
      </c>
      <c r="AN7" s="55">
        <f>IF(OR($C7="",$B$2="",$D$2=0),0,IF(AN$3&lt;0,0,N(INDEX('CURVA PREVISION'!$A$1:$KZ$3000,$C7,10+3*MIN(AN$3,$D$2-1)))))</f>
        <v/>
      </c>
      <c r="AO7" s="55">
        <f>IF(OR($C7="",$B$2="",$D$2=0),0,IF(AO$3&lt;0,0,N(INDEX('CURVA PREVISION'!$A$1:$KZ$3000,$C7,10+3*MIN(AO$3,$D$2-1)))))</f>
        <v/>
      </c>
      <c r="AP7" s="55">
        <f>IF(OR($C7="",$B$2="",$D$2=0),0,IF(AP$3&lt;0,0,N(INDEX('CURVA PREVISION'!$A$1:$KZ$3000,$C7,10+3*MIN(AP$3,$D$2-1)))))</f>
        <v/>
      </c>
      <c r="AQ7" s="55">
        <f>IF(OR($C7="",$B$2="",$D$2=0),0,IF(AQ$3&lt;0,0,N(INDEX('CURVA PREVISION'!$A$1:$KZ$3000,$C7,10+3*MIN(AQ$3,$D$2-1)))))</f>
        <v/>
      </c>
      <c r="AR7" s="55">
        <f>IF(OR($C7="",$B$2="",$D$2=0),0,IF(AR$3&lt;0,0,N(INDEX('CURVA PREVISION'!$A$1:$KZ$3000,$C7,10+3*MIN(AR$3,$D$2-1)))))</f>
        <v/>
      </c>
      <c r="AS7" s="55">
        <f>IF(OR($C7="",$B$2="",$D$2=0),0,IF(AS$3&lt;0,0,N(INDEX('CURVA PREVISION'!$A$1:$KZ$3000,$C7,10+3*MIN(AS$3,$D$2-1)))))</f>
        <v/>
      </c>
      <c r="AT7" s="55">
        <f>IF(OR($C7="",$B$2="",$D$2=0),0,IF(AT$3&lt;0,0,N(INDEX('CURVA PREVISION'!$A$1:$KZ$3000,$C7,10+3*MIN(AT$3,$D$2-1)))))</f>
        <v/>
      </c>
      <c r="AU7" s="55">
        <f>IF(OR($C7="",$B$2="",$D$2=0),0,IF(AU$3&lt;0,0,N(INDEX('CURVA PREVISION'!$A$1:$KZ$3000,$C7,10+3*MIN(AU$3,$D$2-1)))))</f>
        <v/>
      </c>
      <c r="AV7" s="55">
        <f>IF(OR($C7="",$B$2="",$D$2=0),0,IF(AV$3&lt;0,0,N(INDEX('CURVA PREVISION'!$A$1:$KZ$3000,$C7,10+3*MIN(AV$3,$D$2-1)))))</f>
        <v/>
      </c>
      <c r="AW7" s="55">
        <f>IF(OR($C7="",$B$2="",$D$2=0),0,IF(AW$3&lt;0,0,N(INDEX('CURVA PREVISION'!$A$1:$KZ$3000,$C7,10+3*MIN(AW$3,$D$2-1)))))</f>
        <v/>
      </c>
      <c r="AX7" s="55">
        <f>IF(OR($C7="",$B$2="",$D$2=0),0,IF(AX$3&lt;0,0,N(INDEX('CURVA PREVISION'!$A$1:$KZ$3000,$C7,10+3*MIN(AX$3,$D$2-1)))))</f>
        <v/>
      </c>
      <c r="AY7" s="55">
        <f>IF(OR($C7="",$B$2="",$D$2=0),0,IF(AY$3&lt;0,0,N(INDEX('CURVA PREVISION'!$A$1:$KZ$3000,$C7,10+3*MIN(AY$3,$D$2-1)))))</f>
        <v/>
      </c>
      <c r="AZ7" s="55">
        <f>IF(OR($C7="",$B$2="",$D$2=0),0,IF(AZ$3&lt;0,0,N(INDEX('CURVA PREVISION'!$A$1:$KZ$3000,$C7,10+3*MIN(AZ$3,$D$2-1)))))</f>
        <v/>
      </c>
      <c r="BA7" s="55">
        <f>IF(OR($C7="",$B$2="",$D$2=0),0,IF(BA$3&lt;0,0,N(INDEX('CURVA PREVISION'!$A$1:$KZ$3000,$C7,10+3*MIN(BA$3,$D$2-1)))))</f>
        <v/>
      </c>
      <c r="BB7" s="55">
        <f>IF(OR($C7="",$B$2="",$D$2=0),0,IF(BB$3&lt;0,0,N(INDEX('CURVA PREVISION'!$A$1:$KZ$3000,$C7,10+3*MIN(BB$3,$D$2-1)))))</f>
        <v/>
      </c>
      <c r="BC7" s="55">
        <f>IF(OR($C7="",$B$2="",$D$2=0),0,IF(BC$3&lt;0,0,N(INDEX('CURVA PREVISION'!$A$1:$KZ$3000,$C7,10+3*MIN(BC$3,$D$2-1)))))</f>
        <v/>
      </c>
      <c r="BD7" s="55">
        <f>IF(OR($C7="",$B$2="",$D$2=0),0,IF(BD$3&lt;0,0,N(INDEX('CURVA PREVISION'!$A$1:$KZ$3000,$C7,10+3*MIN(BD$3,$D$2-1)))))</f>
        <v/>
      </c>
      <c r="BE7" s="55">
        <f>IF(OR($C7="",$B$2="",$D$2=0),0,IF(BE$3&lt;0,0,N(INDEX('CURVA PREVISION'!$A$1:$KZ$3000,$C7,10+3*MIN(BE$3,$D$2-1)))))</f>
        <v/>
      </c>
      <c r="BF7" s="55">
        <f>IF(OR($C7="",$B$2="",$D$2=0),0,IF(BF$3&lt;0,0,N(INDEX('CURVA PREVISION'!$A$1:$KZ$3000,$C7,10+3*MIN(BF$3,$D$2-1)))))</f>
        <v/>
      </c>
      <c r="BG7" s="55">
        <f>IF(OR($C7="",$B$2="",$D$2=0),0,IF(BG$3&lt;0,0,N(INDEX('CURVA PREVISION'!$A$1:$KZ$3000,$C7,10+3*MIN(BG$3,$D$2-1)))))</f>
        <v/>
      </c>
      <c r="BH7" s="55">
        <f>IF(OR($C7="",$B$2="",$D$2=0),0,IF(BH$3&lt;0,0,N(INDEX('CURVA PREVISION'!$A$1:$KZ$3000,$C7,10+3*MIN(BH$3,$D$2-1)))))</f>
        <v/>
      </c>
      <c r="BI7" s="55">
        <f>IF(OR($C7="",$B$2="",$D$2=0),0,IF(BI$3&lt;0,0,N(INDEX('CURVA PREVISION'!$A$1:$KZ$3000,$C7,10+3*MIN(BI$3,$D$2-1)))))</f>
        <v/>
      </c>
      <c r="BJ7" s="55">
        <f>IF(OR($C7="",$B$2="",$D$2=0),0,IF(BJ$3&lt;0,0,N(INDEX('CURVA PREVISION'!$A$1:$KZ$3000,$C7,10+3*MIN(BJ$3,$D$2-1)))))</f>
        <v/>
      </c>
      <c r="BK7" s="55">
        <f>IF(OR($C7="",$B$2="",$D$2=0),0,IF(BK$3&lt;0,0,N(INDEX('CURVA PREVISION'!$A$1:$KZ$3000,$C7,10+3*MIN(BK$3,$D$2-1)))))</f>
        <v/>
      </c>
      <c r="BL7" s="55">
        <f>IF(OR($C7="",$B$2="",$D$2=0),0,IF(BL$3&lt;0,0,N(INDEX('CURVA PREVISION'!$A$1:$KZ$3000,$C7,10+3*MIN(BL$3,$D$2-1)))))</f>
        <v/>
      </c>
      <c r="BM7" s="55">
        <f>IF(OR($C7="",$B$2="",$D$2=0),0,IF(BM$3&lt;0,0,N(INDEX('CURVA PREVISION'!$A$1:$KZ$3000,$C7,10+3*MIN(BM$3,$D$2-1)))))</f>
        <v/>
      </c>
      <c r="BN7" s="55">
        <f>IF(OR($C7="",$B$2="",$D$2=0),0,IF(BN$3&lt;0,0,N(INDEX('CURVA PREVISION'!$A$1:$KZ$3000,$C7,10+3*MIN(BN$3,$D$2-1)))))</f>
        <v/>
      </c>
      <c r="BO7" s="55">
        <f>IF(OR($C7="",$B$2="",$D$2=0),0,IF(BO$3&lt;0,0,N(INDEX('CURVA PREVISION'!$A$1:$KZ$3000,$C7,10+3*MIN(BO$3,$D$2-1)))))</f>
        <v/>
      </c>
      <c r="BP7" s="55">
        <f>IF(OR($C7="",$B$2="",$D$2=0),0,IF(BP$3&lt;0,0,N(INDEX('CURVA PREVISION'!$A$1:$KZ$3000,$C7,10+3*MIN(BP$3,$D$2-1)))))</f>
        <v/>
      </c>
      <c r="BQ7" s="55">
        <f>IF(OR($C7="",$B$2="",$D$2=0),0,IF(BQ$3&lt;0,0,N(INDEX('CURVA PREVISION'!$A$1:$KZ$3000,$C7,10+3*MIN(BQ$3,$D$2-1)))))</f>
        <v/>
      </c>
      <c r="BR7" s="55">
        <f>IF(OR($C7="",$B$2="",$D$2=0),0,IF(BR$3&lt;0,0,N(INDEX('CURVA PREVISION'!$A$1:$KZ$3000,$C7,10+3*MIN(BR$3,$D$2-1)))))</f>
        <v/>
      </c>
      <c r="BS7" s="55">
        <f>IF(OR($C7="",$B$2="",$D$2=0),0,IF(BS$3&lt;0,0,N(INDEX('CURVA PREVISION'!$A$1:$KZ$3000,$C7,10+3*MIN(BS$3,$D$2-1)))))</f>
        <v/>
      </c>
      <c r="BT7" s="55">
        <f>IF(OR($C7="",$B$2="",$D$2=0),0,IF(BT$3&lt;0,0,N(INDEX('CURVA PREVISION'!$A$1:$KZ$3000,$C7,10+3*MIN(BT$3,$D$2-1)))))</f>
        <v/>
      </c>
      <c r="BU7" s="55">
        <f>IF(OR($C7="",$B$2="",$D$2=0),0,IF(BU$3&lt;0,0,N(INDEX('CURVA PREVISION'!$A$1:$KZ$3000,$C7,10+3*MIN(BU$3,$D$2-1)))))</f>
        <v/>
      </c>
      <c r="BV7" s="55">
        <f>IF(OR($C7="",$B$2="",$D$2=0),0,IF(BV$3&lt;0,0,N(INDEX('CURVA PREVISION'!$A$1:$KZ$3000,$C7,10+3*MIN(BV$3,$D$2-1)))))</f>
        <v/>
      </c>
      <c r="BW7" s="55">
        <f>IF(OR($C7="",$B$2="",$D$2=0),0,IF(BW$3&lt;0,0,N(INDEX('CURVA PREVISION'!$A$1:$KZ$3000,$C7,10+3*MIN(BW$3,$D$2-1)))))</f>
        <v/>
      </c>
    </row>
    <row r="8">
      <c r="A8" s="34">
        <f>'VALOR POR PL'!C14</f>
        <v/>
      </c>
      <c r="B8" s="34">
        <f>'VALOR POR PL'!D14</f>
        <v/>
      </c>
      <c r="C8" s="28">
        <f>IFERROR(MATCH(A8,'CURVA PREVISION'!$B$1:$B$3000,0),"")</f>
        <v/>
      </c>
      <c r="D8" s="55">
        <f>IF(OR($C8="",$B$2="",$D$2=0),0,IF(D$3&lt;0,0,N(INDEX('CURVA PREVISION'!$A$1:$KZ$3000,$C8,10+3*MIN(D$3,$D$2-1)))))</f>
        <v/>
      </c>
      <c r="E8" s="55">
        <f>IF(OR($C8="",$B$2="",$D$2=0),0,IF(E$3&lt;0,0,N(INDEX('CURVA PREVISION'!$A$1:$KZ$3000,$C8,10+3*MIN(E$3,$D$2-1)))))</f>
        <v/>
      </c>
      <c r="F8" s="55">
        <f>IF(OR($C8="",$B$2="",$D$2=0),0,IF(F$3&lt;0,0,N(INDEX('CURVA PREVISION'!$A$1:$KZ$3000,$C8,10+3*MIN(F$3,$D$2-1)))))</f>
        <v/>
      </c>
      <c r="G8" s="55">
        <f>IF(OR($C8="",$B$2="",$D$2=0),0,IF(G$3&lt;0,0,N(INDEX('CURVA PREVISION'!$A$1:$KZ$3000,$C8,10+3*MIN(G$3,$D$2-1)))))</f>
        <v/>
      </c>
      <c r="H8" s="55">
        <f>IF(OR($C8="",$B$2="",$D$2=0),0,IF(H$3&lt;0,0,N(INDEX('CURVA PREVISION'!$A$1:$KZ$3000,$C8,10+3*MIN(H$3,$D$2-1)))))</f>
        <v/>
      </c>
      <c r="I8" s="55">
        <f>IF(OR($C8="",$B$2="",$D$2=0),0,IF(I$3&lt;0,0,N(INDEX('CURVA PREVISION'!$A$1:$KZ$3000,$C8,10+3*MIN(I$3,$D$2-1)))))</f>
        <v/>
      </c>
      <c r="J8" s="55">
        <f>IF(OR($C8="",$B$2="",$D$2=0),0,IF(J$3&lt;0,0,N(INDEX('CURVA PREVISION'!$A$1:$KZ$3000,$C8,10+3*MIN(J$3,$D$2-1)))))</f>
        <v/>
      </c>
      <c r="K8" s="55">
        <f>IF(OR($C8="",$B$2="",$D$2=0),0,IF(K$3&lt;0,0,N(INDEX('CURVA PREVISION'!$A$1:$KZ$3000,$C8,10+3*MIN(K$3,$D$2-1)))))</f>
        <v/>
      </c>
      <c r="L8" s="55">
        <f>IF(OR($C8="",$B$2="",$D$2=0),0,IF(L$3&lt;0,0,N(INDEX('CURVA PREVISION'!$A$1:$KZ$3000,$C8,10+3*MIN(L$3,$D$2-1)))))</f>
        <v/>
      </c>
      <c r="M8" s="55">
        <f>IF(OR($C8="",$B$2="",$D$2=0),0,IF(M$3&lt;0,0,N(INDEX('CURVA PREVISION'!$A$1:$KZ$3000,$C8,10+3*MIN(M$3,$D$2-1)))))</f>
        <v/>
      </c>
      <c r="N8" s="55">
        <f>IF(OR($C8="",$B$2="",$D$2=0),0,IF(N$3&lt;0,0,N(INDEX('CURVA PREVISION'!$A$1:$KZ$3000,$C8,10+3*MIN(N$3,$D$2-1)))))</f>
        <v/>
      </c>
      <c r="O8" s="55">
        <f>IF(OR($C8="",$B$2="",$D$2=0),0,IF(O$3&lt;0,0,N(INDEX('CURVA PREVISION'!$A$1:$KZ$3000,$C8,10+3*MIN(O$3,$D$2-1)))))</f>
        <v/>
      </c>
      <c r="P8" s="55">
        <f>IF(OR($C8="",$B$2="",$D$2=0),0,IF(P$3&lt;0,0,N(INDEX('CURVA PREVISION'!$A$1:$KZ$3000,$C8,10+3*MIN(P$3,$D$2-1)))))</f>
        <v/>
      </c>
      <c r="Q8" s="55">
        <f>IF(OR($C8="",$B$2="",$D$2=0),0,IF(Q$3&lt;0,0,N(INDEX('CURVA PREVISION'!$A$1:$KZ$3000,$C8,10+3*MIN(Q$3,$D$2-1)))))</f>
        <v/>
      </c>
      <c r="R8" s="55">
        <f>IF(OR($C8="",$B$2="",$D$2=0),0,IF(R$3&lt;0,0,N(INDEX('CURVA PREVISION'!$A$1:$KZ$3000,$C8,10+3*MIN(R$3,$D$2-1)))))</f>
        <v/>
      </c>
      <c r="S8" s="55">
        <f>IF(OR($C8="",$B$2="",$D$2=0),0,IF(S$3&lt;0,0,N(INDEX('CURVA PREVISION'!$A$1:$KZ$3000,$C8,10+3*MIN(S$3,$D$2-1)))))</f>
        <v/>
      </c>
      <c r="T8" s="55">
        <f>IF(OR($C8="",$B$2="",$D$2=0),0,IF(T$3&lt;0,0,N(INDEX('CURVA PREVISION'!$A$1:$KZ$3000,$C8,10+3*MIN(T$3,$D$2-1)))))</f>
        <v/>
      </c>
      <c r="U8" s="55">
        <f>IF(OR($C8="",$B$2="",$D$2=0),0,IF(U$3&lt;0,0,N(INDEX('CURVA PREVISION'!$A$1:$KZ$3000,$C8,10+3*MIN(U$3,$D$2-1)))))</f>
        <v/>
      </c>
      <c r="V8" s="55">
        <f>IF(OR($C8="",$B$2="",$D$2=0),0,IF(V$3&lt;0,0,N(INDEX('CURVA PREVISION'!$A$1:$KZ$3000,$C8,10+3*MIN(V$3,$D$2-1)))))</f>
        <v/>
      </c>
      <c r="W8" s="55">
        <f>IF(OR($C8="",$B$2="",$D$2=0),0,IF(W$3&lt;0,0,N(INDEX('CURVA PREVISION'!$A$1:$KZ$3000,$C8,10+3*MIN(W$3,$D$2-1)))))</f>
        <v/>
      </c>
      <c r="X8" s="55">
        <f>IF(OR($C8="",$B$2="",$D$2=0),0,IF(X$3&lt;0,0,N(INDEX('CURVA PREVISION'!$A$1:$KZ$3000,$C8,10+3*MIN(X$3,$D$2-1)))))</f>
        <v/>
      </c>
      <c r="Y8" s="55">
        <f>IF(OR($C8="",$B$2="",$D$2=0),0,IF(Y$3&lt;0,0,N(INDEX('CURVA PREVISION'!$A$1:$KZ$3000,$C8,10+3*MIN(Y$3,$D$2-1)))))</f>
        <v/>
      </c>
      <c r="Z8" s="55">
        <f>IF(OR($C8="",$B$2="",$D$2=0),0,IF(Z$3&lt;0,0,N(INDEX('CURVA PREVISION'!$A$1:$KZ$3000,$C8,10+3*MIN(Z$3,$D$2-1)))))</f>
        <v/>
      </c>
      <c r="AA8" s="55">
        <f>IF(OR($C8="",$B$2="",$D$2=0),0,IF(AA$3&lt;0,0,N(INDEX('CURVA PREVISION'!$A$1:$KZ$3000,$C8,10+3*MIN(AA$3,$D$2-1)))))</f>
        <v/>
      </c>
      <c r="AB8" s="55">
        <f>IF(OR($C8="",$B$2="",$D$2=0),0,IF(AB$3&lt;0,0,N(INDEX('CURVA PREVISION'!$A$1:$KZ$3000,$C8,10+3*MIN(AB$3,$D$2-1)))))</f>
        <v/>
      </c>
      <c r="AC8" s="55">
        <f>IF(OR($C8="",$B$2="",$D$2=0),0,IF(AC$3&lt;0,0,N(INDEX('CURVA PREVISION'!$A$1:$KZ$3000,$C8,10+3*MIN(AC$3,$D$2-1)))))</f>
        <v/>
      </c>
      <c r="AD8" s="55">
        <f>IF(OR($C8="",$B$2="",$D$2=0),0,IF(AD$3&lt;0,0,N(INDEX('CURVA PREVISION'!$A$1:$KZ$3000,$C8,10+3*MIN(AD$3,$D$2-1)))))</f>
        <v/>
      </c>
      <c r="AE8" s="55">
        <f>IF(OR($C8="",$B$2="",$D$2=0),0,IF(AE$3&lt;0,0,N(INDEX('CURVA PREVISION'!$A$1:$KZ$3000,$C8,10+3*MIN(AE$3,$D$2-1)))))</f>
        <v/>
      </c>
      <c r="AF8" s="55">
        <f>IF(OR($C8="",$B$2="",$D$2=0),0,IF(AF$3&lt;0,0,N(INDEX('CURVA PREVISION'!$A$1:$KZ$3000,$C8,10+3*MIN(AF$3,$D$2-1)))))</f>
        <v/>
      </c>
      <c r="AG8" s="55">
        <f>IF(OR($C8="",$B$2="",$D$2=0),0,IF(AG$3&lt;0,0,N(INDEX('CURVA PREVISION'!$A$1:$KZ$3000,$C8,10+3*MIN(AG$3,$D$2-1)))))</f>
        <v/>
      </c>
      <c r="AH8" s="55">
        <f>IF(OR($C8="",$B$2="",$D$2=0),0,IF(AH$3&lt;0,0,N(INDEX('CURVA PREVISION'!$A$1:$KZ$3000,$C8,10+3*MIN(AH$3,$D$2-1)))))</f>
        <v/>
      </c>
      <c r="AI8" s="55">
        <f>IF(OR($C8="",$B$2="",$D$2=0),0,IF(AI$3&lt;0,0,N(INDEX('CURVA PREVISION'!$A$1:$KZ$3000,$C8,10+3*MIN(AI$3,$D$2-1)))))</f>
        <v/>
      </c>
      <c r="AJ8" s="55">
        <f>IF(OR($C8="",$B$2="",$D$2=0),0,IF(AJ$3&lt;0,0,N(INDEX('CURVA PREVISION'!$A$1:$KZ$3000,$C8,10+3*MIN(AJ$3,$D$2-1)))))</f>
        <v/>
      </c>
      <c r="AK8" s="55">
        <f>IF(OR($C8="",$B$2="",$D$2=0),0,IF(AK$3&lt;0,0,N(INDEX('CURVA PREVISION'!$A$1:$KZ$3000,$C8,10+3*MIN(AK$3,$D$2-1)))))</f>
        <v/>
      </c>
      <c r="AL8" s="55">
        <f>IF(OR($C8="",$B$2="",$D$2=0),0,IF(AL$3&lt;0,0,N(INDEX('CURVA PREVISION'!$A$1:$KZ$3000,$C8,10+3*MIN(AL$3,$D$2-1)))))</f>
        <v/>
      </c>
      <c r="AM8" s="55">
        <f>IF(OR($C8="",$B$2="",$D$2=0),0,IF(AM$3&lt;0,0,N(INDEX('CURVA PREVISION'!$A$1:$KZ$3000,$C8,10+3*MIN(AM$3,$D$2-1)))))</f>
        <v/>
      </c>
      <c r="AN8" s="55">
        <f>IF(OR($C8="",$B$2="",$D$2=0),0,IF(AN$3&lt;0,0,N(INDEX('CURVA PREVISION'!$A$1:$KZ$3000,$C8,10+3*MIN(AN$3,$D$2-1)))))</f>
        <v/>
      </c>
      <c r="AO8" s="55">
        <f>IF(OR($C8="",$B$2="",$D$2=0),0,IF(AO$3&lt;0,0,N(INDEX('CURVA PREVISION'!$A$1:$KZ$3000,$C8,10+3*MIN(AO$3,$D$2-1)))))</f>
        <v/>
      </c>
      <c r="AP8" s="55">
        <f>IF(OR($C8="",$B$2="",$D$2=0),0,IF(AP$3&lt;0,0,N(INDEX('CURVA PREVISION'!$A$1:$KZ$3000,$C8,10+3*MIN(AP$3,$D$2-1)))))</f>
        <v/>
      </c>
      <c r="AQ8" s="55">
        <f>IF(OR($C8="",$B$2="",$D$2=0),0,IF(AQ$3&lt;0,0,N(INDEX('CURVA PREVISION'!$A$1:$KZ$3000,$C8,10+3*MIN(AQ$3,$D$2-1)))))</f>
        <v/>
      </c>
      <c r="AR8" s="55">
        <f>IF(OR($C8="",$B$2="",$D$2=0),0,IF(AR$3&lt;0,0,N(INDEX('CURVA PREVISION'!$A$1:$KZ$3000,$C8,10+3*MIN(AR$3,$D$2-1)))))</f>
        <v/>
      </c>
      <c r="AS8" s="55">
        <f>IF(OR($C8="",$B$2="",$D$2=0),0,IF(AS$3&lt;0,0,N(INDEX('CURVA PREVISION'!$A$1:$KZ$3000,$C8,10+3*MIN(AS$3,$D$2-1)))))</f>
        <v/>
      </c>
      <c r="AT8" s="55">
        <f>IF(OR($C8="",$B$2="",$D$2=0),0,IF(AT$3&lt;0,0,N(INDEX('CURVA PREVISION'!$A$1:$KZ$3000,$C8,10+3*MIN(AT$3,$D$2-1)))))</f>
        <v/>
      </c>
      <c r="AU8" s="55">
        <f>IF(OR($C8="",$B$2="",$D$2=0),0,IF(AU$3&lt;0,0,N(INDEX('CURVA PREVISION'!$A$1:$KZ$3000,$C8,10+3*MIN(AU$3,$D$2-1)))))</f>
        <v/>
      </c>
      <c r="AV8" s="55">
        <f>IF(OR($C8="",$B$2="",$D$2=0),0,IF(AV$3&lt;0,0,N(INDEX('CURVA PREVISION'!$A$1:$KZ$3000,$C8,10+3*MIN(AV$3,$D$2-1)))))</f>
        <v/>
      </c>
      <c r="AW8" s="55">
        <f>IF(OR($C8="",$B$2="",$D$2=0),0,IF(AW$3&lt;0,0,N(INDEX('CURVA PREVISION'!$A$1:$KZ$3000,$C8,10+3*MIN(AW$3,$D$2-1)))))</f>
        <v/>
      </c>
      <c r="AX8" s="55">
        <f>IF(OR($C8="",$B$2="",$D$2=0),0,IF(AX$3&lt;0,0,N(INDEX('CURVA PREVISION'!$A$1:$KZ$3000,$C8,10+3*MIN(AX$3,$D$2-1)))))</f>
        <v/>
      </c>
      <c r="AY8" s="55">
        <f>IF(OR($C8="",$B$2="",$D$2=0),0,IF(AY$3&lt;0,0,N(INDEX('CURVA PREVISION'!$A$1:$KZ$3000,$C8,10+3*MIN(AY$3,$D$2-1)))))</f>
        <v/>
      </c>
      <c r="AZ8" s="55">
        <f>IF(OR($C8="",$B$2="",$D$2=0),0,IF(AZ$3&lt;0,0,N(INDEX('CURVA PREVISION'!$A$1:$KZ$3000,$C8,10+3*MIN(AZ$3,$D$2-1)))))</f>
        <v/>
      </c>
      <c r="BA8" s="55">
        <f>IF(OR($C8="",$B$2="",$D$2=0),0,IF(BA$3&lt;0,0,N(INDEX('CURVA PREVISION'!$A$1:$KZ$3000,$C8,10+3*MIN(BA$3,$D$2-1)))))</f>
        <v/>
      </c>
      <c r="BB8" s="55">
        <f>IF(OR($C8="",$B$2="",$D$2=0),0,IF(BB$3&lt;0,0,N(INDEX('CURVA PREVISION'!$A$1:$KZ$3000,$C8,10+3*MIN(BB$3,$D$2-1)))))</f>
        <v/>
      </c>
      <c r="BC8" s="55">
        <f>IF(OR($C8="",$B$2="",$D$2=0),0,IF(BC$3&lt;0,0,N(INDEX('CURVA PREVISION'!$A$1:$KZ$3000,$C8,10+3*MIN(BC$3,$D$2-1)))))</f>
        <v/>
      </c>
      <c r="BD8" s="55">
        <f>IF(OR($C8="",$B$2="",$D$2=0),0,IF(BD$3&lt;0,0,N(INDEX('CURVA PREVISION'!$A$1:$KZ$3000,$C8,10+3*MIN(BD$3,$D$2-1)))))</f>
        <v/>
      </c>
      <c r="BE8" s="55">
        <f>IF(OR($C8="",$B$2="",$D$2=0),0,IF(BE$3&lt;0,0,N(INDEX('CURVA PREVISION'!$A$1:$KZ$3000,$C8,10+3*MIN(BE$3,$D$2-1)))))</f>
        <v/>
      </c>
      <c r="BF8" s="55">
        <f>IF(OR($C8="",$B$2="",$D$2=0),0,IF(BF$3&lt;0,0,N(INDEX('CURVA PREVISION'!$A$1:$KZ$3000,$C8,10+3*MIN(BF$3,$D$2-1)))))</f>
        <v/>
      </c>
      <c r="BG8" s="55">
        <f>IF(OR($C8="",$B$2="",$D$2=0),0,IF(BG$3&lt;0,0,N(INDEX('CURVA PREVISION'!$A$1:$KZ$3000,$C8,10+3*MIN(BG$3,$D$2-1)))))</f>
        <v/>
      </c>
      <c r="BH8" s="55">
        <f>IF(OR($C8="",$B$2="",$D$2=0),0,IF(BH$3&lt;0,0,N(INDEX('CURVA PREVISION'!$A$1:$KZ$3000,$C8,10+3*MIN(BH$3,$D$2-1)))))</f>
        <v/>
      </c>
      <c r="BI8" s="55">
        <f>IF(OR($C8="",$B$2="",$D$2=0),0,IF(BI$3&lt;0,0,N(INDEX('CURVA PREVISION'!$A$1:$KZ$3000,$C8,10+3*MIN(BI$3,$D$2-1)))))</f>
        <v/>
      </c>
      <c r="BJ8" s="55">
        <f>IF(OR($C8="",$B$2="",$D$2=0),0,IF(BJ$3&lt;0,0,N(INDEX('CURVA PREVISION'!$A$1:$KZ$3000,$C8,10+3*MIN(BJ$3,$D$2-1)))))</f>
        <v/>
      </c>
      <c r="BK8" s="55">
        <f>IF(OR($C8="",$B$2="",$D$2=0),0,IF(BK$3&lt;0,0,N(INDEX('CURVA PREVISION'!$A$1:$KZ$3000,$C8,10+3*MIN(BK$3,$D$2-1)))))</f>
        <v/>
      </c>
      <c r="BL8" s="55">
        <f>IF(OR($C8="",$B$2="",$D$2=0),0,IF(BL$3&lt;0,0,N(INDEX('CURVA PREVISION'!$A$1:$KZ$3000,$C8,10+3*MIN(BL$3,$D$2-1)))))</f>
        <v/>
      </c>
      <c r="BM8" s="55">
        <f>IF(OR($C8="",$B$2="",$D$2=0),0,IF(BM$3&lt;0,0,N(INDEX('CURVA PREVISION'!$A$1:$KZ$3000,$C8,10+3*MIN(BM$3,$D$2-1)))))</f>
        <v/>
      </c>
      <c r="BN8" s="55">
        <f>IF(OR($C8="",$B$2="",$D$2=0),0,IF(BN$3&lt;0,0,N(INDEX('CURVA PREVISION'!$A$1:$KZ$3000,$C8,10+3*MIN(BN$3,$D$2-1)))))</f>
        <v/>
      </c>
      <c r="BO8" s="55">
        <f>IF(OR($C8="",$B$2="",$D$2=0),0,IF(BO$3&lt;0,0,N(INDEX('CURVA PREVISION'!$A$1:$KZ$3000,$C8,10+3*MIN(BO$3,$D$2-1)))))</f>
        <v/>
      </c>
      <c r="BP8" s="55">
        <f>IF(OR($C8="",$B$2="",$D$2=0),0,IF(BP$3&lt;0,0,N(INDEX('CURVA PREVISION'!$A$1:$KZ$3000,$C8,10+3*MIN(BP$3,$D$2-1)))))</f>
        <v/>
      </c>
      <c r="BQ8" s="55">
        <f>IF(OR($C8="",$B$2="",$D$2=0),0,IF(BQ$3&lt;0,0,N(INDEX('CURVA PREVISION'!$A$1:$KZ$3000,$C8,10+3*MIN(BQ$3,$D$2-1)))))</f>
        <v/>
      </c>
      <c r="BR8" s="55">
        <f>IF(OR($C8="",$B$2="",$D$2=0),0,IF(BR$3&lt;0,0,N(INDEX('CURVA PREVISION'!$A$1:$KZ$3000,$C8,10+3*MIN(BR$3,$D$2-1)))))</f>
        <v/>
      </c>
      <c r="BS8" s="55">
        <f>IF(OR($C8="",$B$2="",$D$2=0),0,IF(BS$3&lt;0,0,N(INDEX('CURVA PREVISION'!$A$1:$KZ$3000,$C8,10+3*MIN(BS$3,$D$2-1)))))</f>
        <v/>
      </c>
      <c r="BT8" s="55">
        <f>IF(OR($C8="",$B$2="",$D$2=0),0,IF(BT$3&lt;0,0,N(INDEX('CURVA PREVISION'!$A$1:$KZ$3000,$C8,10+3*MIN(BT$3,$D$2-1)))))</f>
        <v/>
      </c>
      <c r="BU8" s="55">
        <f>IF(OR($C8="",$B$2="",$D$2=0),0,IF(BU$3&lt;0,0,N(INDEX('CURVA PREVISION'!$A$1:$KZ$3000,$C8,10+3*MIN(BU$3,$D$2-1)))))</f>
        <v/>
      </c>
      <c r="BV8" s="55">
        <f>IF(OR($C8="",$B$2="",$D$2=0),0,IF(BV$3&lt;0,0,N(INDEX('CURVA PREVISION'!$A$1:$KZ$3000,$C8,10+3*MIN(BV$3,$D$2-1)))))</f>
        <v/>
      </c>
      <c r="BW8" s="55">
        <f>IF(OR($C8="",$B$2="",$D$2=0),0,IF(BW$3&lt;0,0,N(INDEX('CURVA PREVISION'!$A$1:$KZ$3000,$C8,10+3*MIN(BW$3,$D$2-1)))))</f>
        <v/>
      </c>
    </row>
    <row r="9">
      <c r="A9" s="34">
        <f>'VALOR POR PL'!C15</f>
        <v/>
      </c>
      <c r="B9" s="34">
        <f>'VALOR POR PL'!D15</f>
        <v/>
      </c>
      <c r="C9" s="28">
        <f>IFERROR(MATCH(A9,'CURVA PREVISION'!$B$1:$B$3000,0),"")</f>
        <v/>
      </c>
      <c r="D9" s="55">
        <f>IF(OR($C9="",$B$2="",$D$2=0),0,IF(D$3&lt;0,0,N(INDEX('CURVA PREVISION'!$A$1:$KZ$3000,$C9,10+3*MIN(D$3,$D$2-1)))))</f>
        <v/>
      </c>
      <c r="E9" s="55">
        <f>IF(OR($C9="",$B$2="",$D$2=0),0,IF(E$3&lt;0,0,N(INDEX('CURVA PREVISION'!$A$1:$KZ$3000,$C9,10+3*MIN(E$3,$D$2-1)))))</f>
        <v/>
      </c>
      <c r="F9" s="55">
        <f>IF(OR($C9="",$B$2="",$D$2=0),0,IF(F$3&lt;0,0,N(INDEX('CURVA PREVISION'!$A$1:$KZ$3000,$C9,10+3*MIN(F$3,$D$2-1)))))</f>
        <v/>
      </c>
      <c r="G9" s="55">
        <f>IF(OR($C9="",$B$2="",$D$2=0),0,IF(G$3&lt;0,0,N(INDEX('CURVA PREVISION'!$A$1:$KZ$3000,$C9,10+3*MIN(G$3,$D$2-1)))))</f>
        <v/>
      </c>
      <c r="H9" s="55">
        <f>IF(OR($C9="",$B$2="",$D$2=0),0,IF(H$3&lt;0,0,N(INDEX('CURVA PREVISION'!$A$1:$KZ$3000,$C9,10+3*MIN(H$3,$D$2-1)))))</f>
        <v/>
      </c>
      <c r="I9" s="55">
        <f>IF(OR($C9="",$B$2="",$D$2=0),0,IF(I$3&lt;0,0,N(INDEX('CURVA PREVISION'!$A$1:$KZ$3000,$C9,10+3*MIN(I$3,$D$2-1)))))</f>
        <v/>
      </c>
      <c r="J9" s="55">
        <f>IF(OR($C9="",$B$2="",$D$2=0),0,IF(J$3&lt;0,0,N(INDEX('CURVA PREVISION'!$A$1:$KZ$3000,$C9,10+3*MIN(J$3,$D$2-1)))))</f>
        <v/>
      </c>
      <c r="K9" s="55">
        <f>IF(OR($C9="",$B$2="",$D$2=0),0,IF(K$3&lt;0,0,N(INDEX('CURVA PREVISION'!$A$1:$KZ$3000,$C9,10+3*MIN(K$3,$D$2-1)))))</f>
        <v/>
      </c>
      <c r="L9" s="55">
        <f>IF(OR($C9="",$B$2="",$D$2=0),0,IF(L$3&lt;0,0,N(INDEX('CURVA PREVISION'!$A$1:$KZ$3000,$C9,10+3*MIN(L$3,$D$2-1)))))</f>
        <v/>
      </c>
      <c r="M9" s="55">
        <f>IF(OR($C9="",$B$2="",$D$2=0),0,IF(M$3&lt;0,0,N(INDEX('CURVA PREVISION'!$A$1:$KZ$3000,$C9,10+3*MIN(M$3,$D$2-1)))))</f>
        <v/>
      </c>
      <c r="N9" s="55">
        <f>IF(OR($C9="",$B$2="",$D$2=0),0,IF(N$3&lt;0,0,N(INDEX('CURVA PREVISION'!$A$1:$KZ$3000,$C9,10+3*MIN(N$3,$D$2-1)))))</f>
        <v/>
      </c>
      <c r="O9" s="55">
        <f>IF(OR($C9="",$B$2="",$D$2=0),0,IF(O$3&lt;0,0,N(INDEX('CURVA PREVISION'!$A$1:$KZ$3000,$C9,10+3*MIN(O$3,$D$2-1)))))</f>
        <v/>
      </c>
      <c r="P9" s="55">
        <f>IF(OR($C9="",$B$2="",$D$2=0),0,IF(P$3&lt;0,0,N(INDEX('CURVA PREVISION'!$A$1:$KZ$3000,$C9,10+3*MIN(P$3,$D$2-1)))))</f>
        <v/>
      </c>
      <c r="Q9" s="55">
        <f>IF(OR($C9="",$B$2="",$D$2=0),0,IF(Q$3&lt;0,0,N(INDEX('CURVA PREVISION'!$A$1:$KZ$3000,$C9,10+3*MIN(Q$3,$D$2-1)))))</f>
        <v/>
      </c>
      <c r="R9" s="55">
        <f>IF(OR($C9="",$B$2="",$D$2=0),0,IF(R$3&lt;0,0,N(INDEX('CURVA PREVISION'!$A$1:$KZ$3000,$C9,10+3*MIN(R$3,$D$2-1)))))</f>
        <v/>
      </c>
      <c r="S9" s="55">
        <f>IF(OR($C9="",$B$2="",$D$2=0),0,IF(S$3&lt;0,0,N(INDEX('CURVA PREVISION'!$A$1:$KZ$3000,$C9,10+3*MIN(S$3,$D$2-1)))))</f>
        <v/>
      </c>
      <c r="T9" s="55">
        <f>IF(OR($C9="",$B$2="",$D$2=0),0,IF(T$3&lt;0,0,N(INDEX('CURVA PREVISION'!$A$1:$KZ$3000,$C9,10+3*MIN(T$3,$D$2-1)))))</f>
        <v/>
      </c>
      <c r="U9" s="55">
        <f>IF(OR($C9="",$B$2="",$D$2=0),0,IF(U$3&lt;0,0,N(INDEX('CURVA PREVISION'!$A$1:$KZ$3000,$C9,10+3*MIN(U$3,$D$2-1)))))</f>
        <v/>
      </c>
      <c r="V9" s="55">
        <f>IF(OR($C9="",$B$2="",$D$2=0),0,IF(V$3&lt;0,0,N(INDEX('CURVA PREVISION'!$A$1:$KZ$3000,$C9,10+3*MIN(V$3,$D$2-1)))))</f>
        <v/>
      </c>
      <c r="W9" s="55">
        <f>IF(OR($C9="",$B$2="",$D$2=0),0,IF(W$3&lt;0,0,N(INDEX('CURVA PREVISION'!$A$1:$KZ$3000,$C9,10+3*MIN(W$3,$D$2-1)))))</f>
        <v/>
      </c>
      <c r="X9" s="55">
        <f>IF(OR($C9="",$B$2="",$D$2=0),0,IF(X$3&lt;0,0,N(INDEX('CURVA PREVISION'!$A$1:$KZ$3000,$C9,10+3*MIN(X$3,$D$2-1)))))</f>
        <v/>
      </c>
      <c r="Y9" s="55">
        <f>IF(OR($C9="",$B$2="",$D$2=0),0,IF(Y$3&lt;0,0,N(INDEX('CURVA PREVISION'!$A$1:$KZ$3000,$C9,10+3*MIN(Y$3,$D$2-1)))))</f>
        <v/>
      </c>
      <c r="Z9" s="55">
        <f>IF(OR($C9="",$B$2="",$D$2=0),0,IF(Z$3&lt;0,0,N(INDEX('CURVA PREVISION'!$A$1:$KZ$3000,$C9,10+3*MIN(Z$3,$D$2-1)))))</f>
        <v/>
      </c>
      <c r="AA9" s="55">
        <f>IF(OR($C9="",$B$2="",$D$2=0),0,IF(AA$3&lt;0,0,N(INDEX('CURVA PREVISION'!$A$1:$KZ$3000,$C9,10+3*MIN(AA$3,$D$2-1)))))</f>
        <v/>
      </c>
      <c r="AB9" s="55">
        <f>IF(OR($C9="",$B$2="",$D$2=0),0,IF(AB$3&lt;0,0,N(INDEX('CURVA PREVISION'!$A$1:$KZ$3000,$C9,10+3*MIN(AB$3,$D$2-1)))))</f>
        <v/>
      </c>
      <c r="AC9" s="55">
        <f>IF(OR($C9="",$B$2="",$D$2=0),0,IF(AC$3&lt;0,0,N(INDEX('CURVA PREVISION'!$A$1:$KZ$3000,$C9,10+3*MIN(AC$3,$D$2-1)))))</f>
        <v/>
      </c>
      <c r="AD9" s="55">
        <f>IF(OR($C9="",$B$2="",$D$2=0),0,IF(AD$3&lt;0,0,N(INDEX('CURVA PREVISION'!$A$1:$KZ$3000,$C9,10+3*MIN(AD$3,$D$2-1)))))</f>
        <v/>
      </c>
      <c r="AE9" s="55">
        <f>IF(OR($C9="",$B$2="",$D$2=0),0,IF(AE$3&lt;0,0,N(INDEX('CURVA PREVISION'!$A$1:$KZ$3000,$C9,10+3*MIN(AE$3,$D$2-1)))))</f>
        <v/>
      </c>
      <c r="AF9" s="55">
        <f>IF(OR($C9="",$B$2="",$D$2=0),0,IF(AF$3&lt;0,0,N(INDEX('CURVA PREVISION'!$A$1:$KZ$3000,$C9,10+3*MIN(AF$3,$D$2-1)))))</f>
        <v/>
      </c>
      <c r="AG9" s="55">
        <f>IF(OR($C9="",$B$2="",$D$2=0),0,IF(AG$3&lt;0,0,N(INDEX('CURVA PREVISION'!$A$1:$KZ$3000,$C9,10+3*MIN(AG$3,$D$2-1)))))</f>
        <v/>
      </c>
      <c r="AH9" s="55">
        <f>IF(OR($C9="",$B$2="",$D$2=0),0,IF(AH$3&lt;0,0,N(INDEX('CURVA PREVISION'!$A$1:$KZ$3000,$C9,10+3*MIN(AH$3,$D$2-1)))))</f>
        <v/>
      </c>
      <c r="AI9" s="55">
        <f>IF(OR($C9="",$B$2="",$D$2=0),0,IF(AI$3&lt;0,0,N(INDEX('CURVA PREVISION'!$A$1:$KZ$3000,$C9,10+3*MIN(AI$3,$D$2-1)))))</f>
        <v/>
      </c>
      <c r="AJ9" s="55">
        <f>IF(OR($C9="",$B$2="",$D$2=0),0,IF(AJ$3&lt;0,0,N(INDEX('CURVA PREVISION'!$A$1:$KZ$3000,$C9,10+3*MIN(AJ$3,$D$2-1)))))</f>
        <v/>
      </c>
      <c r="AK9" s="55">
        <f>IF(OR($C9="",$B$2="",$D$2=0),0,IF(AK$3&lt;0,0,N(INDEX('CURVA PREVISION'!$A$1:$KZ$3000,$C9,10+3*MIN(AK$3,$D$2-1)))))</f>
        <v/>
      </c>
      <c r="AL9" s="55">
        <f>IF(OR($C9="",$B$2="",$D$2=0),0,IF(AL$3&lt;0,0,N(INDEX('CURVA PREVISION'!$A$1:$KZ$3000,$C9,10+3*MIN(AL$3,$D$2-1)))))</f>
        <v/>
      </c>
      <c r="AM9" s="55">
        <f>IF(OR($C9="",$B$2="",$D$2=0),0,IF(AM$3&lt;0,0,N(INDEX('CURVA PREVISION'!$A$1:$KZ$3000,$C9,10+3*MIN(AM$3,$D$2-1)))))</f>
        <v/>
      </c>
      <c r="AN9" s="55">
        <f>IF(OR($C9="",$B$2="",$D$2=0),0,IF(AN$3&lt;0,0,N(INDEX('CURVA PREVISION'!$A$1:$KZ$3000,$C9,10+3*MIN(AN$3,$D$2-1)))))</f>
        <v/>
      </c>
      <c r="AO9" s="55">
        <f>IF(OR($C9="",$B$2="",$D$2=0),0,IF(AO$3&lt;0,0,N(INDEX('CURVA PREVISION'!$A$1:$KZ$3000,$C9,10+3*MIN(AO$3,$D$2-1)))))</f>
        <v/>
      </c>
      <c r="AP9" s="55">
        <f>IF(OR($C9="",$B$2="",$D$2=0),0,IF(AP$3&lt;0,0,N(INDEX('CURVA PREVISION'!$A$1:$KZ$3000,$C9,10+3*MIN(AP$3,$D$2-1)))))</f>
        <v/>
      </c>
      <c r="AQ9" s="55">
        <f>IF(OR($C9="",$B$2="",$D$2=0),0,IF(AQ$3&lt;0,0,N(INDEX('CURVA PREVISION'!$A$1:$KZ$3000,$C9,10+3*MIN(AQ$3,$D$2-1)))))</f>
        <v/>
      </c>
      <c r="AR9" s="55">
        <f>IF(OR($C9="",$B$2="",$D$2=0),0,IF(AR$3&lt;0,0,N(INDEX('CURVA PREVISION'!$A$1:$KZ$3000,$C9,10+3*MIN(AR$3,$D$2-1)))))</f>
        <v/>
      </c>
      <c r="AS9" s="55">
        <f>IF(OR($C9="",$B$2="",$D$2=0),0,IF(AS$3&lt;0,0,N(INDEX('CURVA PREVISION'!$A$1:$KZ$3000,$C9,10+3*MIN(AS$3,$D$2-1)))))</f>
        <v/>
      </c>
      <c r="AT9" s="55">
        <f>IF(OR($C9="",$B$2="",$D$2=0),0,IF(AT$3&lt;0,0,N(INDEX('CURVA PREVISION'!$A$1:$KZ$3000,$C9,10+3*MIN(AT$3,$D$2-1)))))</f>
        <v/>
      </c>
      <c r="AU9" s="55">
        <f>IF(OR($C9="",$B$2="",$D$2=0),0,IF(AU$3&lt;0,0,N(INDEX('CURVA PREVISION'!$A$1:$KZ$3000,$C9,10+3*MIN(AU$3,$D$2-1)))))</f>
        <v/>
      </c>
      <c r="AV9" s="55">
        <f>IF(OR($C9="",$B$2="",$D$2=0),0,IF(AV$3&lt;0,0,N(INDEX('CURVA PREVISION'!$A$1:$KZ$3000,$C9,10+3*MIN(AV$3,$D$2-1)))))</f>
        <v/>
      </c>
      <c r="AW9" s="55">
        <f>IF(OR($C9="",$B$2="",$D$2=0),0,IF(AW$3&lt;0,0,N(INDEX('CURVA PREVISION'!$A$1:$KZ$3000,$C9,10+3*MIN(AW$3,$D$2-1)))))</f>
        <v/>
      </c>
      <c r="AX9" s="55">
        <f>IF(OR($C9="",$B$2="",$D$2=0),0,IF(AX$3&lt;0,0,N(INDEX('CURVA PREVISION'!$A$1:$KZ$3000,$C9,10+3*MIN(AX$3,$D$2-1)))))</f>
        <v/>
      </c>
      <c r="AY9" s="55">
        <f>IF(OR($C9="",$B$2="",$D$2=0),0,IF(AY$3&lt;0,0,N(INDEX('CURVA PREVISION'!$A$1:$KZ$3000,$C9,10+3*MIN(AY$3,$D$2-1)))))</f>
        <v/>
      </c>
      <c r="AZ9" s="55">
        <f>IF(OR($C9="",$B$2="",$D$2=0),0,IF(AZ$3&lt;0,0,N(INDEX('CURVA PREVISION'!$A$1:$KZ$3000,$C9,10+3*MIN(AZ$3,$D$2-1)))))</f>
        <v/>
      </c>
      <c r="BA9" s="55">
        <f>IF(OR($C9="",$B$2="",$D$2=0),0,IF(BA$3&lt;0,0,N(INDEX('CURVA PREVISION'!$A$1:$KZ$3000,$C9,10+3*MIN(BA$3,$D$2-1)))))</f>
        <v/>
      </c>
      <c r="BB9" s="55">
        <f>IF(OR($C9="",$B$2="",$D$2=0),0,IF(BB$3&lt;0,0,N(INDEX('CURVA PREVISION'!$A$1:$KZ$3000,$C9,10+3*MIN(BB$3,$D$2-1)))))</f>
        <v/>
      </c>
      <c r="BC9" s="55">
        <f>IF(OR($C9="",$B$2="",$D$2=0),0,IF(BC$3&lt;0,0,N(INDEX('CURVA PREVISION'!$A$1:$KZ$3000,$C9,10+3*MIN(BC$3,$D$2-1)))))</f>
        <v/>
      </c>
      <c r="BD9" s="55">
        <f>IF(OR($C9="",$B$2="",$D$2=0),0,IF(BD$3&lt;0,0,N(INDEX('CURVA PREVISION'!$A$1:$KZ$3000,$C9,10+3*MIN(BD$3,$D$2-1)))))</f>
        <v/>
      </c>
      <c r="BE9" s="55">
        <f>IF(OR($C9="",$B$2="",$D$2=0),0,IF(BE$3&lt;0,0,N(INDEX('CURVA PREVISION'!$A$1:$KZ$3000,$C9,10+3*MIN(BE$3,$D$2-1)))))</f>
        <v/>
      </c>
      <c r="BF9" s="55">
        <f>IF(OR($C9="",$B$2="",$D$2=0),0,IF(BF$3&lt;0,0,N(INDEX('CURVA PREVISION'!$A$1:$KZ$3000,$C9,10+3*MIN(BF$3,$D$2-1)))))</f>
        <v/>
      </c>
      <c r="BG9" s="55">
        <f>IF(OR($C9="",$B$2="",$D$2=0),0,IF(BG$3&lt;0,0,N(INDEX('CURVA PREVISION'!$A$1:$KZ$3000,$C9,10+3*MIN(BG$3,$D$2-1)))))</f>
        <v/>
      </c>
      <c r="BH9" s="55">
        <f>IF(OR($C9="",$B$2="",$D$2=0),0,IF(BH$3&lt;0,0,N(INDEX('CURVA PREVISION'!$A$1:$KZ$3000,$C9,10+3*MIN(BH$3,$D$2-1)))))</f>
        <v/>
      </c>
      <c r="BI9" s="55">
        <f>IF(OR($C9="",$B$2="",$D$2=0),0,IF(BI$3&lt;0,0,N(INDEX('CURVA PREVISION'!$A$1:$KZ$3000,$C9,10+3*MIN(BI$3,$D$2-1)))))</f>
        <v/>
      </c>
      <c r="BJ9" s="55">
        <f>IF(OR($C9="",$B$2="",$D$2=0),0,IF(BJ$3&lt;0,0,N(INDEX('CURVA PREVISION'!$A$1:$KZ$3000,$C9,10+3*MIN(BJ$3,$D$2-1)))))</f>
        <v/>
      </c>
      <c r="BK9" s="55">
        <f>IF(OR($C9="",$B$2="",$D$2=0),0,IF(BK$3&lt;0,0,N(INDEX('CURVA PREVISION'!$A$1:$KZ$3000,$C9,10+3*MIN(BK$3,$D$2-1)))))</f>
        <v/>
      </c>
      <c r="BL9" s="55">
        <f>IF(OR($C9="",$B$2="",$D$2=0),0,IF(BL$3&lt;0,0,N(INDEX('CURVA PREVISION'!$A$1:$KZ$3000,$C9,10+3*MIN(BL$3,$D$2-1)))))</f>
        <v/>
      </c>
      <c r="BM9" s="55">
        <f>IF(OR($C9="",$B$2="",$D$2=0),0,IF(BM$3&lt;0,0,N(INDEX('CURVA PREVISION'!$A$1:$KZ$3000,$C9,10+3*MIN(BM$3,$D$2-1)))))</f>
        <v/>
      </c>
      <c r="BN9" s="55">
        <f>IF(OR($C9="",$B$2="",$D$2=0),0,IF(BN$3&lt;0,0,N(INDEX('CURVA PREVISION'!$A$1:$KZ$3000,$C9,10+3*MIN(BN$3,$D$2-1)))))</f>
        <v/>
      </c>
      <c r="BO9" s="55">
        <f>IF(OR($C9="",$B$2="",$D$2=0),0,IF(BO$3&lt;0,0,N(INDEX('CURVA PREVISION'!$A$1:$KZ$3000,$C9,10+3*MIN(BO$3,$D$2-1)))))</f>
        <v/>
      </c>
      <c r="BP9" s="55">
        <f>IF(OR($C9="",$B$2="",$D$2=0),0,IF(BP$3&lt;0,0,N(INDEX('CURVA PREVISION'!$A$1:$KZ$3000,$C9,10+3*MIN(BP$3,$D$2-1)))))</f>
        <v/>
      </c>
      <c r="BQ9" s="55">
        <f>IF(OR($C9="",$B$2="",$D$2=0),0,IF(BQ$3&lt;0,0,N(INDEX('CURVA PREVISION'!$A$1:$KZ$3000,$C9,10+3*MIN(BQ$3,$D$2-1)))))</f>
        <v/>
      </c>
      <c r="BR9" s="55">
        <f>IF(OR($C9="",$B$2="",$D$2=0),0,IF(BR$3&lt;0,0,N(INDEX('CURVA PREVISION'!$A$1:$KZ$3000,$C9,10+3*MIN(BR$3,$D$2-1)))))</f>
        <v/>
      </c>
      <c r="BS9" s="55">
        <f>IF(OR($C9="",$B$2="",$D$2=0),0,IF(BS$3&lt;0,0,N(INDEX('CURVA PREVISION'!$A$1:$KZ$3000,$C9,10+3*MIN(BS$3,$D$2-1)))))</f>
        <v/>
      </c>
      <c r="BT9" s="55">
        <f>IF(OR($C9="",$B$2="",$D$2=0),0,IF(BT$3&lt;0,0,N(INDEX('CURVA PREVISION'!$A$1:$KZ$3000,$C9,10+3*MIN(BT$3,$D$2-1)))))</f>
        <v/>
      </c>
      <c r="BU9" s="55">
        <f>IF(OR($C9="",$B$2="",$D$2=0),0,IF(BU$3&lt;0,0,N(INDEX('CURVA PREVISION'!$A$1:$KZ$3000,$C9,10+3*MIN(BU$3,$D$2-1)))))</f>
        <v/>
      </c>
      <c r="BV9" s="55">
        <f>IF(OR($C9="",$B$2="",$D$2=0),0,IF(BV$3&lt;0,0,N(INDEX('CURVA PREVISION'!$A$1:$KZ$3000,$C9,10+3*MIN(BV$3,$D$2-1)))))</f>
        <v/>
      </c>
      <c r="BW9" s="55">
        <f>IF(OR($C9="",$B$2="",$D$2=0),0,IF(BW$3&lt;0,0,N(INDEX('CURVA PREVISION'!$A$1:$KZ$3000,$C9,10+3*MIN(BW$3,$D$2-1)))))</f>
        <v/>
      </c>
    </row>
    <row r="10">
      <c r="A10" s="34">
        <f>'VALOR POR PL'!C16</f>
        <v/>
      </c>
      <c r="B10" s="34">
        <f>'VALOR POR PL'!D16</f>
        <v/>
      </c>
      <c r="C10" s="28">
        <f>IFERROR(MATCH(A10,'CURVA PREVISION'!$B$1:$B$3000,0),"")</f>
        <v/>
      </c>
      <c r="D10" s="55">
        <f>IF(OR($C10="",$B$2="",$D$2=0),0,IF(D$3&lt;0,0,N(INDEX('CURVA PREVISION'!$A$1:$KZ$3000,$C10,10+3*MIN(D$3,$D$2-1)))))</f>
        <v/>
      </c>
      <c r="E10" s="55">
        <f>IF(OR($C10="",$B$2="",$D$2=0),0,IF(E$3&lt;0,0,N(INDEX('CURVA PREVISION'!$A$1:$KZ$3000,$C10,10+3*MIN(E$3,$D$2-1)))))</f>
        <v/>
      </c>
      <c r="F10" s="55">
        <f>IF(OR($C10="",$B$2="",$D$2=0),0,IF(F$3&lt;0,0,N(INDEX('CURVA PREVISION'!$A$1:$KZ$3000,$C10,10+3*MIN(F$3,$D$2-1)))))</f>
        <v/>
      </c>
      <c r="G10" s="55">
        <f>IF(OR($C10="",$B$2="",$D$2=0),0,IF(G$3&lt;0,0,N(INDEX('CURVA PREVISION'!$A$1:$KZ$3000,$C10,10+3*MIN(G$3,$D$2-1)))))</f>
        <v/>
      </c>
      <c r="H10" s="55">
        <f>IF(OR($C10="",$B$2="",$D$2=0),0,IF(H$3&lt;0,0,N(INDEX('CURVA PREVISION'!$A$1:$KZ$3000,$C10,10+3*MIN(H$3,$D$2-1)))))</f>
        <v/>
      </c>
      <c r="I10" s="55">
        <f>IF(OR($C10="",$B$2="",$D$2=0),0,IF(I$3&lt;0,0,N(INDEX('CURVA PREVISION'!$A$1:$KZ$3000,$C10,10+3*MIN(I$3,$D$2-1)))))</f>
        <v/>
      </c>
      <c r="J10" s="55">
        <f>IF(OR($C10="",$B$2="",$D$2=0),0,IF(J$3&lt;0,0,N(INDEX('CURVA PREVISION'!$A$1:$KZ$3000,$C10,10+3*MIN(J$3,$D$2-1)))))</f>
        <v/>
      </c>
      <c r="K10" s="55">
        <f>IF(OR($C10="",$B$2="",$D$2=0),0,IF(K$3&lt;0,0,N(INDEX('CURVA PREVISION'!$A$1:$KZ$3000,$C10,10+3*MIN(K$3,$D$2-1)))))</f>
        <v/>
      </c>
      <c r="L10" s="55">
        <f>IF(OR($C10="",$B$2="",$D$2=0),0,IF(L$3&lt;0,0,N(INDEX('CURVA PREVISION'!$A$1:$KZ$3000,$C10,10+3*MIN(L$3,$D$2-1)))))</f>
        <v/>
      </c>
      <c r="M10" s="55">
        <f>IF(OR($C10="",$B$2="",$D$2=0),0,IF(M$3&lt;0,0,N(INDEX('CURVA PREVISION'!$A$1:$KZ$3000,$C10,10+3*MIN(M$3,$D$2-1)))))</f>
        <v/>
      </c>
      <c r="N10" s="55">
        <f>IF(OR($C10="",$B$2="",$D$2=0),0,IF(N$3&lt;0,0,N(INDEX('CURVA PREVISION'!$A$1:$KZ$3000,$C10,10+3*MIN(N$3,$D$2-1)))))</f>
        <v/>
      </c>
      <c r="O10" s="55">
        <f>IF(OR($C10="",$B$2="",$D$2=0),0,IF(O$3&lt;0,0,N(INDEX('CURVA PREVISION'!$A$1:$KZ$3000,$C10,10+3*MIN(O$3,$D$2-1)))))</f>
        <v/>
      </c>
      <c r="P10" s="55">
        <f>IF(OR($C10="",$B$2="",$D$2=0),0,IF(P$3&lt;0,0,N(INDEX('CURVA PREVISION'!$A$1:$KZ$3000,$C10,10+3*MIN(P$3,$D$2-1)))))</f>
        <v/>
      </c>
      <c r="Q10" s="55">
        <f>IF(OR($C10="",$B$2="",$D$2=0),0,IF(Q$3&lt;0,0,N(INDEX('CURVA PREVISION'!$A$1:$KZ$3000,$C10,10+3*MIN(Q$3,$D$2-1)))))</f>
        <v/>
      </c>
      <c r="R10" s="55">
        <f>IF(OR($C10="",$B$2="",$D$2=0),0,IF(R$3&lt;0,0,N(INDEX('CURVA PREVISION'!$A$1:$KZ$3000,$C10,10+3*MIN(R$3,$D$2-1)))))</f>
        <v/>
      </c>
      <c r="S10" s="55">
        <f>IF(OR($C10="",$B$2="",$D$2=0),0,IF(S$3&lt;0,0,N(INDEX('CURVA PREVISION'!$A$1:$KZ$3000,$C10,10+3*MIN(S$3,$D$2-1)))))</f>
        <v/>
      </c>
      <c r="T10" s="55">
        <f>IF(OR($C10="",$B$2="",$D$2=0),0,IF(T$3&lt;0,0,N(INDEX('CURVA PREVISION'!$A$1:$KZ$3000,$C10,10+3*MIN(T$3,$D$2-1)))))</f>
        <v/>
      </c>
      <c r="U10" s="55">
        <f>IF(OR($C10="",$B$2="",$D$2=0),0,IF(U$3&lt;0,0,N(INDEX('CURVA PREVISION'!$A$1:$KZ$3000,$C10,10+3*MIN(U$3,$D$2-1)))))</f>
        <v/>
      </c>
      <c r="V10" s="55">
        <f>IF(OR($C10="",$B$2="",$D$2=0),0,IF(V$3&lt;0,0,N(INDEX('CURVA PREVISION'!$A$1:$KZ$3000,$C10,10+3*MIN(V$3,$D$2-1)))))</f>
        <v/>
      </c>
      <c r="W10" s="55">
        <f>IF(OR($C10="",$B$2="",$D$2=0),0,IF(W$3&lt;0,0,N(INDEX('CURVA PREVISION'!$A$1:$KZ$3000,$C10,10+3*MIN(W$3,$D$2-1)))))</f>
        <v/>
      </c>
      <c r="X10" s="55">
        <f>IF(OR($C10="",$B$2="",$D$2=0),0,IF(X$3&lt;0,0,N(INDEX('CURVA PREVISION'!$A$1:$KZ$3000,$C10,10+3*MIN(X$3,$D$2-1)))))</f>
        <v/>
      </c>
      <c r="Y10" s="55">
        <f>IF(OR($C10="",$B$2="",$D$2=0),0,IF(Y$3&lt;0,0,N(INDEX('CURVA PREVISION'!$A$1:$KZ$3000,$C10,10+3*MIN(Y$3,$D$2-1)))))</f>
        <v/>
      </c>
      <c r="Z10" s="55">
        <f>IF(OR($C10="",$B$2="",$D$2=0),0,IF(Z$3&lt;0,0,N(INDEX('CURVA PREVISION'!$A$1:$KZ$3000,$C10,10+3*MIN(Z$3,$D$2-1)))))</f>
        <v/>
      </c>
      <c r="AA10" s="55">
        <f>IF(OR($C10="",$B$2="",$D$2=0),0,IF(AA$3&lt;0,0,N(INDEX('CURVA PREVISION'!$A$1:$KZ$3000,$C10,10+3*MIN(AA$3,$D$2-1)))))</f>
        <v/>
      </c>
      <c r="AB10" s="55">
        <f>IF(OR($C10="",$B$2="",$D$2=0),0,IF(AB$3&lt;0,0,N(INDEX('CURVA PREVISION'!$A$1:$KZ$3000,$C10,10+3*MIN(AB$3,$D$2-1)))))</f>
        <v/>
      </c>
      <c r="AC10" s="55">
        <f>IF(OR($C10="",$B$2="",$D$2=0),0,IF(AC$3&lt;0,0,N(INDEX('CURVA PREVISION'!$A$1:$KZ$3000,$C10,10+3*MIN(AC$3,$D$2-1)))))</f>
        <v/>
      </c>
      <c r="AD10" s="55">
        <f>IF(OR($C10="",$B$2="",$D$2=0),0,IF(AD$3&lt;0,0,N(INDEX('CURVA PREVISION'!$A$1:$KZ$3000,$C10,10+3*MIN(AD$3,$D$2-1)))))</f>
        <v/>
      </c>
      <c r="AE10" s="55">
        <f>IF(OR($C10="",$B$2="",$D$2=0),0,IF(AE$3&lt;0,0,N(INDEX('CURVA PREVISION'!$A$1:$KZ$3000,$C10,10+3*MIN(AE$3,$D$2-1)))))</f>
        <v/>
      </c>
      <c r="AF10" s="55">
        <f>IF(OR($C10="",$B$2="",$D$2=0),0,IF(AF$3&lt;0,0,N(INDEX('CURVA PREVISION'!$A$1:$KZ$3000,$C10,10+3*MIN(AF$3,$D$2-1)))))</f>
        <v/>
      </c>
      <c r="AG10" s="55">
        <f>IF(OR($C10="",$B$2="",$D$2=0),0,IF(AG$3&lt;0,0,N(INDEX('CURVA PREVISION'!$A$1:$KZ$3000,$C10,10+3*MIN(AG$3,$D$2-1)))))</f>
        <v/>
      </c>
      <c r="AH10" s="55">
        <f>IF(OR($C10="",$B$2="",$D$2=0),0,IF(AH$3&lt;0,0,N(INDEX('CURVA PREVISION'!$A$1:$KZ$3000,$C10,10+3*MIN(AH$3,$D$2-1)))))</f>
        <v/>
      </c>
      <c r="AI10" s="55">
        <f>IF(OR($C10="",$B$2="",$D$2=0),0,IF(AI$3&lt;0,0,N(INDEX('CURVA PREVISION'!$A$1:$KZ$3000,$C10,10+3*MIN(AI$3,$D$2-1)))))</f>
        <v/>
      </c>
      <c r="AJ10" s="55">
        <f>IF(OR($C10="",$B$2="",$D$2=0),0,IF(AJ$3&lt;0,0,N(INDEX('CURVA PREVISION'!$A$1:$KZ$3000,$C10,10+3*MIN(AJ$3,$D$2-1)))))</f>
        <v/>
      </c>
      <c r="AK10" s="55">
        <f>IF(OR($C10="",$B$2="",$D$2=0),0,IF(AK$3&lt;0,0,N(INDEX('CURVA PREVISION'!$A$1:$KZ$3000,$C10,10+3*MIN(AK$3,$D$2-1)))))</f>
        <v/>
      </c>
      <c r="AL10" s="55">
        <f>IF(OR($C10="",$B$2="",$D$2=0),0,IF(AL$3&lt;0,0,N(INDEX('CURVA PREVISION'!$A$1:$KZ$3000,$C10,10+3*MIN(AL$3,$D$2-1)))))</f>
        <v/>
      </c>
      <c r="AM10" s="55">
        <f>IF(OR($C10="",$B$2="",$D$2=0),0,IF(AM$3&lt;0,0,N(INDEX('CURVA PREVISION'!$A$1:$KZ$3000,$C10,10+3*MIN(AM$3,$D$2-1)))))</f>
        <v/>
      </c>
      <c r="AN10" s="55">
        <f>IF(OR($C10="",$B$2="",$D$2=0),0,IF(AN$3&lt;0,0,N(INDEX('CURVA PREVISION'!$A$1:$KZ$3000,$C10,10+3*MIN(AN$3,$D$2-1)))))</f>
        <v/>
      </c>
      <c r="AO10" s="55">
        <f>IF(OR($C10="",$B$2="",$D$2=0),0,IF(AO$3&lt;0,0,N(INDEX('CURVA PREVISION'!$A$1:$KZ$3000,$C10,10+3*MIN(AO$3,$D$2-1)))))</f>
        <v/>
      </c>
      <c r="AP10" s="55">
        <f>IF(OR($C10="",$B$2="",$D$2=0),0,IF(AP$3&lt;0,0,N(INDEX('CURVA PREVISION'!$A$1:$KZ$3000,$C10,10+3*MIN(AP$3,$D$2-1)))))</f>
        <v/>
      </c>
      <c r="AQ10" s="55">
        <f>IF(OR($C10="",$B$2="",$D$2=0),0,IF(AQ$3&lt;0,0,N(INDEX('CURVA PREVISION'!$A$1:$KZ$3000,$C10,10+3*MIN(AQ$3,$D$2-1)))))</f>
        <v/>
      </c>
      <c r="AR10" s="55">
        <f>IF(OR($C10="",$B$2="",$D$2=0),0,IF(AR$3&lt;0,0,N(INDEX('CURVA PREVISION'!$A$1:$KZ$3000,$C10,10+3*MIN(AR$3,$D$2-1)))))</f>
        <v/>
      </c>
      <c r="AS10" s="55">
        <f>IF(OR($C10="",$B$2="",$D$2=0),0,IF(AS$3&lt;0,0,N(INDEX('CURVA PREVISION'!$A$1:$KZ$3000,$C10,10+3*MIN(AS$3,$D$2-1)))))</f>
        <v/>
      </c>
      <c r="AT10" s="55">
        <f>IF(OR($C10="",$B$2="",$D$2=0),0,IF(AT$3&lt;0,0,N(INDEX('CURVA PREVISION'!$A$1:$KZ$3000,$C10,10+3*MIN(AT$3,$D$2-1)))))</f>
        <v/>
      </c>
      <c r="AU10" s="55">
        <f>IF(OR($C10="",$B$2="",$D$2=0),0,IF(AU$3&lt;0,0,N(INDEX('CURVA PREVISION'!$A$1:$KZ$3000,$C10,10+3*MIN(AU$3,$D$2-1)))))</f>
        <v/>
      </c>
      <c r="AV10" s="55">
        <f>IF(OR($C10="",$B$2="",$D$2=0),0,IF(AV$3&lt;0,0,N(INDEX('CURVA PREVISION'!$A$1:$KZ$3000,$C10,10+3*MIN(AV$3,$D$2-1)))))</f>
        <v/>
      </c>
      <c r="AW10" s="55">
        <f>IF(OR($C10="",$B$2="",$D$2=0),0,IF(AW$3&lt;0,0,N(INDEX('CURVA PREVISION'!$A$1:$KZ$3000,$C10,10+3*MIN(AW$3,$D$2-1)))))</f>
        <v/>
      </c>
      <c r="AX10" s="55">
        <f>IF(OR($C10="",$B$2="",$D$2=0),0,IF(AX$3&lt;0,0,N(INDEX('CURVA PREVISION'!$A$1:$KZ$3000,$C10,10+3*MIN(AX$3,$D$2-1)))))</f>
        <v/>
      </c>
      <c r="AY10" s="55">
        <f>IF(OR($C10="",$B$2="",$D$2=0),0,IF(AY$3&lt;0,0,N(INDEX('CURVA PREVISION'!$A$1:$KZ$3000,$C10,10+3*MIN(AY$3,$D$2-1)))))</f>
        <v/>
      </c>
      <c r="AZ10" s="55">
        <f>IF(OR($C10="",$B$2="",$D$2=0),0,IF(AZ$3&lt;0,0,N(INDEX('CURVA PREVISION'!$A$1:$KZ$3000,$C10,10+3*MIN(AZ$3,$D$2-1)))))</f>
        <v/>
      </c>
      <c r="BA10" s="55">
        <f>IF(OR($C10="",$B$2="",$D$2=0),0,IF(BA$3&lt;0,0,N(INDEX('CURVA PREVISION'!$A$1:$KZ$3000,$C10,10+3*MIN(BA$3,$D$2-1)))))</f>
        <v/>
      </c>
      <c r="BB10" s="55">
        <f>IF(OR($C10="",$B$2="",$D$2=0),0,IF(BB$3&lt;0,0,N(INDEX('CURVA PREVISION'!$A$1:$KZ$3000,$C10,10+3*MIN(BB$3,$D$2-1)))))</f>
        <v/>
      </c>
      <c r="BC10" s="55">
        <f>IF(OR($C10="",$B$2="",$D$2=0),0,IF(BC$3&lt;0,0,N(INDEX('CURVA PREVISION'!$A$1:$KZ$3000,$C10,10+3*MIN(BC$3,$D$2-1)))))</f>
        <v/>
      </c>
      <c r="BD10" s="55">
        <f>IF(OR($C10="",$B$2="",$D$2=0),0,IF(BD$3&lt;0,0,N(INDEX('CURVA PREVISION'!$A$1:$KZ$3000,$C10,10+3*MIN(BD$3,$D$2-1)))))</f>
        <v/>
      </c>
      <c r="BE10" s="55">
        <f>IF(OR($C10="",$B$2="",$D$2=0),0,IF(BE$3&lt;0,0,N(INDEX('CURVA PREVISION'!$A$1:$KZ$3000,$C10,10+3*MIN(BE$3,$D$2-1)))))</f>
        <v/>
      </c>
      <c r="BF10" s="55">
        <f>IF(OR($C10="",$B$2="",$D$2=0),0,IF(BF$3&lt;0,0,N(INDEX('CURVA PREVISION'!$A$1:$KZ$3000,$C10,10+3*MIN(BF$3,$D$2-1)))))</f>
        <v/>
      </c>
      <c r="BG10" s="55">
        <f>IF(OR($C10="",$B$2="",$D$2=0),0,IF(BG$3&lt;0,0,N(INDEX('CURVA PREVISION'!$A$1:$KZ$3000,$C10,10+3*MIN(BG$3,$D$2-1)))))</f>
        <v/>
      </c>
      <c r="BH10" s="55">
        <f>IF(OR($C10="",$B$2="",$D$2=0),0,IF(BH$3&lt;0,0,N(INDEX('CURVA PREVISION'!$A$1:$KZ$3000,$C10,10+3*MIN(BH$3,$D$2-1)))))</f>
        <v/>
      </c>
      <c r="BI10" s="55">
        <f>IF(OR($C10="",$B$2="",$D$2=0),0,IF(BI$3&lt;0,0,N(INDEX('CURVA PREVISION'!$A$1:$KZ$3000,$C10,10+3*MIN(BI$3,$D$2-1)))))</f>
        <v/>
      </c>
      <c r="BJ10" s="55">
        <f>IF(OR($C10="",$B$2="",$D$2=0),0,IF(BJ$3&lt;0,0,N(INDEX('CURVA PREVISION'!$A$1:$KZ$3000,$C10,10+3*MIN(BJ$3,$D$2-1)))))</f>
        <v/>
      </c>
      <c r="BK10" s="55">
        <f>IF(OR($C10="",$B$2="",$D$2=0),0,IF(BK$3&lt;0,0,N(INDEX('CURVA PREVISION'!$A$1:$KZ$3000,$C10,10+3*MIN(BK$3,$D$2-1)))))</f>
        <v/>
      </c>
      <c r="BL10" s="55">
        <f>IF(OR($C10="",$B$2="",$D$2=0),0,IF(BL$3&lt;0,0,N(INDEX('CURVA PREVISION'!$A$1:$KZ$3000,$C10,10+3*MIN(BL$3,$D$2-1)))))</f>
        <v/>
      </c>
      <c r="BM10" s="55">
        <f>IF(OR($C10="",$B$2="",$D$2=0),0,IF(BM$3&lt;0,0,N(INDEX('CURVA PREVISION'!$A$1:$KZ$3000,$C10,10+3*MIN(BM$3,$D$2-1)))))</f>
        <v/>
      </c>
      <c r="BN10" s="55">
        <f>IF(OR($C10="",$B$2="",$D$2=0),0,IF(BN$3&lt;0,0,N(INDEX('CURVA PREVISION'!$A$1:$KZ$3000,$C10,10+3*MIN(BN$3,$D$2-1)))))</f>
        <v/>
      </c>
      <c r="BO10" s="55">
        <f>IF(OR($C10="",$B$2="",$D$2=0),0,IF(BO$3&lt;0,0,N(INDEX('CURVA PREVISION'!$A$1:$KZ$3000,$C10,10+3*MIN(BO$3,$D$2-1)))))</f>
        <v/>
      </c>
      <c r="BP10" s="55">
        <f>IF(OR($C10="",$B$2="",$D$2=0),0,IF(BP$3&lt;0,0,N(INDEX('CURVA PREVISION'!$A$1:$KZ$3000,$C10,10+3*MIN(BP$3,$D$2-1)))))</f>
        <v/>
      </c>
      <c r="BQ10" s="55">
        <f>IF(OR($C10="",$B$2="",$D$2=0),0,IF(BQ$3&lt;0,0,N(INDEX('CURVA PREVISION'!$A$1:$KZ$3000,$C10,10+3*MIN(BQ$3,$D$2-1)))))</f>
        <v/>
      </c>
      <c r="BR10" s="55">
        <f>IF(OR($C10="",$B$2="",$D$2=0),0,IF(BR$3&lt;0,0,N(INDEX('CURVA PREVISION'!$A$1:$KZ$3000,$C10,10+3*MIN(BR$3,$D$2-1)))))</f>
        <v/>
      </c>
      <c r="BS10" s="55">
        <f>IF(OR($C10="",$B$2="",$D$2=0),0,IF(BS$3&lt;0,0,N(INDEX('CURVA PREVISION'!$A$1:$KZ$3000,$C10,10+3*MIN(BS$3,$D$2-1)))))</f>
        <v/>
      </c>
      <c r="BT10" s="55">
        <f>IF(OR($C10="",$B$2="",$D$2=0),0,IF(BT$3&lt;0,0,N(INDEX('CURVA PREVISION'!$A$1:$KZ$3000,$C10,10+3*MIN(BT$3,$D$2-1)))))</f>
        <v/>
      </c>
      <c r="BU10" s="55">
        <f>IF(OR($C10="",$B$2="",$D$2=0),0,IF(BU$3&lt;0,0,N(INDEX('CURVA PREVISION'!$A$1:$KZ$3000,$C10,10+3*MIN(BU$3,$D$2-1)))))</f>
        <v/>
      </c>
      <c r="BV10" s="55">
        <f>IF(OR($C10="",$B$2="",$D$2=0),0,IF(BV$3&lt;0,0,N(INDEX('CURVA PREVISION'!$A$1:$KZ$3000,$C10,10+3*MIN(BV$3,$D$2-1)))))</f>
        <v/>
      </c>
      <c r="BW10" s="55">
        <f>IF(OR($C10="",$B$2="",$D$2=0),0,IF(BW$3&lt;0,0,N(INDEX('CURVA PREVISION'!$A$1:$KZ$3000,$C10,10+3*MIN(BW$3,$D$2-1)))))</f>
        <v/>
      </c>
    </row>
    <row r="11">
      <c r="A11" s="34">
        <f>'VALOR POR PL'!C17</f>
        <v/>
      </c>
      <c r="B11" s="34">
        <f>'VALOR POR PL'!D17</f>
        <v/>
      </c>
      <c r="C11" s="28">
        <f>IFERROR(MATCH(A11,'CURVA PREVISION'!$B$1:$B$3000,0),"")</f>
        <v/>
      </c>
      <c r="D11" s="55">
        <f>IF(OR($C11="",$B$2="",$D$2=0),0,IF(D$3&lt;0,0,N(INDEX('CURVA PREVISION'!$A$1:$KZ$3000,$C11,10+3*MIN(D$3,$D$2-1)))))</f>
        <v/>
      </c>
      <c r="E11" s="55">
        <f>IF(OR($C11="",$B$2="",$D$2=0),0,IF(E$3&lt;0,0,N(INDEX('CURVA PREVISION'!$A$1:$KZ$3000,$C11,10+3*MIN(E$3,$D$2-1)))))</f>
        <v/>
      </c>
      <c r="F11" s="55">
        <f>IF(OR($C11="",$B$2="",$D$2=0),0,IF(F$3&lt;0,0,N(INDEX('CURVA PREVISION'!$A$1:$KZ$3000,$C11,10+3*MIN(F$3,$D$2-1)))))</f>
        <v/>
      </c>
      <c r="G11" s="55">
        <f>IF(OR($C11="",$B$2="",$D$2=0),0,IF(G$3&lt;0,0,N(INDEX('CURVA PREVISION'!$A$1:$KZ$3000,$C11,10+3*MIN(G$3,$D$2-1)))))</f>
        <v/>
      </c>
      <c r="H11" s="55">
        <f>IF(OR($C11="",$B$2="",$D$2=0),0,IF(H$3&lt;0,0,N(INDEX('CURVA PREVISION'!$A$1:$KZ$3000,$C11,10+3*MIN(H$3,$D$2-1)))))</f>
        <v/>
      </c>
      <c r="I11" s="55">
        <f>IF(OR($C11="",$B$2="",$D$2=0),0,IF(I$3&lt;0,0,N(INDEX('CURVA PREVISION'!$A$1:$KZ$3000,$C11,10+3*MIN(I$3,$D$2-1)))))</f>
        <v/>
      </c>
      <c r="J11" s="55">
        <f>IF(OR($C11="",$B$2="",$D$2=0),0,IF(J$3&lt;0,0,N(INDEX('CURVA PREVISION'!$A$1:$KZ$3000,$C11,10+3*MIN(J$3,$D$2-1)))))</f>
        <v/>
      </c>
      <c r="K11" s="55">
        <f>IF(OR($C11="",$B$2="",$D$2=0),0,IF(K$3&lt;0,0,N(INDEX('CURVA PREVISION'!$A$1:$KZ$3000,$C11,10+3*MIN(K$3,$D$2-1)))))</f>
        <v/>
      </c>
      <c r="L11" s="55">
        <f>IF(OR($C11="",$B$2="",$D$2=0),0,IF(L$3&lt;0,0,N(INDEX('CURVA PREVISION'!$A$1:$KZ$3000,$C11,10+3*MIN(L$3,$D$2-1)))))</f>
        <v/>
      </c>
      <c r="M11" s="55">
        <f>IF(OR($C11="",$B$2="",$D$2=0),0,IF(M$3&lt;0,0,N(INDEX('CURVA PREVISION'!$A$1:$KZ$3000,$C11,10+3*MIN(M$3,$D$2-1)))))</f>
        <v/>
      </c>
      <c r="N11" s="55">
        <f>IF(OR($C11="",$B$2="",$D$2=0),0,IF(N$3&lt;0,0,N(INDEX('CURVA PREVISION'!$A$1:$KZ$3000,$C11,10+3*MIN(N$3,$D$2-1)))))</f>
        <v/>
      </c>
      <c r="O11" s="55">
        <f>IF(OR($C11="",$B$2="",$D$2=0),0,IF(O$3&lt;0,0,N(INDEX('CURVA PREVISION'!$A$1:$KZ$3000,$C11,10+3*MIN(O$3,$D$2-1)))))</f>
        <v/>
      </c>
      <c r="P11" s="55">
        <f>IF(OR($C11="",$B$2="",$D$2=0),0,IF(P$3&lt;0,0,N(INDEX('CURVA PREVISION'!$A$1:$KZ$3000,$C11,10+3*MIN(P$3,$D$2-1)))))</f>
        <v/>
      </c>
      <c r="Q11" s="55">
        <f>IF(OR($C11="",$B$2="",$D$2=0),0,IF(Q$3&lt;0,0,N(INDEX('CURVA PREVISION'!$A$1:$KZ$3000,$C11,10+3*MIN(Q$3,$D$2-1)))))</f>
        <v/>
      </c>
      <c r="R11" s="55">
        <f>IF(OR($C11="",$B$2="",$D$2=0),0,IF(R$3&lt;0,0,N(INDEX('CURVA PREVISION'!$A$1:$KZ$3000,$C11,10+3*MIN(R$3,$D$2-1)))))</f>
        <v/>
      </c>
      <c r="S11" s="55">
        <f>IF(OR($C11="",$B$2="",$D$2=0),0,IF(S$3&lt;0,0,N(INDEX('CURVA PREVISION'!$A$1:$KZ$3000,$C11,10+3*MIN(S$3,$D$2-1)))))</f>
        <v/>
      </c>
      <c r="T11" s="55">
        <f>IF(OR($C11="",$B$2="",$D$2=0),0,IF(T$3&lt;0,0,N(INDEX('CURVA PREVISION'!$A$1:$KZ$3000,$C11,10+3*MIN(T$3,$D$2-1)))))</f>
        <v/>
      </c>
      <c r="U11" s="55">
        <f>IF(OR($C11="",$B$2="",$D$2=0),0,IF(U$3&lt;0,0,N(INDEX('CURVA PREVISION'!$A$1:$KZ$3000,$C11,10+3*MIN(U$3,$D$2-1)))))</f>
        <v/>
      </c>
      <c r="V11" s="55">
        <f>IF(OR($C11="",$B$2="",$D$2=0),0,IF(V$3&lt;0,0,N(INDEX('CURVA PREVISION'!$A$1:$KZ$3000,$C11,10+3*MIN(V$3,$D$2-1)))))</f>
        <v/>
      </c>
      <c r="W11" s="55">
        <f>IF(OR($C11="",$B$2="",$D$2=0),0,IF(W$3&lt;0,0,N(INDEX('CURVA PREVISION'!$A$1:$KZ$3000,$C11,10+3*MIN(W$3,$D$2-1)))))</f>
        <v/>
      </c>
      <c r="X11" s="55">
        <f>IF(OR($C11="",$B$2="",$D$2=0),0,IF(X$3&lt;0,0,N(INDEX('CURVA PREVISION'!$A$1:$KZ$3000,$C11,10+3*MIN(X$3,$D$2-1)))))</f>
        <v/>
      </c>
      <c r="Y11" s="55">
        <f>IF(OR($C11="",$B$2="",$D$2=0),0,IF(Y$3&lt;0,0,N(INDEX('CURVA PREVISION'!$A$1:$KZ$3000,$C11,10+3*MIN(Y$3,$D$2-1)))))</f>
        <v/>
      </c>
      <c r="Z11" s="55">
        <f>IF(OR($C11="",$B$2="",$D$2=0),0,IF(Z$3&lt;0,0,N(INDEX('CURVA PREVISION'!$A$1:$KZ$3000,$C11,10+3*MIN(Z$3,$D$2-1)))))</f>
        <v/>
      </c>
      <c r="AA11" s="55">
        <f>IF(OR($C11="",$B$2="",$D$2=0),0,IF(AA$3&lt;0,0,N(INDEX('CURVA PREVISION'!$A$1:$KZ$3000,$C11,10+3*MIN(AA$3,$D$2-1)))))</f>
        <v/>
      </c>
      <c r="AB11" s="55">
        <f>IF(OR($C11="",$B$2="",$D$2=0),0,IF(AB$3&lt;0,0,N(INDEX('CURVA PREVISION'!$A$1:$KZ$3000,$C11,10+3*MIN(AB$3,$D$2-1)))))</f>
        <v/>
      </c>
      <c r="AC11" s="55">
        <f>IF(OR($C11="",$B$2="",$D$2=0),0,IF(AC$3&lt;0,0,N(INDEX('CURVA PREVISION'!$A$1:$KZ$3000,$C11,10+3*MIN(AC$3,$D$2-1)))))</f>
        <v/>
      </c>
      <c r="AD11" s="55">
        <f>IF(OR($C11="",$B$2="",$D$2=0),0,IF(AD$3&lt;0,0,N(INDEX('CURVA PREVISION'!$A$1:$KZ$3000,$C11,10+3*MIN(AD$3,$D$2-1)))))</f>
        <v/>
      </c>
      <c r="AE11" s="55">
        <f>IF(OR($C11="",$B$2="",$D$2=0),0,IF(AE$3&lt;0,0,N(INDEX('CURVA PREVISION'!$A$1:$KZ$3000,$C11,10+3*MIN(AE$3,$D$2-1)))))</f>
        <v/>
      </c>
      <c r="AF11" s="55">
        <f>IF(OR($C11="",$B$2="",$D$2=0),0,IF(AF$3&lt;0,0,N(INDEX('CURVA PREVISION'!$A$1:$KZ$3000,$C11,10+3*MIN(AF$3,$D$2-1)))))</f>
        <v/>
      </c>
      <c r="AG11" s="55">
        <f>IF(OR($C11="",$B$2="",$D$2=0),0,IF(AG$3&lt;0,0,N(INDEX('CURVA PREVISION'!$A$1:$KZ$3000,$C11,10+3*MIN(AG$3,$D$2-1)))))</f>
        <v/>
      </c>
      <c r="AH11" s="55">
        <f>IF(OR($C11="",$B$2="",$D$2=0),0,IF(AH$3&lt;0,0,N(INDEX('CURVA PREVISION'!$A$1:$KZ$3000,$C11,10+3*MIN(AH$3,$D$2-1)))))</f>
        <v/>
      </c>
      <c r="AI11" s="55">
        <f>IF(OR($C11="",$B$2="",$D$2=0),0,IF(AI$3&lt;0,0,N(INDEX('CURVA PREVISION'!$A$1:$KZ$3000,$C11,10+3*MIN(AI$3,$D$2-1)))))</f>
        <v/>
      </c>
      <c r="AJ11" s="55">
        <f>IF(OR($C11="",$B$2="",$D$2=0),0,IF(AJ$3&lt;0,0,N(INDEX('CURVA PREVISION'!$A$1:$KZ$3000,$C11,10+3*MIN(AJ$3,$D$2-1)))))</f>
        <v/>
      </c>
      <c r="AK11" s="55">
        <f>IF(OR($C11="",$B$2="",$D$2=0),0,IF(AK$3&lt;0,0,N(INDEX('CURVA PREVISION'!$A$1:$KZ$3000,$C11,10+3*MIN(AK$3,$D$2-1)))))</f>
        <v/>
      </c>
      <c r="AL11" s="55">
        <f>IF(OR($C11="",$B$2="",$D$2=0),0,IF(AL$3&lt;0,0,N(INDEX('CURVA PREVISION'!$A$1:$KZ$3000,$C11,10+3*MIN(AL$3,$D$2-1)))))</f>
        <v/>
      </c>
      <c r="AM11" s="55">
        <f>IF(OR($C11="",$B$2="",$D$2=0),0,IF(AM$3&lt;0,0,N(INDEX('CURVA PREVISION'!$A$1:$KZ$3000,$C11,10+3*MIN(AM$3,$D$2-1)))))</f>
        <v/>
      </c>
      <c r="AN11" s="55">
        <f>IF(OR($C11="",$B$2="",$D$2=0),0,IF(AN$3&lt;0,0,N(INDEX('CURVA PREVISION'!$A$1:$KZ$3000,$C11,10+3*MIN(AN$3,$D$2-1)))))</f>
        <v/>
      </c>
      <c r="AO11" s="55">
        <f>IF(OR($C11="",$B$2="",$D$2=0),0,IF(AO$3&lt;0,0,N(INDEX('CURVA PREVISION'!$A$1:$KZ$3000,$C11,10+3*MIN(AO$3,$D$2-1)))))</f>
        <v/>
      </c>
      <c r="AP11" s="55">
        <f>IF(OR($C11="",$B$2="",$D$2=0),0,IF(AP$3&lt;0,0,N(INDEX('CURVA PREVISION'!$A$1:$KZ$3000,$C11,10+3*MIN(AP$3,$D$2-1)))))</f>
        <v/>
      </c>
      <c r="AQ11" s="55">
        <f>IF(OR($C11="",$B$2="",$D$2=0),0,IF(AQ$3&lt;0,0,N(INDEX('CURVA PREVISION'!$A$1:$KZ$3000,$C11,10+3*MIN(AQ$3,$D$2-1)))))</f>
        <v/>
      </c>
      <c r="AR11" s="55">
        <f>IF(OR($C11="",$B$2="",$D$2=0),0,IF(AR$3&lt;0,0,N(INDEX('CURVA PREVISION'!$A$1:$KZ$3000,$C11,10+3*MIN(AR$3,$D$2-1)))))</f>
        <v/>
      </c>
      <c r="AS11" s="55">
        <f>IF(OR($C11="",$B$2="",$D$2=0),0,IF(AS$3&lt;0,0,N(INDEX('CURVA PREVISION'!$A$1:$KZ$3000,$C11,10+3*MIN(AS$3,$D$2-1)))))</f>
        <v/>
      </c>
      <c r="AT11" s="55">
        <f>IF(OR($C11="",$B$2="",$D$2=0),0,IF(AT$3&lt;0,0,N(INDEX('CURVA PREVISION'!$A$1:$KZ$3000,$C11,10+3*MIN(AT$3,$D$2-1)))))</f>
        <v/>
      </c>
      <c r="AU11" s="55">
        <f>IF(OR($C11="",$B$2="",$D$2=0),0,IF(AU$3&lt;0,0,N(INDEX('CURVA PREVISION'!$A$1:$KZ$3000,$C11,10+3*MIN(AU$3,$D$2-1)))))</f>
        <v/>
      </c>
      <c r="AV11" s="55">
        <f>IF(OR($C11="",$B$2="",$D$2=0),0,IF(AV$3&lt;0,0,N(INDEX('CURVA PREVISION'!$A$1:$KZ$3000,$C11,10+3*MIN(AV$3,$D$2-1)))))</f>
        <v/>
      </c>
      <c r="AW11" s="55">
        <f>IF(OR($C11="",$B$2="",$D$2=0),0,IF(AW$3&lt;0,0,N(INDEX('CURVA PREVISION'!$A$1:$KZ$3000,$C11,10+3*MIN(AW$3,$D$2-1)))))</f>
        <v/>
      </c>
      <c r="AX11" s="55">
        <f>IF(OR($C11="",$B$2="",$D$2=0),0,IF(AX$3&lt;0,0,N(INDEX('CURVA PREVISION'!$A$1:$KZ$3000,$C11,10+3*MIN(AX$3,$D$2-1)))))</f>
        <v/>
      </c>
      <c r="AY11" s="55">
        <f>IF(OR($C11="",$B$2="",$D$2=0),0,IF(AY$3&lt;0,0,N(INDEX('CURVA PREVISION'!$A$1:$KZ$3000,$C11,10+3*MIN(AY$3,$D$2-1)))))</f>
        <v/>
      </c>
      <c r="AZ11" s="55">
        <f>IF(OR($C11="",$B$2="",$D$2=0),0,IF(AZ$3&lt;0,0,N(INDEX('CURVA PREVISION'!$A$1:$KZ$3000,$C11,10+3*MIN(AZ$3,$D$2-1)))))</f>
        <v/>
      </c>
      <c r="BA11" s="55">
        <f>IF(OR($C11="",$B$2="",$D$2=0),0,IF(BA$3&lt;0,0,N(INDEX('CURVA PREVISION'!$A$1:$KZ$3000,$C11,10+3*MIN(BA$3,$D$2-1)))))</f>
        <v/>
      </c>
      <c r="BB11" s="55">
        <f>IF(OR($C11="",$B$2="",$D$2=0),0,IF(BB$3&lt;0,0,N(INDEX('CURVA PREVISION'!$A$1:$KZ$3000,$C11,10+3*MIN(BB$3,$D$2-1)))))</f>
        <v/>
      </c>
      <c r="BC11" s="55">
        <f>IF(OR($C11="",$B$2="",$D$2=0),0,IF(BC$3&lt;0,0,N(INDEX('CURVA PREVISION'!$A$1:$KZ$3000,$C11,10+3*MIN(BC$3,$D$2-1)))))</f>
        <v/>
      </c>
      <c r="BD11" s="55">
        <f>IF(OR($C11="",$B$2="",$D$2=0),0,IF(BD$3&lt;0,0,N(INDEX('CURVA PREVISION'!$A$1:$KZ$3000,$C11,10+3*MIN(BD$3,$D$2-1)))))</f>
        <v/>
      </c>
      <c r="BE11" s="55">
        <f>IF(OR($C11="",$B$2="",$D$2=0),0,IF(BE$3&lt;0,0,N(INDEX('CURVA PREVISION'!$A$1:$KZ$3000,$C11,10+3*MIN(BE$3,$D$2-1)))))</f>
        <v/>
      </c>
      <c r="BF11" s="55">
        <f>IF(OR($C11="",$B$2="",$D$2=0),0,IF(BF$3&lt;0,0,N(INDEX('CURVA PREVISION'!$A$1:$KZ$3000,$C11,10+3*MIN(BF$3,$D$2-1)))))</f>
        <v/>
      </c>
      <c r="BG11" s="55">
        <f>IF(OR($C11="",$B$2="",$D$2=0),0,IF(BG$3&lt;0,0,N(INDEX('CURVA PREVISION'!$A$1:$KZ$3000,$C11,10+3*MIN(BG$3,$D$2-1)))))</f>
        <v/>
      </c>
      <c r="BH11" s="55">
        <f>IF(OR($C11="",$B$2="",$D$2=0),0,IF(BH$3&lt;0,0,N(INDEX('CURVA PREVISION'!$A$1:$KZ$3000,$C11,10+3*MIN(BH$3,$D$2-1)))))</f>
        <v/>
      </c>
      <c r="BI11" s="55">
        <f>IF(OR($C11="",$B$2="",$D$2=0),0,IF(BI$3&lt;0,0,N(INDEX('CURVA PREVISION'!$A$1:$KZ$3000,$C11,10+3*MIN(BI$3,$D$2-1)))))</f>
        <v/>
      </c>
      <c r="BJ11" s="55">
        <f>IF(OR($C11="",$B$2="",$D$2=0),0,IF(BJ$3&lt;0,0,N(INDEX('CURVA PREVISION'!$A$1:$KZ$3000,$C11,10+3*MIN(BJ$3,$D$2-1)))))</f>
        <v/>
      </c>
      <c r="BK11" s="55">
        <f>IF(OR($C11="",$B$2="",$D$2=0),0,IF(BK$3&lt;0,0,N(INDEX('CURVA PREVISION'!$A$1:$KZ$3000,$C11,10+3*MIN(BK$3,$D$2-1)))))</f>
        <v/>
      </c>
      <c r="BL11" s="55">
        <f>IF(OR($C11="",$B$2="",$D$2=0),0,IF(BL$3&lt;0,0,N(INDEX('CURVA PREVISION'!$A$1:$KZ$3000,$C11,10+3*MIN(BL$3,$D$2-1)))))</f>
        <v/>
      </c>
      <c r="BM11" s="55">
        <f>IF(OR($C11="",$B$2="",$D$2=0),0,IF(BM$3&lt;0,0,N(INDEX('CURVA PREVISION'!$A$1:$KZ$3000,$C11,10+3*MIN(BM$3,$D$2-1)))))</f>
        <v/>
      </c>
      <c r="BN11" s="55">
        <f>IF(OR($C11="",$B$2="",$D$2=0),0,IF(BN$3&lt;0,0,N(INDEX('CURVA PREVISION'!$A$1:$KZ$3000,$C11,10+3*MIN(BN$3,$D$2-1)))))</f>
        <v/>
      </c>
      <c r="BO11" s="55">
        <f>IF(OR($C11="",$B$2="",$D$2=0),0,IF(BO$3&lt;0,0,N(INDEX('CURVA PREVISION'!$A$1:$KZ$3000,$C11,10+3*MIN(BO$3,$D$2-1)))))</f>
        <v/>
      </c>
      <c r="BP11" s="55">
        <f>IF(OR($C11="",$B$2="",$D$2=0),0,IF(BP$3&lt;0,0,N(INDEX('CURVA PREVISION'!$A$1:$KZ$3000,$C11,10+3*MIN(BP$3,$D$2-1)))))</f>
        <v/>
      </c>
      <c r="BQ11" s="55">
        <f>IF(OR($C11="",$B$2="",$D$2=0),0,IF(BQ$3&lt;0,0,N(INDEX('CURVA PREVISION'!$A$1:$KZ$3000,$C11,10+3*MIN(BQ$3,$D$2-1)))))</f>
        <v/>
      </c>
      <c r="BR11" s="55">
        <f>IF(OR($C11="",$B$2="",$D$2=0),0,IF(BR$3&lt;0,0,N(INDEX('CURVA PREVISION'!$A$1:$KZ$3000,$C11,10+3*MIN(BR$3,$D$2-1)))))</f>
        <v/>
      </c>
      <c r="BS11" s="55">
        <f>IF(OR($C11="",$B$2="",$D$2=0),0,IF(BS$3&lt;0,0,N(INDEX('CURVA PREVISION'!$A$1:$KZ$3000,$C11,10+3*MIN(BS$3,$D$2-1)))))</f>
        <v/>
      </c>
      <c r="BT11" s="55">
        <f>IF(OR($C11="",$B$2="",$D$2=0),0,IF(BT$3&lt;0,0,N(INDEX('CURVA PREVISION'!$A$1:$KZ$3000,$C11,10+3*MIN(BT$3,$D$2-1)))))</f>
        <v/>
      </c>
      <c r="BU11" s="55">
        <f>IF(OR($C11="",$B$2="",$D$2=0),0,IF(BU$3&lt;0,0,N(INDEX('CURVA PREVISION'!$A$1:$KZ$3000,$C11,10+3*MIN(BU$3,$D$2-1)))))</f>
        <v/>
      </c>
      <c r="BV11" s="55">
        <f>IF(OR($C11="",$B$2="",$D$2=0),0,IF(BV$3&lt;0,0,N(INDEX('CURVA PREVISION'!$A$1:$KZ$3000,$C11,10+3*MIN(BV$3,$D$2-1)))))</f>
        <v/>
      </c>
      <c r="BW11" s="55">
        <f>IF(OR($C11="",$B$2="",$D$2=0),0,IF(BW$3&lt;0,0,N(INDEX('CURVA PREVISION'!$A$1:$KZ$3000,$C11,10+3*MIN(BW$3,$D$2-1)))))</f>
        <v/>
      </c>
    </row>
    <row r="12">
      <c r="A12" s="34">
        <f>'VALOR POR PL'!C18</f>
        <v/>
      </c>
      <c r="B12" s="34">
        <f>'VALOR POR PL'!D18</f>
        <v/>
      </c>
      <c r="C12" s="28">
        <f>IFERROR(MATCH(A12,'CURVA PREVISION'!$B$1:$B$3000,0),"")</f>
        <v/>
      </c>
      <c r="D12" s="55">
        <f>IF(OR($C12="",$B$2="",$D$2=0),0,IF(D$3&lt;0,0,N(INDEX('CURVA PREVISION'!$A$1:$KZ$3000,$C12,10+3*MIN(D$3,$D$2-1)))))</f>
        <v/>
      </c>
      <c r="E12" s="55">
        <f>IF(OR($C12="",$B$2="",$D$2=0),0,IF(E$3&lt;0,0,N(INDEX('CURVA PREVISION'!$A$1:$KZ$3000,$C12,10+3*MIN(E$3,$D$2-1)))))</f>
        <v/>
      </c>
      <c r="F12" s="55">
        <f>IF(OR($C12="",$B$2="",$D$2=0),0,IF(F$3&lt;0,0,N(INDEX('CURVA PREVISION'!$A$1:$KZ$3000,$C12,10+3*MIN(F$3,$D$2-1)))))</f>
        <v/>
      </c>
      <c r="G12" s="55">
        <f>IF(OR($C12="",$B$2="",$D$2=0),0,IF(G$3&lt;0,0,N(INDEX('CURVA PREVISION'!$A$1:$KZ$3000,$C12,10+3*MIN(G$3,$D$2-1)))))</f>
        <v/>
      </c>
      <c r="H12" s="55">
        <f>IF(OR($C12="",$B$2="",$D$2=0),0,IF(H$3&lt;0,0,N(INDEX('CURVA PREVISION'!$A$1:$KZ$3000,$C12,10+3*MIN(H$3,$D$2-1)))))</f>
        <v/>
      </c>
      <c r="I12" s="55">
        <f>IF(OR($C12="",$B$2="",$D$2=0),0,IF(I$3&lt;0,0,N(INDEX('CURVA PREVISION'!$A$1:$KZ$3000,$C12,10+3*MIN(I$3,$D$2-1)))))</f>
        <v/>
      </c>
      <c r="J12" s="55">
        <f>IF(OR($C12="",$B$2="",$D$2=0),0,IF(J$3&lt;0,0,N(INDEX('CURVA PREVISION'!$A$1:$KZ$3000,$C12,10+3*MIN(J$3,$D$2-1)))))</f>
        <v/>
      </c>
      <c r="K12" s="55">
        <f>IF(OR($C12="",$B$2="",$D$2=0),0,IF(K$3&lt;0,0,N(INDEX('CURVA PREVISION'!$A$1:$KZ$3000,$C12,10+3*MIN(K$3,$D$2-1)))))</f>
        <v/>
      </c>
      <c r="L12" s="55">
        <f>IF(OR($C12="",$B$2="",$D$2=0),0,IF(L$3&lt;0,0,N(INDEX('CURVA PREVISION'!$A$1:$KZ$3000,$C12,10+3*MIN(L$3,$D$2-1)))))</f>
        <v/>
      </c>
      <c r="M12" s="55">
        <f>IF(OR($C12="",$B$2="",$D$2=0),0,IF(M$3&lt;0,0,N(INDEX('CURVA PREVISION'!$A$1:$KZ$3000,$C12,10+3*MIN(M$3,$D$2-1)))))</f>
        <v/>
      </c>
      <c r="N12" s="55">
        <f>IF(OR($C12="",$B$2="",$D$2=0),0,IF(N$3&lt;0,0,N(INDEX('CURVA PREVISION'!$A$1:$KZ$3000,$C12,10+3*MIN(N$3,$D$2-1)))))</f>
        <v/>
      </c>
      <c r="O12" s="55">
        <f>IF(OR($C12="",$B$2="",$D$2=0),0,IF(O$3&lt;0,0,N(INDEX('CURVA PREVISION'!$A$1:$KZ$3000,$C12,10+3*MIN(O$3,$D$2-1)))))</f>
        <v/>
      </c>
      <c r="P12" s="55">
        <f>IF(OR($C12="",$B$2="",$D$2=0),0,IF(P$3&lt;0,0,N(INDEX('CURVA PREVISION'!$A$1:$KZ$3000,$C12,10+3*MIN(P$3,$D$2-1)))))</f>
        <v/>
      </c>
      <c r="Q12" s="55">
        <f>IF(OR($C12="",$B$2="",$D$2=0),0,IF(Q$3&lt;0,0,N(INDEX('CURVA PREVISION'!$A$1:$KZ$3000,$C12,10+3*MIN(Q$3,$D$2-1)))))</f>
        <v/>
      </c>
      <c r="R12" s="55">
        <f>IF(OR($C12="",$B$2="",$D$2=0),0,IF(R$3&lt;0,0,N(INDEX('CURVA PREVISION'!$A$1:$KZ$3000,$C12,10+3*MIN(R$3,$D$2-1)))))</f>
        <v/>
      </c>
      <c r="S12" s="55">
        <f>IF(OR($C12="",$B$2="",$D$2=0),0,IF(S$3&lt;0,0,N(INDEX('CURVA PREVISION'!$A$1:$KZ$3000,$C12,10+3*MIN(S$3,$D$2-1)))))</f>
        <v/>
      </c>
      <c r="T12" s="55">
        <f>IF(OR($C12="",$B$2="",$D$2=0),0,IF(T$3&lt;0,0,N(INDEX('CURVA PREVISION'!$A$1:$KZ$3000,$C12,10+3*MIN(T$3,$D$2-1)))))</f>
        <v/>
      </c>
      <c r="U12" s="55">
        <f>IF(OR($C12="",$B$2="",$D$2=0),0,IF(U$3&lt;0,0,N(INDEX('CURVA PREVISION'!$A$1:$KZ$3000,$C12,10+3*MIN(U$3,$D$2-1)))))</f>
        <v/>
      </c>
      <c r="V12" s="55">
        <f>IF(OR($C12="",$B$2="",$D$2=0),0,IF(V$3&lt;0,0,N(INDEX('CURVA PREVISION'!$A$1:$KZ$3000,$C12,10+3*MIN(V$3,$D$2-1)))))</f>
        <v/>
      </c>
      <c r="W12" s="55">
        <f>IF(OR($C12="",$B$2="",$D$2=0),0,IF(W$3&lt;0,0,N(INDEX('CURVA PREVISION'!$A$1:$KZ$3000,$C12,10+3*MIN(W$3,$D$2-1)))))</f>
        <v/>
      </c>
      <c r="X12" s="55">
        <f>IF(OR($C12="",$B$2="",$D$2=0),0,IF(X$3&lt;0,0,N(INDEX('CURVA PREVISION'!$A$1:$KZ$3000,$C12,10+3*MIN(X$3,$D$2-1)))))</f>
        <v/>
      </c>
      <c r="Y12" s="55">
        <f>IF(OR($C12="",$B$2="",$D$2=0),0,IF(Y$3&lt;0,0,N(INDEX('CURVA PREVISION'!$A$1:$KZ$3000,$C12,10+3*MIN(Y$3,$D$2-1)))))</f>
        <v/>
      </c>
      <c r="Z12" s="55">
        <f>IF(OR($C12="",$B$2="",$D$2=0),0,IF(Z$3&lt;0,0,N(INDEX('CURVA PREVISION'!$A$1:$KZ$3000,$C12,10+3*MIN(Z$3,$D$2-1)))))</f>
        <v/>
      </c>
      <c r="AA12" s="55">
        <f>IF(OR($C12="",$B$2="",$D$2=0),0,IF(AA$3&lt;0,0,N(INDEX('CURVA PREVISION'!$A$1:$KZ$3000,$C12,10+3*MIN(AA$3,$D$2-1)))))</f>
        <v/>
      </c>
      <c r="AB12" s="55">
        <f>IF(OR($C12="",$B$2="",$D$2=0),0,IF(AB$3&lt;0,0,N(INDEX('CURVA PREVISION'!$A$1:$KZ$3000,$C12,10+3*MIN(AB$3,$D$2-1)))))</f>
        <v/>
      </c>
      <c r="AC12" s="55">
        <f>IF(OR($C12="",$B$2="",$D$2=0),0,IF(AC$3&lt;0,0,N(INDEX('CURVA PREVISION'!$A$1:$KZ$3000,$C12,10+3*MIN(AC$3,$D$2-1)))))</f>
        <v/>
      </c>
      <c r="AD12" s="55">
        <f>IF(OR($C12="",$B$2="",$D$2=0),0,IF(AD$3&lt;0,0,N(INDEX('CURVA PREVISION'!$A$1:$KZ$3000,$C12,10+3*MIN(AD$3,$D$2-1)))))</f>
        <v/>
      </c>
      <c r="AE12" s="55">
        <f>IF(OR($C12="",$B$2="",$D$2=0),0,IF(AE$3&lt;0,0,N(INDEX('CURVA PREVISION'!$A$1:$KZ$3000,$C12,10+3*MIN(AE$3,$D$2-1)))))</f>
        <v/>
      </c>
      <c r="AF12" s="55">
        <f>IF(OR($C12="",$B$2="",$D$2=0),0,IF(AF$3&lt;0,0,N(INDEX('CURVA PREVISION'!$A$1:$KZ$3000,$C12,10+3*MIN(AF$3,$D$2-1)))))</f>
        <v/>
      </c>
      <c r="AG12" s="55">
        <f>IF(OR($C12="",$B$2="",$D$2=0),0,IF(AG$3&lt;0,0,N(INDEX('CURVA PREVISION'!$A$1:$KZ$3000,$C12,10+3*MIN(AG$3,$D$2-1)))))</f>
        <v/>
      </c>
      <c r="AH12" s="55">
        <f>IF(OR($C12="",$B$2="",$D$2=0),0,IF(AH$3&lt;0,0,N(INDEX('CURVA PREVISION'!$A$1:$KZ$3000,$C12,10+3*MIN(AH$3,$D$2-1)))))</f>
        <v/>
      </c>
      <c r="AI12" s="55">
        <f>IF(OR($C12="",$B$2="",$D$2=0),0,IF(AI$3&lt;0,0,N(INDEX('CURVA PREVISION'!$A$1:$KZ$3000,$C12,10+3*MIN(AI$3,$D$2-1)))))</f>
        <v/>
      </c>
      <c r="AJ12" s="55">
        <f>IF(OR($C12="",$B$2="",$D$2=0),0,IF(AJ$3&lt;0,0,N(INDEX('CURVA PREVISION'!$A$1:$KZ$3000,$C12,10+3*MIN(AJ$3,$D$2-1)))))</f>
        <v/>
      </c>
      <c r="AK12" s="55">
        <f>IF(OR($C12="",$B$2="",$D$2=0),0,IF(AK$3&lt;0,0,N(INDEX('CURVA PREVISION'!$A$1:$KZ$3000,$C12,10+3*MIN(AK$3,$D$2-1)))))</f>
        <v/>
      </c>
      <c r="AL12" s="55">
        <f>IF(OR($C12="",$B$2="",$D$2=0),0,IF(AL$3&lt;0,0,N(INDEX('CURVA PREVISION'!$A$1:$KZ$3000,$C12,10+3*MIN(AL$3,$D$2-1)))))</f>
        <v/>
      </c>
      <c r="AM12" s="55">
        <f>IF(OR($C12="",$B$2="",$D$2=0),0,IF(AM$3&lt;0,0,N(INDEX('CURVA PREVISION'!$A$1:$KZ$3000,$C12,10+3*MIN(AM$3,$D$2-1)))))</f>
        <v/>
      </c>
      <c r="AN12" s="55">
        <f>IF(OR($C12="",$B$2="",$D$2=0),0,IF(AN$3&lt;0,0,N(INDEX('CURVA PREVISION'!$A$1:$KZ$3000,$C12,10+3*MIN(AN$3,$D$2-1)))))</f>
        <v/>
      </c>
      <c r="AO12" s="55">
        <f>IF(OR($C12="",$B$2="",$D$2=0),0,IF(AO$3&lt;0,0,N(INDEX('CURVA PREVISION'!$A$1:$KZ$3000,$C12,10+3*MIN(AO$3,$D$2-1)))))</f>
        <v/>
      </c>
      <c r="AP12" s="55">
        <f>IF(OR($C12="",$B$2="",$D$2=0),0,IF(AP$3&lt;0,0,N(INDEX('CURVA PREVISION'!$A$1:$KZ$3000,$C12,10+3*MIN(AP$3,$D$2-1)))))</f>
        <v/>
      </c>
      <c r="AQ12" s="55">
        <f>IF(OR($C12="",$B$2="",$D$2=0),0,IF(AQ$3&lt;0,0,N(INDEX('CURVA PREVISION'!$A$1:$KZ$3000,$C12,10+3*MIN(AQ$3,$D$2-1)))))</f>
        <v/>
      </c>
      <c r="AR12" s="55">
        <f>IF(OR($C12="",$B$2="",$D$2=0),0,IF(AR$3&lt;0,0,N(INDEX('CURVA PREVISION'!$A$1:$KZ$3000,$C12,10+3*MIN(AR$3,$D$2-1)))))</f>
        <v/>
      </c>
      <c r="AS12" s="55">
        <f>IF(OR($C12="",$B$2="",$D$2=0),0,IF(AS$3&lt;0,0,N(INDEX('CURVA PREVISION'!$A$1:$KZ$3000,$C12,10+3*MIN(AS$3,$D$2-1)))))</f>
        <v/>
      </c>
      <c r="AT12" s="55">
        <f>IF(OR($C12="",$B$2="",$D$2=0),0,IF(AT$3&lt;0,0,N(INDEX('CURVA PREVISION'!$A$1:$KZ$3000,$C12,10+3*MIN(AT$3,$D$2-1)))))</f>
        <v/>
      </c>
      <c r="AU12" s="55">
        <f>IF(OR($C12="",$B$2="",$D$2=0),0,IF(AU$3&lt;0,0,N(INDEX('CURVA PREVISION'!$A$1:$KZ$3000,$C12,10+3*MIN(AU$3,$D$2-1)))))</f>
        <v/>
      </c>
      <c r="AV12" s="55">
        <f>IF(OR($C12="",$B$2="",$D$2=0),0,IF(AV$3&lt;0,0,N(INDEX('CURVA PREVISION'!$A$1:$KZ$3000,$C12,10+3*MIN(AV$3,$D$2-1)))))</f>
        <v/>
      </c>
      <c r="AW12" s="55">
        <f>IF(OR($C12="",$B$2="",$D$2=0),0,IF(AW$3&lt;0,0,N(INDEX('CURVA PREVISION'!$A$1:$KZ$3000,$C12,10+3*MIN(AW$3,$D$2-1)))))</f>
        <v/>
      </c>
      <c r="AX12" s="55">
        <f>IF(OR($C12="",$B$2="",$D$2=0),0,IF(AX$3&lt;0,0,N(INDEX('CURVA PREVISION'!$A$1:$KZ$3000,$C12,10+3*MIN(AX$3,$D$2-1)))))</f>
        <v/>
      </c>
      <c r="AY12" s="55">
        <f>IF(OR($C12="",$B$2="",$D$2=0),0,IF(AY$3&lt;0,0,N(INDEX('CURVA PREVISION'!$A$1:$KZ$3000,$C12,10+3*MIN(AY$3,$D$2-1)))))</f>
        <v/>
      </c>
      <c r="AZ12" s="55">
        <f>IF(OR($C12="",$B$2="",$D$2=0),0,IF(AZ$3&lt;0,0,N(INDEX('CURVA PREVISION'!$A$1:$KZ$3000,$C12,10+3*MIN(AZ$3,$D$2-1)))))</f>
        <v/>
      </c>
      <c r="BA12" s="55">
        <f>IF(OR($C12="",$B$2="",$D$2=0),0,IF(BA$3&lt;0,0,N(INDEX('CURVA PREVISION'!$A$1:$KZ$3000,$C12,10+3*MIN(BA$3,$D$2-1)))))</f>
        <v/>
      </c>
      <c r="BB12" s="55">
        <f>IF(OR($C12="",$B$2="",$D$2=0),0,IF(BB$3&lt;0,0,N(INDEX('CURVA PREVISION'!$A$1:$KZ$3000,$C12,10+3*MIN(BB$3,$D$2-1)))))</f>
        <v/>
      </c>
      <c r="BC12" s="55">
        <f>IF(OR($C12="",$B$2="",$D$2=0),0,IF(BC$3&lt;0,0,N(INDEX('CURVA PREVISION'!$A$1:$KZ$3000,$C12,10+3*MIN(BC$3,$D$2-1)))))</f>
        <v/>
      </c>
      <c r="BD12" s="55">
        <f>IF(OR($C12="",$B$2="",$D$2=0),0,IF(BD$3&lt;0,0,N(INDEX('CURVA PREVISION'!$A$1:$KZ$3000,$C12,10+3*MIN(BD$3,$D$2-1)))))</f>
        <v/>
      </c>
      <c r="BE12" s="55">
        <f>IF(OR($C12="",$B$2="",$D$2=0),0,IF(BE$3&lt;0,0,N(INDEX('CURVA PREVISION'!$A$1:$KZ$3000,$C12,10+3*MIN(BE$3,$D$2-1)))))</f>
        <v/>
      </c>
      <c r="BF12" s="55">
        <f>IF(OR($C12="",$B$2="",$D$2=0),0,IF(BF$3&lt;0,0,N(INDEX('CURVA PREVISION'!$A$1:$KZ$3000,$C12,10+3*MIN(BF$3,$D$2-1)))))</f>
        <v/>
      </c>
      <c r="BG12" s="55">
        <f>IF(OR($C12="",$B$2="",$D$2=0),0,IF(BG$3&lt;0,0,N(INDEX('CURVA PREVISION'!$A$1:$KZ$3000,$C12,10+3*MIN(BG$3,$D$2-1)))))</f>
        <v/>
      </c>
      <c r="BH12" s="55">
        <f>IF(OR($C12="",$B$2="",$D$2=0),0,IF(BH$3&lt;0,0,N(INDEX('CURVA PREVISION'!$A$1:$KZ$3000,$C12,10+3*MIN(BH$3,$D$2-1)))))</f>
        <v/>
      </c>
      <c r="BI12" s="55">
        <f>IF(OR($C12="",$B$2="",$D$2=0),0,IF(BI$3&lt;0,0,N(INDEX('CURVA PREVISION'!$A$1:$KZ$3000,$C12,10+3*MIN(BI$3,$D$2-1)))))</f>
        <v/>
      </c>
      <c r="BJ12" s="55">
        <f>IF(OR($C12="",$B$2="",$D$2=0),0,IF(BJ$3&lt;0,0,N(INDEX('CURVA PREVISION'!$A$1:$KZ$3000,$C12,10+3*MIN(BJ$3,$D$2-1)))))</f>
        <v/>
      </c>
      <c r="BK12" s="55">
        <f>IF(OR($C12="",$B$2="",$D$2=0),0,IF(BK$3&lt;0,0,N(INDEX('CURVA PREVISION'!$A$1:$KZ$3000,$C12,10+3*MIN(BK$3,$D$2-1)))))</f>
        <v/>
      </c>
      <c r="BL12" s="55">
        <f>IF(OR($C12="",$B$2="",$D$2=0),0,IF(BL$3&lt;0,0,N(INDEX('CURVA PREVISION'!$A$1:$KZ$3000,$C12,10+3*MIN(BL$3,$D$2-1)))))</f>
        <v/>
      </c>
      <c r="BM12" s="55">
        <f>IF(OR($C12="",$B$2="",$D$2=0),0,IF(BM$3&lt;0,0,N(INDEX('CURVA PREVISION'!$A$1:$KZ$3000,$C12,10+3*MIN(BM$3,$D$2-1)))))</f>
        <v/>
      </c>
      <c r="BN12" s="55">
        <f>IF(OR($C12="",$B$2="",$D$2=0),0,IF(BN$3&lt;0,0,N(INDEX('CURVA PREVISION'!$A$1:$KZ$3000,$C12,10+3*MIN(BN$3,$D$2-1)))))</f>
        <v/>
      </c>
      <c r="BO12" s="55">
        <f>IF(OR($C12="",$B$2="",$D$2=0),0,IF(BO$3&lt;0,0,N(INDEX('CURVA PREVISION'!$A$1:$KZ$3000,$C12,10+3*MIN(BO$3,$D$2-1)))))</f>
        <v/>
      </c>
      <c r="BP12" s="55">
        <f>IF(OR($C12="",$B$2="",$D$2=0),0,IF(BP$3&lt;0,0,N(INDEX('CURVA PREVISION'!$A$1:$KZ$3000,$C12,10+3*MIN(BP$3,$D$2-1)))))</f>
        <v/>
      </c>
      <c r="BQ12" s="55">
        <f>IF(OR($C12="",$B$2="",$D$2=0),0,IF(BQ$3&lt;0,0,N(INDEX('CURVA PREVISION'!$A$1:$KZ$3000,$C12,10+3*MIN(BQ$3,$D$2-1)))))</f>
        <v/>
      </c>
      <c r="BR12" s="55">
        <f>IF(OR($C12="",$B$2="",$D$2=0),0,IF(BR$3&lt;0,0,N(INDEX('CURVA PREVISION'!$A$1:$KZ$3000,$C12,10+3*MIN(BR$3,$D$2-1)))))</f>
        <v/>
      </c>
      <c r="BS12" s="55">
        <f>IF(OR($C12="",$B$2="",$D$2=0),0,IF(BS$3&lt;0,0,N(INDEX('CURVA PREVISION'!$A$1:$KZ$3000,$C12,10+3*MIN(BS$3,$D$2-1)))))</f>
        <v/>
      </c>
      <c r="BT12" s="55">
        <f>IF(OR($C12="",$B$2="",$D$2=0),0,IF(BT$3&lt;0,0,N(INDEX('CURVA PREVISION'!$A$1:$KZ$3000,$C12,10+3*MIN(BT$3,$D$2-1)))))</f>
        <v/>
      </c>
      <c r="BU12" s="55">
        <f>IF(OR($C12="",$B$2="",$D$2=0),0,IF(BU$3&lt;0,0,N(INDEX('CURVA PREVISION'!$A$1:$KZ$3000,$C12,10+3*MIN(BU$3,$D$2-1)))))</f>
        <v/>
      </c>
      <c r="BV12" s="55">
        <f>IF(OR($C12="",$B$2="",$D$2=0),0,IF(BV$3&lt;0,0,N(INDEX('CURVA PREVISION'!$A$1:$KZ$3000,$C12,10+3*MIN(BV$3,$D$2-1)))))</f>
        <v/>
      </c>
      <c r="BW12" s="55">
        <f>IF(OR($C12="",$B$2="",$D$2=0),0,IF(BW$3&lt;0,0,N(INDEX('CURVA PREVISION'!$A$1:$KZ$3000,$C12,10+3*MIN(BW$3,$D$2-1)))))</f>
        <v/>
      </c>
    </row>
    <row r="13">
      <c r="A13" s="34">
        <f>'VALOR POR PL'!C19</f>
        <v/>
      </c>
      <c r="B13" s="34">
        <f>'VALOR POR PL'!D19</f>
        <v/>
      </c>
      <c r="C13" s="28">
        <f>IFERROR(MATCH(A13,'CURVA PREVISION'!$B$1:$B$3000,0),"")</f>
        <v/>
      </c>
      <c r="D13" s="55">
        <f>IF(OR($C13="",$B$2="",$D$2=0),0,IF(D$3&lt;0,0,N(INDEX('CURVA PREVISION'!$A$1:$KZ$3000,$C13,10+3*MIN(D$3,$D$2-1)))))</f>
        <v/>
      </c>
      <c r="E13" s="55">
        <f>IF(OR($C13="",$B$2="",$D$2=0),0,IF(E$3&lt;0,0,N(INDEX('CURVA PREVISION'!$A$1:$KZ$3000,$C13,10+3*MIN(E$3,$D$2-1)))))</f>
        <v/>
      </c>
      <c r="F13" s="55">
        <f>IF(OR($C13="",$B$2="",$D$2=0),0,IF(F$3&lt;0,0,N(INDEX('CURVA PREVISION'!$A$1:$KZ$3000,$C13,10+3*MIN(F$3,$D$2-1)))))</f>
        <v/>
      </c>
      <c r="G13" s="55">
        <f>IF(OR($C13="",$B$2="",$D$2=0),0,IF(G$3&lt;0,0,N(INDEX('CURVA PREVISION'!$A$1:$KZ$3000,$C13,10+3*MIN(G$3,$D$2-1)))))</f>
        <v/>
      </c>
      <c r="H13" s="55">
        <f>IF(OR($C13="",$B$2="",$D$2=0),0,IF(H$3&lt;0,0,N(INDEX('CURVA PREVISION'!$A$1:$KZ$3000,$C13,10+3*MIN(H$3,$D$2-1)))))</f>
        <v/>
      </c>
      <c r="I13" s="55">
        <f>IF(OR($C13="",$B$2="",$D$2=0),0,IF(I$3&lt;0,0,N(INDEX('CURVA PREVISION'!$A$1:$KZ$3000,$C13,10+3*MIN(I$3,$D$2-1)))))</f>
        <v/>
      </c>
      <c r="J13" s="55">
        <f>IF(OR($C13="",$B$2="",$D$2=0),0,IF(J$3&lt;0,0,N(INDEX('CURVA PREVISION'!$A$1:$KZ$3000,$C13,10+3*MIN(J$3,$D$2-1)))))</f>
        <v/>
      </c>
      <c r="K13" s="55">
        <f>IF(OR($C13="",$B$2="",$D$2=0),0,IF(K$3&lt;0,0,N(INDEX('CURVA PREVISION'!$A$1:$KZ$3000,$C13,10+3*MIN(K$3,$D$2-1)))))</f>
        <v/>
      </c>
      <c r="L13" s="55">
        <f>IF(OR($C13="",$B$2="",$D$2=0),0,IF(L$3&lt;0,0,N(INDEX('CURVA PREVISION'!$A$1:$KZ$3000,$C13,10+3*MIN(L$3,$D$2-1)))))</f>
        <v/>
      </c>
      <c r="M13" s="55">
        <f>IF(OR($C13="",$B$2="",$D$2=0),0,IF(M$3&lt;0,0,N(INDEX('CURVA PREVISION'!$A$1:$KZ$3000,$C13,10+3*MIN(M$3,$D$2-1)))))</f>
        <v/>
      </c>
      <c r="N13" s="55">
        <f>IF(OR($C13="",$B$2="",$D$2=0),0,IF(N$3&lt;0,0,N(INDEX('CURVA PREVISION'!$A$1:$KZ$3000,$C13,10+3*MIN(N$3,$D$2-1)))))</f>
        <v/>
      </c>
      <c r="O13" s="55">
        <f>IF(OR($C13="",$B$2="",$D$2=0),0,IF(O$3&lt;0,0,N(INDEX('CURVA PREVISION'!$A$1:$KZ$3000,$C13,10+3*MIN(O$3,$D$2-1)))))</f>
        <v/>
      </c>
      <c r="P13" s="55">
        <f>IF(OR($C13="",$B$2="",$D$2=0),0,IF(P$3&lt;0,0,N(INDEX('CURVA PREVISION'!$A$1:$KZ$3000,$C13,10+3*MIN(P$3,$D$2-1)))))</f>
        <v/>
      </c>
      <c r="Q13" s="55">
        <f>IF(OR($C13="",$B$2="",$D$2=0),0,IF(Q$3&lt;0,0,N(INDEX('CURVA PREVISION'!$A$1:$KZ$3000,$C13,10+3*MIN(Q$3,$D$2-1)))))</f>
        <v/>
      </c>
      <c r="R13" s="55">
        <f>IF(OR($C13="",$B$2="",$D$2=0),0,IF(R$3&lt;0,0,N(INDEX('CURVA PREVISION'!$A$1:$KZ$3000,$C13,10+3*MIN(R$3,$D$2-1)))))</f>
        <v/>
      </c>
      <c r="S13" s="55">
        <f>IF(OR($C13="",$B$2="",$D$2=0),0,IF(S$3&lt;0,0,N(INDEX('CURVA PREVISION'!$A$1:$KZ$3000,$C13,10+3*MIN(S$3,$D$2-1)))))</f>
        <v/>
      </c>
      <c r="T13" s="55">
        <f>IF(OR($C13="",$B$2="",$D$2=0),0,IF(T$3&lt;0,0,N(INDEX('CURVA PREVISION'!$A$1:$KZ$3000,$C13,10+3*MIN(T$3,$D$2-1)))))</f>
        <v/>
      </c>
      <c r="U13" s="55">
        <f>IF(OR($C13="",$B$2="",$D$2=0),0,IF(U$3&lt;0,0,N(INDEX('CURVA PREVISION'!$A$1:$KZ$3000,$C13,10+3*MIN(U$3,$D$2-1)))))</f>
        <v/>
      </c>
      <c r="V13" s="55">
        <f>IF(OR($C13="",$B$2="",$D$2=0),0,IF(V$3&lt;0,0,N(INDEX('CURVA PREVISION'!$A$1:$KZ$3000,$C13,10+3*MIN(V$3,$D$2-1)))))</f>
        <v/>
      </c>
      <c r="W13" s="55">
        <f>IF(OR($C13="",$B$2="",$D$2=0),0,IF(W$3&lt;0,0,N(INDEX('CURVA PREVISION'!$A$1:$KZ$3000,$C13,10+3*MIN(W$3,$D$2-1)))))</f>
        <v/>
      </c>
      <c r="X13" s="55">
        <f>IF(OR($C13="",$B$2="",$D$2=0),0,IF(X$3&lt;0,0,N(INDEX('CURVA PREVISION'!$A$1:$KZ$3000,$C13,10+3*MIN(X$3,$D$2-1)))))</f>
        <v/>
      </c>
      <c r="Y13" s="55">
        <f>IF(OR($C13="",$B$2="",$D$2=0),0,IF(Y$3&lt;0,0,N(INDEX('CURVA PREVISION'!$A$1:$KZ$3000,$C13,10+3*MIN(Y$3,$D$2-1)))))</f>
        <v/>
      </c>
      <c r="Z13" s="55">
        <f>IF(OR($C13="",$B$2="",$D$2=0),0,IF(Z$3&lt;0,0,N(INDEX('CURVA PREVISION'!$A$1:$KZ$3000,$C13,10+3*MIN(Z$3,$D$2-1)))))</f>
        <v/>
      </c>
      <c r="AA13" s="55">
        <f>IF(OR($C13="",$B$2="",$D$2=0),0,IF(AA$3&lt;0,0,N(INDEX('CURVA PREVISION'!$A$1:$KZ$3000,$C13,10+3*MIN(AA$3,$D$2-1)))))</f>
        <v/>
      </c>
      <c r="AB13" s="55">
        <f>IF(OR($C13="",$B$2="",$D$2=0),0,IF(AB$3&lt;0,0,N(INDEX('CURVA PREVISION'!$A$1:$KZ$3000,$C13,10+3*MIN(AB$3,$D$2-1)))))</f>
        <v/>
      </c>
      <c r="AC13" s="55">
        <f>IF(OR($C13="",$B$2="",$D$2=0),0,IF(AC$3&lt;0,0,N(INDEX('CURVA PREVISION'!$A$1:$KZ$3000,$C13,10+3*MIN(AC$3,$D$2-1)))))</f>
        <v/>
      </c>
      <c r="AD13" s="55">
        <f>IF(OR($C13="",$B$2="",$D$2=0),0,IF(AD$3&lt;0,0,N(INDEX('CURVA PREVISION'!$A$1:$KZ$3000,$C13,10+3*MIN(AD$3,$D$2-1)))))</f>
        <v/>
      </c>
      <c r="AE13" s="55">
        <f>IF(OR($C13="",$B$2="",$D$2=0),0,IF(AE$3&lt;0,0,N(INDEX('CURVA PREVISION'!$A$1:$KZ$3000,$C13,10+3*MIN(AE$3,$D$2-1)))))</f>
        <v/>
      </c>
      <c r="AF13" s="55">
        <f>IF(OR($C13="",$B$2="",$D$2=0),0,IF(AF$3&lt;0,0,N(INDEX('CURVA PREVISION'!$A$1:$KZ$3000,$C13,10+3*MIN(AF$3,$D$2-1)))))</f>
        <v/>
      </c>
      <c r="AG13" s="55">
        <f>IF(OR($C13="",$B$2="",$D$2=0),0,IF(AG$3&lt;0,0,N(INDEX('CURVA PREVISION'!$A$1:$KZ$3000,$C13,10+3*MIN(AG$3,$D$2-1)))))</f>
        <v/>
      </c>
      <c r="AH13" s="55">
        <f>IF(OR($C13="",$B$2="",$D$2=0),0,IF(AH$3&lt;0,0,N(INDEX('CURVA PREVISION'!$A$1:$KZ$3000,$C13,10+3*MIN(AH$3,$D$2-1)))))</f>
        <v/>
      </c>
      <c r="AI13" s="55">
        <f>IF(OR($C13="",$B$2="",$D$2=0),0,IF(AI$3&lt;0,0,N(INDEX('CURVA PREVISION'!$A$1:$KZ$3000,$C13,10+3*MIN(AI$3,$D$2-1)))))</f>
        <v/>
      </c>
      <c r="AJ13" s="55">
        <f>IF(OR($C13="",$B$2="",$D$2=0),0,IF(AJ$3&lt;0,0,N(INDEX('CURVA PREVISION'!$A$1:$KZ$3000,$C13,10+3*MIN(AJ$3,$D$2-1)))))</f>
        <v/>
      </c>
      <c r="AK13" s="55">
        <f>IF(OR($C13="",$B$2="",$D$2=0),0,IF(AK$3&lt;0,0,N(INDEX('CURVA PREVISION'!$A$1:$KZ$3000,$C13,10+3*MIN(AK$3,$D$2-1)))))</f>
        <v/>
      </c>
      <c r="AL13" s="55">
        <f>IF(OR($C13="",$B$2="",$D$2=0),0,IF(AL$3&lt;0,0,N(INDEX('CURVA PREVISION'!$A$1:$KZ$3000,$C13,10+3*MIN(AL$3,$D$2-1)))))</f>
        <v/>
      </c>
      <c r="AM13" s="55">
        <f>IF(OR($C13="",$B$2="",$D$2=0),0,IF(AM$3&lt;0,0,N(INDEX('CURVA PREVISION'!$A$1:$KZ$3000,$C13,10+3*MIN(AM$3,$D$2-1)))))</f>
        <v/>
      </c>
      <c r="AN13" s="55">
        <f>IF(OR($C13="",$B$2="",$D$2=0),0,IF(AN$3&lt;0,0,N(INDEX('CURVA PREVISION'!$A$1:$KZ$3000,$C13,10+3*MIN(AN$3,$D$2-1)))))</f>
        <v/>
      </c>
      <c r="AO13" s="55">
        <f>IF(OR($C13="",$B$2="",$D$2=0),0,IF(AO$3&lt;0,0,N(INDEX('CURVA PREVISION'!$A$1:$KZ$3000,$C13,10+3*MIN(AO$3,$D$2-1)))))</f>
        <v/>
      </c>
      <c r="AP13" s="55">
        <f>IF(OR($C13="",$B$2="",$D$2=0),0,IF(AP$3&lt;0,0,N(INDEX('CURVA PREVISION'!$A$1:$KZ$3000,$C13,10+3*MIN(AP$3,$D$2-1)))))</f>
        <v/>
      </c>
      <c r="AQ13" s="55">
        <f>IF(OR($C13="",$B$2="",$D$2=0),0,IF(AQ$3&lt;0,0,N(INDEX('CURVA PREVISION'!$A$1:$KZ$3000,$C13,10+3*MIN(AQ$3,$D$2-1)))))</f>
        <v/>
      </c>
      <c r="AR13" s="55">
        <f>IF(OR($C13="",$B$2="",$D$2=0),0,IF(AR$3&lt;0,0,N(INDEX('CURVA PREVISION'!$A$1:$KZ$3000,$C13,10+3*MIN(AR$3,$D$2-1)))))</f>
        <v/>
      </c>
      <c r="AS13" s="55">
        <f>IF(OR($C13="",$B$2="",$D$2=0),0,IF(AS$3&lt;0,0,N(INDEX('CURVA PREVISION'!$A$1:$KZ$3000,$C13,10+3*MIN(AS$3,$D$2-1)))))</f>
        <v/>
      </c>
      <c r="AT13" s="55">
        <f>IF(OR($C13="",$B$2="",$D$2=0),0,IF(AT$3&lt;0,0,N(INDEX('CURVA PREVISION'!$A$1:$KZ$3000,$C13,10+3*MIN(AT$3,$D$2-1)))))</f>
        <v/>
      </c>
      <c r="AU13" s="55">
        <f>IF(OR($C13="",$B$2="",$D$2=0),0,IF(AU$3&lt;0,0,N(INDEX('CURVA PREVISION'!$A$1:$KZ$3000,$C13,10+3*MIN(AU$3,$D$2-1)))))</f>
        <v/>
      </c>
      <c r="AV13" s="55">
        <f>IF(OR($C13="",$B$2="",$D$2=0),0,IF(AV$3&lt;0,0,N(INDEX('CURVA PREVISION'!$A$1:$KZ$3000,$C13,10+3*MIN(AV$3,$D$2-1)))))</f>
        <v/>
      </c>
      <c r="AW13" s="55">
        <f>IF(OR($C13="",$B$2="",$D$2=0),0,IF(AW$3&lt;0,0,N(INDEX('CURVA PREVISION'!$A$1:$KZ$3000,$C13,10+3*MIN(AW$3,$D$2-1)))))</f>
        <v/>
      </c>
      <c r="AX13" s="55">
        <f>IF(OR($C13="",$B$2="",$D$2=0),0,IF(AX$3&lt;0,0,N(INDEX('CURVA PREVISION'!$A$1:$KZ$3000,$C13,10+3*MIN(AX$3,$D$2-1)))))</f>
        <v/>
      </c>
      <c r="AY13" s="55">
        <f>IF(OR($C13="",$B$2="",$D$2=0),0,IF(AY$3&lt;0,0,N(INDEX('CURVA PREVISION'!$A$1:$KZ$3000,$C13,10+3*MIN(AY$3,$D$2-1)))))</f>
        <v/>
      </c>
      <c r="AZ13" s="55">
        <f>IF(OR($C13="",$B$2="",$D$2=0),0,IF(AZ$3&lt;0,0,N(INDEX('CURVA PREVISION'!$A$1:$KZ$3000,$C13,10+3*MIN(AZ$3,$D$2-1)))))</f>
        <v/>
      </c>
      <c r="BA13" s="55">
        <f>IF(OR($C13="",$B$2="",$D$2=0),0,IF(BA$3&lt;0,0,N(INDEX('CURVA PREVISION'!$A$1:$KZ$3000,$C13,10+3*MIN(BA$3,$D$2-1)))))</f>
        <v/>
      </c>
      <c r="BB13" s="55">
        <f>IF(OR($C13="",$B$2="",$D$2=0),0,IF(BB$3&lt;0,0,N(INDEX('CURVA PREVISION'!$A$1:$KZ$3000,$C13,10+3*MIN(BB$3,$D$2-1)))))</f>
        <v/>
      </c>
      <c r="BC13" s="55">
        <f>IF(OR($C13="",$B$2="",$D$2=0),0,IF(BC$3&lt;0,0,N(INDEX('CURVA PREVISION'!$A$1:$KZ$3000,$C13,10+3*MIN(BC$3,$D$2-1)))))</f>
        <v/>
      </c>
      <c r="BD13" s="55">
        <f>IF(OR($C13="",$B$2="",$D$2=0),0,IF(BD$3&lt;0,0,N(INDEX('CURVA PREVISION'!$A$1:$KZ$3000,$C13,10+3*MIN(BD$3,$D$2-1)))))</f>
        <v/>
      </c>
      <c r="BE13" s="55">
        <f>IF(OR($C13="",$B$2="",$D$2=0),0,IF(BE$3&lt;0,0,N(INDEX('CURVA PREVISION'!$A$1:$KZ$3000,$C13,10+3*MIN(BE$3,$D$2-1)))))</f>
        <v/>
      </c>
      <c r="BF13" s="55">
        <f>IF(OR($C13="",$B$2="",$D$2=0),0,IF(BF$3&lt;0,0,N(INDEX('CURVA PREVISION'!$A$1:$KZ$3000,$C13,10+3*MIN(BF$3,$D$2-1)))))</f>
        <v/>
      </c>
      <c r="BG13" s="55">
        <f>IF(OR($C13="",$B$2="",$D$2=0),0,IF(BG$3&lt;0,0,N(INDEX('CURVA PREVISION'!$A$1:$KZ$3000,$C13,10+3*MIN(BG$3,$D$2-1)))))</f>
        <v/>
      </c>
      <c r="BH13" s="55">
        <f>IF(OR($C13="",$B$2="",$D$2=0),0,IF(BH$3&lt;0,0,N(INDEX('CURVA PREVISION'!$A$1:$KZ$3000,$C13,10+3*MIN(BH$3,$D$2-1)))))</f>
        <v/>
      </c>
      <c r="BI13" s="55">
        <f>IF(OR($C13="",$B$2="",$D$2=0),0,IF(BI$3&lt;0,0,N(INDEX('CURVA PREVISION'!$A$1:$KZ$3000,$C13,10+3*MIN(BI$3,$D$2-1)))))</f>
        <v/>
      </c>
      <c r="BJ13" s="55">
        <f>IF(OR($C13="",$B$2="",$D$2=0),0,IF(BJ$3&lt;0,0,N(INDEX('CURVA PREVISION'!$A$1:$KZ$3000,$C13,10+3*MIN(BJ$3,$D$2-1)))))</f>
        <v/>
      </c>
      <c r="BK13" s="55">
        <f>IF(OR($C13="",$B$2="",$D$2=0),0,IF(BK$3&lt;0,0,N(INDEX('CURVA PREVISION'!$A$1:$KZ$3000,$C13,10+3*MIN(BK$3,$D$2-1)))))</f>
        <v/>
      </c>
      <c r="BL13" s="55">
        <f>IF(OR($C13="",$B$2="",$D$2=0),0,IF(BL$3&lt;0,0,N(INDEX('CURVA PREVISION'!$A$1:$KZ$3000,$C13,10+3*MIN(BL$3,$D$2-1)))))</f>
        <v/>
      </c>
      <c r="BM13" s="55">
        <f>IF(OR($C13="",$B$2="",$D$2=0),0,IF(BM$3&lt;0,0,N(INDEX('CURVA PREVISION'!$A$1:$KZ$3000,$C13,10+3*MIN(BM$3,$D$2-1)))))</f>
        <v/>
      </c>
      <c r="BN13" s="55">
        <f>IF(OR($C13="",$B$2="",$D$2=0),0,IF(BN$3&lt;0,0,N(INDEX('CURVA PREVISION'!$A$1:$KZ$3000,$C13,10+3*MIN(BN$3,$D$2-1)))))</f>
        <v/>
      </c>
      <c r="BO13" s="55">
        <f>IF(OR($C13="",$B$2="",$D$2=0),0,IF(BO$3&lt;0,0,N(INDEX('CURVA PREVISION'!$A$1:$KZ$3000,$C13,10+3*MIN(BO$3,$D$2-1)))))</f>
        <v/>
      </c>
      <c r="BP13" s="55">
        <f>IF(OR($C13="",$B$2="",$D$2=0),0,IF(BP$3&lt;0,0,N(INDEX('CURVA PREVISION'!$A$1:$KZ$3000,$C13,10+3*MIN(BP$3,$D$2-1)))))</f>
        <v/>
      </c>
      <c r="BQ13" s="55">
        <f>IF(OR($C13="",$B$2="",$D$2=0),0,IF(BQ$3&lt;0,0,N(INDEX('CURVA PREVISION'!$A$1:$KZ$3000,$C13,10+3*MIN(BQ$3,$D$2-1)))))</f>
        <v/>
      </c>
      <c r="BR13" s="55">
        <f>IF(OR($C13="",$B$2="",$D$2=0),0,IF(BR$3&lt;0,0,N(INDEX('CURVA PREVISION'!$A$1:$KZ$3000,$C13,10+3*MIN(BR$3,$D$2-1)))))</f>
        <v/>
      </c>
      <c r="BS13" s="55">
        <f>IF(OR($C13="",$B$2="",$D$2=0),0,IF(BS$3&lt;0,0,N(INDEX('CURVA PREVISION'!$A$1:$KZ$3000,$C13,10+3*MIN(BS$3,$D$2-1)))))</f>
        <v/>
      </c>
      <c r="BT13" s="55">
        <f>IF(OR($C13="",$B$2="",$D$2=0),0,IF(BT$3&lt;0,0,N(INDEX('CURVA PREVISION'!$A$1:$KZ$3000,$C13,10+3*MIN(BT$3,$D$2-1)))))</f>
        <v/>
      </c>
      <c r="BU13" s="55">
        <f>IF(OR($C13="",$B$2="",$D$2=0),0,IF(BU$3&lt;0,0,N(INDEX('CURVA PREVISION'!$A$1:$KZ$3000,$C13,10+3*MIN(BU$3,$D$2-1)))))</f>
        <v/>
      </c>
      <c r="BV13" s="55">
        <f>IF(OR($C13="",$B$2="",$D$2=0),0,IF(BV$3&lt;0,0,N(INDEX('CURVA PREVISION'!$A$1:$KZ$3000,$C13,10+3*MIN(BV$3,$D$2-1)))))</f>
        <v/>
      </c>
      <c r="BW13" s="55">
        <f>IF(OR($C13="",$B$2="",$D$2=0),0,IF(BW$3&lt;0,0,N(INDEX('CURVA PREVISION'!$A$1:$KZ$3000,$C13,10+3*MIN(BW$3,$D$2-1)))))</f>
        <v/>
      </c>
    </row>
    <row r="14">
      <c r="A14" s="34">
        <f>'VALOR POR PL'!C20</f>
        <v/>
      </c>
      <c r="B14" s="34">
        <f>'VALOR POR PL'!D20</f>
        <v/>
      </c>
      <c r="C14" s="28">
        <f>IFERROR(MATCH(A14,'CURVA PREVISION'!$B$1:$B$3000,0),"")</f>
        <v/>
      </c>
      <c r="D14" s="55">
        <f>IF(OR($C14="",$B$2="",$D$2=0),0,IF(D$3&lt;0,0,N(INDEX('CURVA PREVISION'!$A$1:$KZ$3000,$C14,10+3*MIN(D$3,$D$2-1)))))</f>
        <v/>
      </c>
      <c r="E14" s="55">
        <f>IF(OR($C14="",$B$2="",$D$2=0),0,IF(E$3&lt;0,0,N(INDEX('CURVA PREVISION'!$A$1:$KZ$3000,$C14,10+3*MIN(E$3,$D$2-1)))))</f>
        <v/>
      </c>
      <c r="F14" s="55">
        <f>IF(OR($C14="",$B$2="",$D$2=0),0,IF(F$3&lt;0,0,N(INDEX('CURVA PREVISION'!$A$1:$KZ$3000,$C14,10+3*MIN(F$3,$D$2-1)))))</f>
        <v/>
      </c>
      <c r="G14" s="55">
        <f>IF(OR($C14="",$B$2="",$D$2=0),0,IF(G$3&lt;0,0,N(INDEX('CURVA PREVISION'!$A$1:$KZ$3000,$C14,10+3*MIN(G$3,$D$2-1)))))</f>
        <v/>
      </c>
      <c r="H14" s="55">
        <f>IF(OR($C14="",$B$2="",$D$2=0),0,IF(H$3&lt;0,0,N(INDEX('CURVA PREVISION'!$A$1:$KZ$3000,$C14,10+3*MIN(H$3,$D$2-1)))))</f>
        <v/>
      </c>
      <c r="I14" s="55">
        <f>IF(OR($C14="",$B$2="",$D$2=0),0,IF(I$3&lt;0,0,N(INDEX('CURVA PREVISION'!$A$1:$KZ$3000,$C14,10+3*MIN(I$3,$D$2-1)))))</f>
        <v/>
      </c>
      <c r="J14" s="55">
        <f>IF(OR($C14="",$B$2="",$D$2=0),0,IF(J$3&lt;0,0,N(INDEX('CURVA PREVISION'!$A$1:$KZ$3000,$C14,10+3*MIN(J$3,$D$2-1)))))</f>
        <v/>
      </c>
      <c r="K14" s="55">
        <f>IF(OR($C14="",$B$2="",$D$2=0),0,IF(K$3&lt;0,0,N(INDEX('CURVA PREVISION'!$A$1:$KZ$3000,$C14,10+3*MIN(K$3,$D$2-1)))))</f>
        <v/>
      </c>
      <c r="L14" s="55">
        <f>IF(OR($C14="",$B$2="",$D$2=0),0,IF(L$3&lt;0,0,N(INDEX('CURVA PREVISION'!$A$1:$KZ$3000,$C14,10+3*MIN(L$3,$D$2-1)))))</f>
        <v/>
      </c>
      <c r="M14" s="55">
        <f>IF(OR($C14="",$B$2="",$D$2=0),0,IF(M$3&lt;0,0,N(INDEX('CURVA PREVISION'!$A$1:$KZ$3000,$C14,10+3*MIN(M$3,$D$2-1)))))</f>
        <v/>
      </c>
      <c r="N14" s="55">
        <f>IF(OR($C14="",$B$2="",$D$2=0),0,IF(N$3&lt;0,0,N(INDEX('CURVA PREVISION'!$A$1:$KZ$3000,$C14,10+3*MIN(N$3,$D$2-1)))))</f>
        <v/>
      </c>
      <c r="O14" s="55">
        <f>IF(OR($C14="",$B$2="",$D$2=0),0,IF(O$3&lt;0,0,N(INDEX('CURVA PREVISION'!$A$1:$KZ$3000,$C14,10+3*MIN(O$3,$D$2-1)))))</f>
        <v/>
      </c>
      <c r="P14" s="55">
        <f>IF(OR($C14="",$B$2="",$D$2=0),0,IF(P$3&lt;0,0,N(INDEX('CURVA PREVISION'!$A$1:$KZ$3000,$C14,10+3*MIN(P$3,$D$2-1)))))</f>
        <v/>
      </c>
      <c r="Q14" s="55">
        <f>IF(OR($C14="",$B$2="",$D$2=0),0,IF(Q$3&lt;0,0,N(INDEX('CURVA PREVISION'!$A$1:$KZ$3000,$C14,10+3*MIN(Q$3,$D$2-1)))))</f>
        <v/>
      </c>
      <c r="R14" s="55">
        <f>IF(OR($C14="",$B$2="",$D$2=0),0,IF(R$3&lt;0,0,N(INDEX('CURVA PREVISION'!$A$1:$KZ$3000,$C14,10+3*MIN(R$3,$D$2-1)))))</f>
        <v/>
      </c>
      <c r="S14" s="55">
        <f>IF(OR($C14="",$B$2="",$D$2=0),0,IF(S$3&lt;0,0,N(INDEX('CURVA PREVISION'!$A$1:$KZ$3000,$C14,10+3*MIN(S$3,$D$2-1)))))</f>
        <v/>
      </c>
      <c r="T14" s="55">
        <f>IF(OR($C14="",$B$2="",$D$2=0),0,IF(T$3&lt;0,0,N(INDEX('CURVA PREVISION'!$A$1:$KZ$3000,$C14,10+3*MIN(T$3,$D$2-1)))))</f>
        <v/>
      </c>
      <c r="U14" s="55">
        <f>IF(OR($C14="",$B$2="",$D$2=0),0,IF(U$3&lt;0,0,N(INDEX('CURVA PREVISION'!$A$1:$KZ$3000,$C14,10+3*MIN(U$3,$D$2-1)))))</f>
        <v/>
      </c>
      <c r="V14" s="55">
        <f>IF(OR($C14="",$B$2="",$D$2=0),0,IF(V$3&lt;0,0,N(INDEX('CURVA PREVISION'!$A$1:$KZ$3000,$C14,10+3*MIN(V$3,$D$2-1)))))</f>
        <v/>
      </c>
      <c r="W14" s="55">
        <f>IF(OR($C14="",$B$2="",$D$2=0),0,IF(W$3&lt;0,0,N(INDEX('CURVA PREVISION'!$A$1:$KZ$3000,$C14,10+3*MIN(W$3,$D$2-1)))))</f>
        <v/>
      </c>
      <c r="X14" s="55">
        <f>IF(OR($C14="",$B$2="",$D$2=0),0,IF(X$3&lt;0,0,N(INDEX('CURVA PREVISION'!$A$1:$KZ$3000,$C14,10+3*MIN(X$3,$D$2-1)))))</f>
        <v/>
      </c>
      <c r="Y14" s="55">
        <f>IF(OR($C14="",$B$2="",$D$2=0),0,IF(Y$3&lt;0,0,N(INDEX('CURVA PREVISION'!$A$1:$KZ$3000,$C14,10+3*MIN(Y$3,$D$2-1)))))</f>
        <v/>
      </c>
      <c r="Z14" s="55">
        <f>IF(OR($C14="",$B$2="",$D$2=0),0,IF(Z$3&lt;0,0,N(INDEX('CURVA PREVISION'!$A$1:$KZ$3000,$C14,10+3*MIN(Z$3,$D$2-1)))))</f>
        <v/>
      </c>
      <c r="AA14" s="55">
        <f>IF(OR($C14="",$B$2="",$D$2=0),0,IF(AA$3&lt;0,0,N(INDEX('CURVA PREVISION'!$A$1:$KZ$3000,$C14,10+3*MIN(AA$3,$D$2-1)))))</f>
        <v/>
      </c>
      <c r="AB14" s="55">
        <f>IF(OR($C14="",$B$2="",$D$2=0),0,IF(AB$3&lt;0,0,N(INDEX('CURVA PREVISION'!$A$1:$KZ$3000,$C14,10+3*MIN(AB$3,$D$2-1)))))</f>
        <v/>
      </c>
      <c r="AC14" s="55">
        <f>IF(OR($C14="",$B$2="",$D$2=0),0,IF(AC$3&lt;0,0,N(INDEX('CURVA PREVISION'!$A$1:$KZ$3000,$C14,10+3*MIN(AC$3,$D$2-1)))))</f>
        <v/>
      </c>
      <c r="AD14" s="55">
        <f>IF(OR($C14="",$B$2="",$D$2=0),0,IF(AD$3&lt;0,0,N(INDEX('CURVA PREVISION'!$A$1:$KZ$3000,$C14,10+3*MIN(AD$3,$D$2-1)))))</f>
        <v/>
      </c>
      <c r="AE14" s="55">
        <f>IF(OR($C14="",$B$2="",$D$2=0),0,IF(AE$3&lt;0,0,N(INDEX('CURVA PREVISION'!$A$1:$KZ$3000,$C14,10+3*MIN(AE$3,$D$2-1)))))</f>
        <v/>
      </c>
      <c r="AF14" s="55">
        <f>IF(OR($C14="",$B$2="",$D$2=0),0,IF(AF$3&lt;0,0,N(INDEX('CURVA PREVISION'!$A$1:$KZ$3000,$C14,10+3*MIN(AF$3,$D$2-1)))))</f>
        <v/>
      </c>
      <c r="AG14" s="55">
        <f>IF(OR($C14="",$B$2="",$D$2=0),0,IF(AG$3&lt;0,0,N(INDEX('CURVA PREVISION'!$A$1:$KZ$3000,$C14,10+3*MIN(AG$3,$D$2-1)))))</f>
        <v/>
      </c>
      <c r="AH14" s="55">
        <f>IF(OR($C14="",$B$2="",$D$2=0),0,IF(AH$3&lt;0,0,N(INDEX('CURVA PREVISION'!$A$1:$KZ$3000,$C14,10+3*MIN(AH$3,$D$2-1)))))</f>
        <v/>
      </c>
      <c r="AI14" s="55">
        <f>IF(OR($C14="",$B$2="",$D$2=0),0,IF(AI$3&lt;0,0,N(INDEX('CURVA PREVISION'!$A$1:$KZ$3000,$C14,10+3*MIN(AI$3,$D$2-1)))))</f>
        <v/>
      </c>
      <c r="AJ14" s="55">
        <f>IF(OR($C14="",$B$2="",$D$2=0),0,IF(AJ$3&lt;0,0,N(INDEX('CURVA PREVISION'!$A$1:$KZ$3000,$C14,10+3*MIN(AJ$3,$D$2-1)))))</f>
        <v/>
      </c>
      <c r="AK14" s="55">
        <f>IF(OR($C14="",$B$2="",$D$2=0),0,IF(AK$3&lt;0,0,N(INDEX('CURVA PREVISION'!$A$1:$KZ$3000,$C14,10+3*MIN(AK$3,$D$2-1)))))</f>
        <v/>
      </c>
      <c r="AL14" s="55">
        <f>IF(OR($C14="",$B$2="",$D$2=0),0,IF(AL$3&lt;0,0,N(INDEX('CURVA PREVISION'!$A$1:$KZ$3000,$C14,10+3*MIN(AL$3,$D$2-1)))))</f>
        <v/>
      </c>
      <c r="AM14" s="55">
        <f>IF(OR($C14="",$B$2="",$D$2=0),0,IF(AM$3&lt;0,0,N(INDEX('CURVA PREVISION'!$A$1:$KZ$3000,$C14,10+3*MIN(AM$3,$D$2-1)))))</f>
        <v/>
      </c>
      <c r="AN14" s="55">
        <f>IF(OR($C14="",$B$2="",$D$2=0),0,IF(AN$3&lt;0,0,N(INDEX('CURVA PREVISION'!$A$1:$KZ$3000,$C14,10+3*MIN(AN$3,$D$2-1)))))</f>
        <v/>
      </c>
      <c r="AO14" s="55">
        <f>IF(OR($C14="",$B$2="",$D$2=0),0,IF(AO$3&lt;0,0,N(INDEX('CURVA PREVISION'!$A$1:$KZ$3000,$C14,10+3*MIN(AO$3,$D$2-1)))))</f>
        <v/>
      </c>
      <c r="AP14" s="55">
        <f>IF(OR($C14="",$B$2="",$D$2=0),0,IF(AP$3&lt;0,0,N(INDEX('CURVA PREVISION'!$A$1:$KZ$3000,$C14,10+3*MIN(AP$3,$D$2-1)))))</f>
        <v/>
      </c>
      <c r="AQ14" s="55">
        <f>IF(OR($C14="",$B$2="",$D$2=0),0,IF(AQ$3&lt;0,0,N(INDEX('CURVA PREVISION'!$A$1:$KZ$3000,$C14,10+3*MIN(AQ$3,$D$2-1)))))</f>
        <v/>
      </c>
      <c r="AR14" s="55">
        <f>IF(OR($C14="",$B$2="",$D$2=0),0,IF(AR$3&lt;0,0,N(INDEX('CURVA PREVISION'!$A$1:$KZ$3000,$C14,10+3*MIN(AR$3,$D$2-1)))))</f>
        <v/>
      </c>
      <c r="AS14" s="55">
        <f>IF(OR($C14="",$B$2="",$D$2=0),0,IF(AS$3&lt;0,0,N(INDEX('CURVA PREVISION'!$A$1:$KZ$3000,$C14,10+3*MIN(AS$3,$D$2-1)))))</f>
        <v/>
      </c>
      <c r="AT14" s="55">
        <f>IF(OR($C14="",$B$2="",$D$2=0),0,IF(AT$3&lt;0,0,N(INDEX('CURVA PREVISION'!$A$1:$KZ$3000,$C14,10+3*MIN(AT$3,$D$2-1)))))</f>
        <v/>
      </c>
      <c r="AU14" s="55">
        <f>IF(OR($C14="",$B$2="",$D$2=0),0,IF(AU$3&lt;0,0,N(INDEX('CURVA PREVISION'!$A$1:$KZ$3000,$C14,10+3*MIN(AU$3,$D$2-1)))))</f>
        <v/>
      </c>
      <c r="AV14" s="55">
        <f>IF(OR($C14="",$B$2="",$D$2=0),0,IF(AV$3&lt;0,0,N(INDEX('CURVA PREVISION'!$A$1:$KZ$3000,$C14,10+3*MIN(AV$3,$D$2-1)))))</f>
        <v/>
      </c>
      <c r="AW14" s="55">
        <f>IF(OR($C14="",$B$2="",$D$2=0),0,IF(AW$3&lt;0,0,N(INDEX('CURVA PREVISION'!$A$1:$KZ$3000,$C14,10+3*MIN(AW$3,$D$2-1)))))</f>
        <v/>
      </c>
      <c r="AX14" s="55">
        <f>IF(OR($C14="",$B$2="",$D$2=0),0,IF(AX$3&lt;0,0,N(INDEX('CURVA PREVISION'!$A$1:$KZ$3000,$C14,10+3*MIN(AX$3,$D$2-1)))))</f>
        <v/>
      </c>
      <c r="AY14" s="55">
        <f>IF(OR($C14="",$B$2="",$D$2=0),0,IF(AY$3&lt;0,0,N(INDEX('CURVA PREVISION'!$A$1:$KZ$3000,$C14,10+3*MIN(AY$3,$D$2-1)))))</f>
        <v/>
      </c>
      <c r="AZ14" s="55">
        <f>IF(OR($C14="",$B$2="",$D$2=0),0,IF(AZ$3&lt;0,0,N(INDEX('CURVA PREVISION'!$A$1:$KZ$3000,$C14,10+3*MIN(AZ$3,$D$2-1)))))</f>
        <v/>
      </c>
      <c r="BA14" s="55">
        <f>IF(OR($C14="",$B$2="",$D$2=0),0,IF(BA$3&lt;0,0,N(INDEX('CURVA PREVISION'!$A$1:$KZ$3000,$C14,10+3*MIN(BA$3,$D$2-1)))))</f>
        <v/>
      </c>
      <c r="BB14" s="55">
        <f>IF(OR($C14="",$B$2="",$D$2=0),0,IF(BB$3&lt;0,0,N(INDEX('CURVA PREVISION'!$A$1:$KZ$3000,$C14,10+3*MIN(BB$3,$D$2-1)))))</f>
        <v/>
      </c>
      <c r="BC14" s="55">
        <f>IF(OR($C14="",$B$2="",$D$2=0),0,IF(BC$3&lt;0,0,N(INDEX('CURVA PREVISION'!$A$1:$KZ$3000,$C14,10+3*MIN(BC$3,$D$2-1)))))</f>
        <v/>
      </c>
      <c r="BD14" s="55">
        <f>IF(OR($C14="",$B$2="",$D$2=0),0,IF(BD$3&lt;0,0,N(INDEX('CURVA PREVISION'!$A$1:$KZ$3000,$C14,10+3*MIN(BD$3,$D$2-1)))))</f>
        <v/>
      </c>
      <c r="BE14" s="55">
        <f>IF(OR($C14="",$B$2="",$D$2=0),0,IF(BE$3&lt;0,0,N(INDEX('CURVA PREVISION'!$A$1:$KZ$3000,$C14,10+3*MIN(BE$3,$D$2-1)))))</f>
        <v/>
      </c>
      <c r="BF14" s="55">
        <f>IF(OR($C14="",$B$2="",$D$2=0),0,IF(BF$3&lt;0,0,N(INDEX('CURVA PREVISION'!$A$1:$KZ$3000,$C14,10+3*MIN(BF$3,$D$2-1)))))</f>
        <v/>
      </c>
      <c r="BG14" s="55">
        <f>IF(OR($C14="",$B$2="",$D$2=0),0,IF(BG$3&lt;0,0,N(INDEX('CURVA PREVISION'!$A$1:$KZ$3000,$C14,10+3*MIN(BG$3,$D$2-1)))))</f>
        <v/>
      </c>
      <c r="BH14" s="55">
        <f>IF(OR($C14="",$B$2="",$D$2=0),0,IF(BH$3&lt;0,0,N(INDEX('CURVA PREVISION'!$A$1:$KZ$3000,$C14,10+3*MIN(BH$3,$D$2-1)))))</f>
        <v/>
      </c>
      <c r="BI14" s="55">
        <f>IF(OR($C14="",$B$2="",$D$2=0),0,IF(BI$3&lt;0,0,N(INDEX('CURVA PREVISION'!$A$1:$KZ$3000,$C14,10+3*MIN(BI$3,$D$2-1)))))</f>
        <v/>
      </c>
      <c r="BJ14" s="55">
        <f>IF(OR($C14="",$B$2="",$D$2=0),0,IF(BJ$3&lt;0,0,N(INDEX('CURVA PREVISION'!$A$1:$KZ$3000,$C14,10+3*MIN(BJ$3,$D$2-1)))))</f>
        <v/>
      </c>
      <c r="BK14" s="55">
        <f>IF(OR($C14="",$B$2="",$D$2=0),0,IF(BK$3&lt;0,0,N(INDEX('CURVA PREVISION'!$A$1:$KZ$3000,$C14,10+3*MIN(BK$3,$D$2-1)))))</f>
        <v/>
      </c>
      <c r="BL14" s="55">
        <f>IF(OR($C14="",$B$2="",$D$2=0),0,IF(BL$3&lt;0,0,N(INDEX('CURVA PREVISION'!$A$1:$KZ$3000,$C14,10+3*MIN(BL$3,$D$2-1)))))</f>
        <v/>
      </c>
      <c r="BM14" s="55">
        <f>IF(OR($C14="",$B$2="",$D$2=0),0,IF(BM$3&lt;0,0,N(INDEX('CURVA PREVISION'!$A$1:$KZ$3000,$C14,10+3*MIN(BM$3,$D$2-1)))))</f>
        <v/>
      </c>
      <c r="BN14" s="55">
        <f>IF(OR($C14="",$B$2="",$D$2=0),0,IF(BN$3&lt;0,0,N(INDEX('CURVA PREVISION'!$A$1:$KZ$3000,$C14,10+3*MIN(BN$3,$D$2-1)))))</f>
        <v/>
      </c>
      <c r="BO14" s="55">
        <f>IF(OR($C14="",$B$2="",$D$2=0),0,IF(BO$3&lt;0,0,N(INDEX('CURVA PREVISION'!$A$1:$KZ$3000,$C14,10+3*MIN(BO$3,$D$2-1)))))</f>
        <v/>
      </c>
      <c r="BP14" s="55">
        <f>IF(OR($C14="",$B$2="",$D$2=0),0,IF(BP$3&lt;0,0,N(INDEX('CURVA PREVISION'!$A$1:$KZ$3000,$C14,10+3*MIN(BP$3,$D$2-1)))))</f>
        <v/>
      </c>
      <c r="BQ14" s="55">
        <f>IF(OR($C14="",$B$2="",$D$2=0),0,IF(BQ$3&lt;0,0,N(INDEX('CURVA PREVISION'!$A$1:$KZ$3000,$C14,10+3*MIN(BQ$3,$D$2-1)))))</f>
        <v/>
      </c>
      <c r="BR14" s="55">
        <f>IF(OR($C14="",$B$2="",$D$2=0),0,IF(BR$3&lt;0,0,N(INDEX('CURVA PREVISION'!$A$1:$KZ$3000,$C14,10+3*MIN(BR$3,$D$2-1)))))</f>
        <v/>
      </c>
      <c r="BS14" s="55">
        <f>IF(OR($C14="",$B$2="",$D$2=0),0,IF(BS$3&lt;0,0,N(INDEX('CURVA PREVISION'!$A$1:$KZ$3000,$C14,10+3*MIN(BS$3,$D$2-1)))))</f>
        <v/>
      </c>
      <c r="BT14" s="55">
        <f>IF(OR($C14="",$B$2="",$D$2=0),0,IF(BT$3&lt;0,0,N(INDEX('CURVA PREVISION'!$A$1:$KZ$3000,$C14,10+3*MIN(BT$3,$D$2-1)))))</f>
        <v/>
      </c>
      <c r="BU14" s="55">
        <f>IF(OR($C14="",$B$2="",$D$2=0),0,IF(BU$3&lt;0,0,N(INDEX('CURVA PREVISION'!$A$1:$KZ$3000,$C14,10+3*MIN(BU$3,$D$2-1)))))</f>
        <v/>
      </c>
      <c r="BV14" s="55">
        <f>IF(OR($C14="",$B$2="",$D$2=0),0,IF(BV$3&lt;0,0,N(INDEX('CURVA PREVISION'!$A$1:$KZ$3000,$C14,10+3*MIN(BV$3,$D$2-1)))))</f>
        <v/>
      </c>
      <c r="BW14" s="55">
        <f>IF(OR($C14="",$B$2="",$D$2=0),0,IF(BW$3&lt;0,0,N(INDEX('CURVA PREVISION'!$A$1:$KZ$3000,$C14,10+3*MIN(BW$3,$D$2-1)))))</f>
        <v/>
      </c>
    </row>
    <row r="15">
      <c r="A15" s="34">
        <f>'VALOR POR PL'!C21</f>
        <v/>
      </c>
      <c r="B15" s="34">
        <f>'VALOR POR PL'!D21</f>
        <v/>
      </c>
      <c r="C15" s="28">
        <f>IFERROR(MATCH(A15,'CURVA PREVISION'!$B$1:$B$3000,0),"")</f>
        <v/>
      </c>
      <c r="D15" s="55">
        <f>IF(OR($C15="",$B$2="",$D$2=0),0,IF(D$3&lt;0,0,N(INDEX('CURVA PREVISION'!$A$1:$KZ$3000,$C15,10+3*MIN(D$3,$D$2-1)))))</f>
        <v/>
      </c>
      <c r="E15" s="55">
        <f>IF(OR($C15="",$B$2="",$D$2=0),0,IF(E$3&lt;0,0,N(INDEX('CURVA PREVISION'!$A$1:$KZ$3000,$C15,10+3*MIN(E$3,$D$2-1)))))</f>
        <v/>
      </c>
      <c r="F15" s="55">
        <f>IF(OR($C15="",$B$2="",$D$2=0),0,IF(F$3&lt;0,0,N(INDEX('CURVA PREVISION'!$A$1:$KZ$3000,$C15,10+3*MIN(F$3,$D$2-1)))))</f>
        <v/>
      </c>
      <c r="G15" s="55">
        <f>IF(OR($C15="",$B$2="",$D$2=0),0,IF(G$3&lt;0,0,N(INDEX('CURVA PREVISION'!$A$1:$KZ$3000,$C15,10+3*MIN(G$3,$D$2-1)))))</f>
        <v/>
      </c>
      <c r="H15" s="55">
        <f>IF(OR($C15="",$B$2="",$D$2=0),0,IF(H$3&lt;0,0,N(INDEX('CURVA PREVISION'!$A$1:$KZ$3000,$C15,10+3*MIN(H$3,$D$2-1)))))</f>
        <v/>
      </c>
      <c r="I15" s="55">
        <f>IF(OR($C15="",$B$2="",$D$2=0),0,IF(I$3&lt;0,0,N(INDEX('CURVA PREVISION'!$A$1:$KZ$3000,$C15,10+3*MIN(I$3,$D$2-1)))))</f>
        <v/>
      </c>
      <c r="J15" s="55">
        <f>IF(OR($C15="",$B$2="",$D$2=0),0,IF(J$3&lt;0,0,N(INDEX('CURVA PREVISION'!$A$1:$KZ$3000,$C15,10+3*MIN(J$3,$D$2-1)))))</f>
        <v/>
      </c>
      <c r="K15" s="55">
        <f>IF(OR($C15="",$B$2="",$D$2=0),0,IF(K$3&lt;0,0,N(INDEX('CURVA PREVISION'!$A$1:$KZ$3000,$C15,10+3*MIN(K$3,$D$2-1)))))</f>
        <v/>
      </c>
      <c r="L15" s="55">
        <f>IF(OR($C15="",$B$2="",$D$2=0),0,IF(L$3&lt;0,0,N(INDEX('CURVA PREVISION'!$A$1:$KZ$3000,$C15,10+3*MIN(L$3,$D$2-1)))))</f>
        <v/>
      </c>
      <c r="M15" s="55">
        <f>IF(OR($C15="",$B$2="",$D$2=0),0,IF(M$3&lt;0,0,N(INDEX('CURVA PREVISION'!$A$1:$KZ$3000,$C15,10+3*MIN(M$3,$D$2-1)))))</f>
        <v/>
      </c>
      <c r="N15" s="55">
        <f>IF(OR($C15="",$B$2="",$D$2=0),0,IF(N$3&lt;0,0,N(INDEX('CURVA PREVISION'!$A$1:$KZ$3000,$C15,10+3*MIN(N$3,$D$2-1)))))</f>
        <v/>
      </c>
      <c r="O15" s="55">
        <f>IF(OR($C15="",$B$2="",$D$2=0),0,IF(O$3&lt;0,0,N(INDEX('CURVA PREVISION'!$A$1:$KZ$3000,$C15,10+3*MIN(O$3,$D$2-1)))))</f>
        <v/>
      </c>
      <c r="P15" s="55">
        <f>IF(OR($C15="",$B$2="",$D$2=0),0,IF(P$3&lt;0,0,N(INDEX('CURVA PREVISION'!$A$1:$KZ$3000,$C15,10+3*MIN(P$3,$D$2-1)))))</f>
        <v/>
      </c>
      <c r="Q15" s="55">
        <f>IF(OR($C15="",$B$2="",$D$2=0),0,IF(Q$3&lt;0,0,N(INDEX('CURVA PREVISION'!$A$1:$KZ$3000,$C15,10+3*MIN(Q$3,$D$2-1)))))</f>
        <v/>
      </c>
      <c r="R15" s="55">
        <f>IF(OR($C15="",$B$2="",$D$2=0),0,IF(R$3&lt;0,0,N(INDEX('CURVA PREVISION'!$A$1:$KZ$3000,$C15,10+3*MIN(R$3,$D$2-1)))))</f>
        <v/>
      </c>
      <c r="S15" s="55">
        <f>IF(OR($C15="",$B$2="",$D$2=0),0,IF(S$3&lt;0,0,N(INDEX('CURVA PREVISION'!$A$1:$KZ$3000,$C15,10+3*MIN(S$3,$D$2-1)))))</f>
        <v/>
      </c>
      <c r="T15" s="55">
        <f>IF(OR($C15="",$B$2="",$D$2=0),0,IF(T$3&lt;0,0,N(INDEX('CURVA PREVISION'!$A$1:$KZ$3000,$C15,10+3*MIN(T$3,$D$2-1)))))</f>
        <v/>
      </c>
      <c r="U15" s="55">
        <f>IF(OR($C15="",$B$2="",$D$2=0),0,IF(U$3&lt;0,0,N(INDEX('CURVA PREVISION'!$A$1:$KZ$3000,$C15,10+3*MIN(U$3,$D$2-1)))))</f>
        <v/>
      </c>
      <c r="V15" s="55">
        <f>IF(OR($C15="",$B$2="",$D$2=0),0,IF(V$3&lt;0,0,N(INDEX('CURVA PREVISION'!$A$1:$KZ$3000,$C15,10+3*MIN(V$3,$D$2-1)))))</f>
        <v/>
      </c>
      <c r="W15" s="55">
        <f>IF(OR($C15="",$B$2="",$D$2=0),0,IF(W$3&lt;0,0,N(INDEX('CURVA PREVISION'!$A$1:$KZ$3000,$C15,10+3*MIN(W$3,$D$2-1)))))</f>
        <v/>
      </c>
      <c r="X15" s="55">
        <f>IF(OR($C15="",$B$2="",$D$2=0),0,IF(X$3&lt;0,0,N(INDEX('CURVA PREVISION'!$A$1:$KZ$3000,$C15,10+3*MIN(X$3,$D$2-1)))))</f>
        <v/>
      </c>
      <c r="Y15" s="55">
        <f>IF(OR($C15="",$B$2="",$D$2=0),0,IF(Y$3&lt;0,0,N(INDEX('CURVA PREVISION'!$A$1:$KZ$3000,$C15,10+3*MIN(Y$3,$D$2-1)))))</f>
        <v/>
      </c>
      <c r="Z15" s="55">
        <f>IF(OR($C15="",$B$2="",$D$2=0),0,IF(Z$3&lt;0,0,N(INDEX('CURVA PREVISION'!$A$1:$KZ$3000,$C15,10+3*MIN(Z$3,$D$2-1)))))</f>
        <v/>
      </c>
      <c r="AA15" s="55">
        <f>IF(OR($C15="",$B$2="",$D$2=0),0,IF(AA$3&lt;0,0,N(INDEX('CURVA PREVISION'!$A$1:$KZ$3000,$C15,10+3*MIN(AA$3,$D$2-1)))))</f>
        <v/>
      </c>
      <c r="AB15" s="55">
        <f>IF(OR($C15="",$B$2="",$D$2=0),0,IF(AB$3&lt;0,0,N(INDEX('CURVA PREVISION'!$A$1:$KZ$3000,$C15,10+3*MIN(AB$3,$D$2-1)))))</f>
        <v/>
      </c>
      <c r="AC15" s="55">
        <f>IF(OR($C15="",$B$2="",$D$2=0),0,IF(AC$3&lt;0,0,N(INDEX('CURVA PREVISION'!$A$1:$KZ$3000,$C15,10+3*MIN(AC$3,$D$2-1)))))</f>
        <v/>
      </c>
      <c r="AD15" s="55">
        <f>IF(OR($C15="",$B$2="",$D$2=0),0,IF(AD$3&lt;0,0,N(INDEX('CURVA PREVISION'!$A$1:$KZ$3000,$C15,10+3*MIN(AD$3,$D$2-1)))))</f>
        <v/>
      </c>
      <c r="AE15" s="55">
        <f>IF(OR($C15="",$B$2="",$D$2=0),0,IF(AE$3&lt;0,0,N(INDEX('CURVA PREVISION'!$A$1:$KZ$3000,$C15,10+3*MIN(AE$3,$D$2-1)))))</f>
        <v/>
      </c>
      <c r="AF15" s="55">
        <f>IF(OR($C15="",$B$2="",$D$2=0),0,IF(AF$3&lt;0,0,N(INDEX('CURVA PREVISION'!$A$1:$KZ$3000,$C15,10+3*MIN(AF$3,$D$2-1)))))</f>
        <v/>
      </c>
      <c r="AG15" s="55">
        <f>IF(OR($C15="",$B$2="",$D$2=0),0,IF(AG$3&lt;0,0,N(INDEX('CURVA PREVISION'!$A$1:$KZ$3000,$C15,10+3*MIN(AG$3,$D$2-1)))))</f>
        <v/>
      </c>
      <c r="AH15" s="55">
        <f>IF(OR($C15="",$B$2="",$D$2=0),0,IF(AH$3&lt;0,0,N(INDEX('CURVA PREVISION'!$A$1:$KZ$3000,$C15,10+3*MIN(AH$3,$D$2-1)))))</f>
        <v/>
      </c>
      <c r="AI15" s="55">
        <f>IF(OR($C15="",$B$2="",$D$2=0),0,IF(AI$3&lt;0,0,N(INDEX('CURVA PREVISION'!$A$1:$KZ$3000,$C15,10+3*MIN(AI$3,$D$2-1)))))</f>
        <v/>
      </c>
      <c r="AJ15" s="55">
        <f>IF(OR($C15="",$B$2="",$D$2=0),0,IF(AJ$3&lt;0,0,N(INDEX('CURVA PREVISION'!$A$1:$KZ$3000,$C15,10+3*MIN(AJ$3,$D$2-1)))))</f>
        <v/>
      </c>
      <c r="AK15" s="55">
        <f>IF(OR($C15="",$B$2="",$D$2=0),0,IF(AK$3&lt;0,0,N(INDEX('CURVA PREVISION'!$A$1:$KZ$3000,$C15,10+3*MIN(AK$3,$D$2-1)))))</f>
        <v/>
      </c>
      <c r="AL15" s="55">
        <f>IF(OR($C15="",$B$2="",$D$2=0),0,IF(AL$3&lt;0,0,N(INDEX('CURVA PREVISION'!$A$1:$KZ$3000,$C15,10+3*MIN(AL$3,$D$2-1)))))</f>
        <v/>
      </c>
      <c r="AM15" s="55">
        <f>IF(OR($C15="",$B$2="",$D$2=0),0,IF(AM$3&lt;0,0,N(INDEX('CURVA PREVISION'!$A$1:$KZ$3000,$C15,10+3*MIN(AM$3,$D$2-1)))))</f>
        <v/>
      </c>
      <c r="AN15" s="55">
        <f>IF(OR($C15="",$B$2="",$D$2=0),0,IF(AN$3&lt;0,0,N(INDEX('CURVA PREVISION'!$A$1:$KZ$3000,$C15,10+3*MIN(AN$3,$D$2-1)))))</f>
        <v/>
      </c>
      <c r="AO15" s="55">
        <f>IF(OR($C15="",$B$2="",$D$2=0),0,IF(AO$3&lt;0,0,N(INDEX('CURVA PREVISION'!$A$1:$KZ$3000,$C15,10+3*MIN(AO$3,$D$2-1)))))</f>
        <v/>
      </c>
      <c r="AP15" s="55">
        <f>IF(OR($C15="",$B$2="",$D$2=0),0,IF(AP$3&lt;0,0,N(INDEX('CURVA PREVISION'!$A$1:$KZ$3000,$C15,10+3*MIN(AP$3,$D$2-1)))))</f>
        <v/>
      </c>
      <c r="AQ15" s="55">
        <f>IF(OR($C15="",$B$2="",$D$2=0),0,IF(AQ$3&lt;0,0,N(INDEX('CURVA PREVISION'!$A$1:$KZ$3000,$C15,10+3*MIN(AQ$3,$D$2-1)))))</f>
        <v/>
      </c>
      <c r="AR15" s="55">
        <f>IF(OR($C15="",$B$2="",$D$2=0),0,IF(AR$3&lt;0,0,N(INDEX('CURVA PREVISION'!$A$1:$KZ$3000,$C15,10+3*MIN(AR$3,$D$2-1)))))</f>
        <v/>
      </c>
      <c r="AS15" s="55">
        <f>IF(OR($C15="",$B$2="",$D$2=0),0,IF(AS$3&lt;0,0,N(INDEX('CURVA PREVISION'!$A$1:$KZ$3000,$C15,10+3*MIN(AS$3,$D$2-1)))))</f>
        <v/>
      </c>
      <c r="AT15" s="55">
        <f>IF(OR($C15="",$B$2="",$D$2=0),0,IF(AT$3&lt;0,0,N(INDEX('CURVA PREVISION'!$A$1:$KZ$3000,$C15,10+3*MIN(AT$3,$D$2-1)))))</f>
        <v/>
      </c>
      <c r="AU15" s="55">
        <f>IF(OR($C15="",$B$2="",$D$2=0),0,IF(AU$3&lt;0,0,N(INDEX('CURVA PREVISION'!$A$1:$KZ$3000,$C15,10+3*MIN(AU$3,$D$2-1)))))</f>
        <v/>
      </c>
      <c r="AV15" s="55">
        <f>IF(OR($C15="",$B$2="",$D$2=0),0,IF(AV$3&lt;0,0,N(INDEX('CURVA PREVISION'!$A$1:$KZ$3000,$C15,10+3*MIN(AV$3,$D$2-1)))))</f>
        <v/>
      </c>
      <c r="AW15" s="55">
        <f>IF(OR($C15="",$B$2="",$D$2=0),0,IF(AW$3&lt;0,0,N(INDEX('CURVA PREVISION'!$A$1:$KZ$3000,$C15,10+3*MIN(AW$3,$D$2-1)))))</f>
        <v/>
      </c>
      <c r="AX15" s="55">
        <f>IF(OR($C15="",$B$2="",$D$2=0),0,IF(AX$3&lt;0,0,N(INDEX('CURVA PREVISION'!$A$1:$KZ$3000,$C15,10+3*MIN(AX$3,$D$2-1)))))</f>
        <v/>
      </c>
      <c r="AY15" s="55">
        <f>IF(OR($C15="",$B$2="",$D$2=0),0,IF(AY$3&lt;0,0,N(INDEX('CURVA PREVISION'!$A$1:$KZ$3000,$C15,10+3*MIN(AY$3,$D$2-1)))))</f>
        <v/>
      </c>
      <c r="AZ15" s="55">
        <f>IF(OR($C15="",$B$2="",$D$2=0),0,IF(AZ$3&lt;0,0,N(INDEX('CURVA PREVISION'!$A$1:$KZ$3000,$C15,10+3*MIN(AZ$3,$D$2-1)))))</f>
        <v/>
      </c>
      <c r="BA15" s="55">
        <f>IF(OR($C15="",$B$2="",$D$2=0),0,IF(BA$3&lt;0,0,N(INDEX('CURVA PREVISION'!$A$1:$KZ$3000,$C15,10+3*MIN(BA$3,$D$2-1)))))</f>
        <v/>
      </c>
      <c r="BB15" s="55">
        <f>IF(OR($C15="",$B$2="",$D$2=0),0,IF(BB$3&lt;0,0,N(INDEX('CURVA PREVISION'!$A$1:$KZ$3000,$C15,10+3*MIN(BB$3,$D$2-1)))))</f>
        <v/>
      </c>
      <c r="BC15" s="55">
        <f>IF(OR($C15="",$B$2="",$D$2=0),0,IF(BC$3&lt;0,0,N(INDEX('CURVA PREVISION'!$A$1:$KZ$3000,$C15,10+3*MIN(BC$3,$D$2-1)))))</f>
        <v/>
      </c>
      <c r="BD15" s="55">
        <f>IF(OR($C15="",$B$2="",$D$2=0),0,IF(BD$3&lt;0,0,N(INDEX('CURVA PREVISION'!$A$1:$KZ$3000,$C15,10+3*MIN(BD$3,$D$2-1)))))</f>
        <v/>
      </c>
      <c r="BE15" s="55">
        <f>IF(OR($C15="",$B$2="",$D$2=0),0,IF(BE$3&lt;0,0,N(INDEX('CURVA PREVISION'!$A$1:$KZ$3000,$C15,10+3*MIN(BE$3,$D$2-1)))))</f>
        <v/>
      </c>
      <c r="BF15" s="55">
        <f>IF(OR($C15="",$B$2="",$D$2=0),0,IF(BF$3&lt;0,0,N(INDEX('CURVA PREVISION'!$A$1:$KZ$3000,$C15,10+3*MIN(BF$3,$D$2-1)))))</f>
        <v/>
      </c>
      <c r="BG15" s="55">
        <f>IF(OR($C15="",$B$2="",$D$2=0),0,IF(BG$3&lt;0,0,N(INDEX('CURVA PREVISION'!$A$1:$KZ$3000,$C15,10+3*MIN(BG$3,$D$2-1)))))</f>
        <v/>
      </c>
      <c r="BH15" s="55">
        <f>IF(OR($C15="",$B$2="",$D$2=0),0,IF(BH$3&lt;0,0,N(INDEX('CURVA PREVISION'!$A$1:$KZ$3000,$C15,10+3*MIN(BH$3,$D$2-1)))))</f>
        <v/>
      </c>
      <c r="BI15" s="55">
        <f>IF(OR($C15="",$B$2="",$D$2=0),0,IF(BI$3&lt;0,0,N(INDEX('CURVA PREVISION'!$A$1:$KZ$3000,$C15,10+3*MIN(BI$3,$D$2-1)))))</f>
        <v/>
      </c>
      <c r="BJ15" s="55">
        <f>IF(OR($C15="",$B$2="",$D$2=0),0,IF(BJ$3&lt;0,0,N(INDEX('CURVA PREVISION'!$A$1:$KZ$3000,$C15,10+3*MIN(BJ$3,$D$2-1)))))</f>
        <v/>
      </c>
      <c r="BK15" s="55">
        <f>IF(OR($C15="",$B$2="",$D$2=0),0,IF(BK$3&lt;0,0,N(INDEX('CURVA PREVISION'!$A$1:$KZ$3000,$C15,10+3*MIN(BK$3,$D$2-1)))))</f>
        <v/>
      </c>
      <c r="BL15" s="55">
        <f>IF(OR($C15="",$B$2="",$D$2=0),0,IF(BL$3&lt;0,0,N(INDEX('CURVA PREVISION'!$A$1:$KZ$3000,$C15,10+3*MIN(BL$3,$D$2-1)))))</f>
        <v/>
      </c>
      <c r="BM15" s="55">
        <f>IF(OR($C15="",$B$2="",$D$2=0),0,IF(BM$3&lt;0,0,N(INDEX('CURVA PREVISION'!$A$1:$KZ$3000,$C15,10+3*MIN(BM$3,$D$2-1)))))</f>
        <v/>
      </c>
      <c r="BN15" s="55">
        <f>IF(OR($C15="",$B$2="",$D$2=0),0,IF(BN$3&lt;0,0,N(INDEX('CURVA PREVISION'!$A$1:$KZ$3000,$C15,10+3*MIN(BN$3,$D$2-1)))))</f>
        <v/>
      </c>
      <c r="BO15" s="55">
        <f>IF(OR($C15="",$B$2="",$D$2=0),0,IF(BO$3&lt;0,0,N(INDEX('CURVA PREVISION'!$A$1:$KZ$3000,$C15,10+3*MIN(BO$3,$D$2-1)))))</f>
        <v/>
      </c>
      <c r="BP15" s="55">
        <f>IF(OR($C15="",$B$2="",$D$2=0),0,IF(BP$3&lt;0,0,N(INDEX('CURVA PREVISION'!$A$1:$KZ$3000,$C15,10+3*MIN(BP$3,$D$2-1)))))</f>
        <v/>
      </c>
      <c r="BQ15" s="55">
        <f>IF(OR($C15="",$B$2="",$D$2=0),0,IF(BQ$3&lt;0,0,N(INDEX('CURVA PREVISION'!$A$1:$KZ$3000,$C15,10+3*MIN(BQ$3,$D$2-1)))))</f>
        <v/>
      </c>
      <c r="BR15" s="55">
        <f>IF(OR($C15="",$B$2="",$D$2=0),0,IF(BR$3&lt;0,0,N(INDEX('CURVA PREVISION'!$A$1:$KZ$3000,$C15,10+3*MIN(BR$3,$D$2-1)))))</f>
        <v/>
      </c>
      <c r="BS15" s="55">
        <f>IF(OR($C15="",$B$2="",$D$2=0),0,IF(BS$3&lt;0,0,N(INDEX('CURVA PREVISION'!$A$1:$KZ$3000,$C15,10+3*MIN(BS$3,$D$2-1)))))</f>
        <v/>
      </c>
      <c r="BT15" s="55">
        <f>IF(OR($C15="",$B$2="",$D$2=0),0,IF(BT$3&lt;0,0,N(INDEX('CURVA PREVISION'!$A$1:$KZ$3000,$C15,10+3*MIN(BT$3,$D$2-1)))))</f>
        <v/>
      </c>
      <c r="BU15" s="55">
        <f>IF(OR($C15="",$B$2="",$D$2=0),0,IF(BU$3&lt;0,0,N(INDEX('CURVA PREVISION'!$A$1:$KZ$3000,$C15,10+3*MIN(BU$3,$D$2-1)))))</f>
        <v/>
      </c>
      <c r="BV15" s="55">
        <f>IF(OR($C15="",$B$2="",$D$2=0),0,IF(BV$3&lt;0,0,N(INDEX('CURVA PREVISION'!$A$1:$KZ$3000,$C15,10+3*MIN(BV$3,$D$2-1)))))</f>
        <v/>
      </c>
      <c r="BW15" s="55">
        <f>IF(OR($C15="",$B$2="",$D$2=0),0,IF(BW$3&lt;0,0,N(INDEX('CURVA PREVISION'!$A$1:$KZ$3000,$C15,10+3*MIN(BW$3,$D$2-1)))))</f>
        <v/>
      </c>
    </row>
    <row r="16">
      <c r="A16" s="34">
        <f>'VALOR POR PL'!C22</f>
        <v/>
      </c>
      <c r="B16" s="34">
        <f>'VALOR POR PL'!D22</f>
        <v/>
      </c>
      <c r="C16" s="28">
        <f>IFERROR(MATCH(A16,'CURVA PREVISION'!$B$1:$B$3000,0),"")</f>
        <v/>
      </c>
      <c r="D16" s="55">
        <f>IF(OR($C16="",$B$2="",$D$2=0),0,IF(D$3&lt;0,0,N(INDEX('CURVA PREVISION'!$A$1:$KZ$3000,$C16,10+3*MIN(D$3,$D$2-1)))))</f>
        <v/>
      </c>
      <c r="E16" s="55">
        <f>IF(OR($C16="",$B$2="",$D$2=0),0,IF(E$3&lt;0,0,N(INDEX('CURVA PREVISION'!$A$1:$KZ$3000,$C16,10+3*MIN(E$3,$D$2-1)))))</f>
        <v/>
      </c>
      <c r="F16" s="55">
        <f>IF(OR($C16="",$B$2="",$D$2=0),0,IF(F$3&lt;0,0,N(INDEX('CURVA PREVISION'!$A$1:$KZ$3000,$C16,10+3*MIN(F$3,$D$2-1)))))</f>
        <v/>
      </c>
      <c r="G16" s="55">
        <f>IF(OR($C16="",$B$2="",$D$2=0),0,IF(G$3&lt;0,0,N(INDEX('CURVA PREVISION'!$A$1:$KZ$3000,$C16,10+3*MIN(G$3,$D$2-1)))))</f>
        <v/>
      </c>
      <c r="H16" s="55">
        <f>IF(OR($C16="",$B$2="",$D$2=0),0,IF(H$3&lt;0,0,N(INDEX('CURVA PREVISION'!$A$1:$KZ$3000,$C16,10+3*MIN(H$3,$D$2-1)))))</f>
        <v/>
      </c>
      <c r="I16" s="55">
        <f>IF(OR($C16="",$B$2="",$D$2=0),0,IF(I$3&lt;0,0,N(INDEX('CURVA PREVISION'!$A$1:$KZ$3000,$C16,10+3*MIN(I$3,$D$2-1)))))</f>
        <v/>
      </c>
      <c r="J16" s="55">
        <f>IF(OR($C16="",$B$2="",$D$2=0),0,IF(J$3&lt;0,0,N(INDEX('CURVA PREVISION'!$A$1:$KZ$3000,$C16,10+3*MIN(J$3,$D$2-1)))))</f>
        <v/>
      </c>
      <c r="K16" s="55">
        <f>IF(OR($C16="",$B$2="",$D$2=0),0,IF(K$3&lt;0,0,N(INDEX('CURVA PREVISION'!$A$1:$KZ$3000,$C16,10+3*MIN(K$3,$D$2-1)))))</f>
        <v/>
      </c>
      <c r="L16" s="55">
        <f>IF(OR($C16="",$B$2="",$D$2=0),0,IF(L$3&lt;0,0,N(INDEX('CURVA PREVISION'!$A$1:$KZ$3000,$C16,10+3*MIN(L$3,$D$2-1)))))</f>
        <v/>
      </c>
      <c r="M16" s="55">
        <f>IF(OR($C16="",$B$2="",$D$2=0),0,IF(M$3&lt;0,0,N(INDEX('CURVA PREVISION'!$A$1:$KZ$3000,$C16,10+3*MIN(M$3,$D$2-1)))))</f>
        <v/>
      </c>
      <c r="N16" s="55">
        <f>IF(OR($C16="",$B$2="",$D$2=0),0,IF(N$3&lt;0,0,N(INDEX('CURVA PREVISION'!$A$1:$KZ$3000,$C16,10+3*MIN(N$3,$D$2-1)))))</f>
        <v/>
      </c>
      <c r="O16" s="55">
        <f>IF(OR($C16="",$B$2="",$D$2=0),0,IF(O$3&lt;0,0,N(INDEX('CURVA PREVISION'!$A$1:$KZ$3000,$C16,10+3*MIN(O$3,$D$2-1)))))</f>
        <v/>
      </c>
      <c r="P16" s="55">
        <f>IF(OR($C16="",$B$2="",$D$2=0),0,IF(P$3&lt;0,0,N(INDEX('CURVA PREVISION'!$A$1:$KZ$3000,$C16,10+3*MIN(P$3,$D$2-1)))))</f>
        <v/>
      </c>
      <c r="Q16" s="55">
        <f>IF(OR($C16="",$B$2="",$D$2=0),0,IF(Q$3&lt;0,0,N(INDEX('CURVA PREVISION'!$A$1:$KZ$3000,$C16,10+3*MIN(Q$3,$D$2-1)))))</f>
        <v/>
      </c>
      <c r="R16" s="55">
        <f>IF(OR($C16="",$B$2="",$D$2=0),0,IF(R$3&lt;0,0,N(INDEX('CURVA PREVISION'!$A$1:$KZ$3000,$C16,10+3*MIN(R$3,$D$2-1)))))</f>
        <v/>
      </c>
      <c r="S16" s="55">
        <f>IF(OR($C16="",$B$2="",$D$2=0),0,IF(S$3&lt;0,0,N(INDEX('CURVA PREVISION'!$A$1:$KZ$3000,$C16,10+3*MIN(S$3,$D$2-1)))))</f>
        <v/>
      </c>
      <c r="T16" s="55">
        <f>IF(OR($C16="",$B$2="",$D$2=0),0,IF(T$3&lt;0,0,N(INDEX('CURVA PREVISION'!$A$1:$KZ$3000,$C16,10+3*MIN(T$3,$D$2-1)))))</f>
        <v/>
      </c>
      <c r="U16" s="55">
        <f>IF(OR($C16="",$B$2="",$D$2=0),0,IF(U$3&lt;0,0,N(INDEX('CURVA PREVISION'!$A$1:$KZ$3000,$C16,10+3*MIN(U$3,$D$2-1)))))</f>
        <v/>
      </c>
      <c r="V16" s="55">
        <f>IF(OR($C16="",$B$2="",$D$2=0),0,IF(V$3&lt;0,0,N(INDEX('CURVA PREVISION'!$A$1:$KZ$3000,$C16,10+3*MIN(V$3,$D$2-1)))))</f>
        <v/>
      </c>
      <c r="W16" s="55">
        <f>IF(OR($C16="",$B$2="",$D$2=0),0,IF(W$3&lt;0,0,N(INDEX('CURVA PREVISION'!$A$1:$KZ$3000,$C16,10+3*MIN(W$3,$D$2-1)))))</f>
        <v/>
      </c>
      <c r="X16" s="55">
        <f>IF(OR($C16="",$B$2="",$D$2=0),0,IF(X$3&lt;0,0,N(INDEX('CURVA PREVISION'!$A$1:$KZ$3000,$C16,10+3*MIN(X$3,$D$2-1)))))</f>
        <v/>
      </c>
      <c r="Y16" s="55">
        <f>IF(OR($C16="",$B$2="",$D$2=0),0,IF(Y$3&lt;0,0,N(INDEX('CURVA PREVISION'!$A$1:$KZ$3000,$C16,10+3*MIN(Y$3,$D$2-1)))))</f>
        <v/>
      </c>
      <c r="Z16" s="55">
        <f>IF(OR($C16="",$B$2="",$D$2=0),0,IF(Z$3&lt;0,0,N(INDEX('CURVA PREVISION'!$A$1:$KZ$3000,$C16,10+3*MIN(Z$3,$D$2-1)))))</f>
        <v/>
      </c>
      <c r="AA16" s="55">
        <f>IF(OR($C16="",$B$2="",$D$2=0),0,IF(AA$3&lt;0,0,N(INDEX('CURVA PREVISION'!$A$1:$KZ$3000,$C16,10+3*MIN(AA$3,$D$2-1)))))</f>
        <v/>
      </c>
      <c r="AB16" s="55">
        <f>IF(OR($C16="",$B$2="",$D$2=0),0,IF(AB$3&lt;0,0,N(INDEX('CURVA PREVISION'!$A$1:$KZ$3000,$C16,10+3*MIN(AB$3,$D$2-1)))))</f>
        <v/>
      </c>
      <c r="AC16" s="55">
        <f>IF(OR($C16="",$B$2="",$D$2=0),0,IF(AC$3&lt;0,0,N(INDEX('CURVA PREVISION'!$A$1:$KZ$3000,$C16,10+3*MIN(AC$3,$D$2-1)))))</f>
        <v/>
      </c>
      <c r="AD16" s="55">
        <f>IF(OR($C16="",$B$2="",$D$2=0),0,IF(AD$3&lt;0,0,N(INDEX('CURVA PREVISION'!$A$1:$KZ$3000,$C16,10+3*MIN(AD$3,$D$2-1)))))</f>
        <v/>
      </c>
      <c r="AE16" s="55">
        <f>IF(OR($C16="",$B$2="",$D$2=0),0,IF(AE$3&lt;0,0,N(INDEX('CURVA PREVISION'!$A$1:$KZ$3000,$C16,10+3*MIN(AE$3,$D$2-1)))))</f>
        <v/>
      </c>
      <c r="AF16" s="55">
        <f>IF(OR($C16="",$B$2="",$D$2=0),0,IF(AF$3&lt;0,0,N(INDEX('CURVA PREVISION'!$A$1:$KZ$3000,$C16,10+3*MIN(AF$3,$D$2-1)))))</f>
        <v/>
      </c>
      <c r="AG16" s="55">
        <f>IF(OR($C16="",$B$2="",$D$2=0),0,IF(AG$3&lt;0,0,N(INDEX('CURVA PREVISION'!$A$1:$KZ$3000,$C16,10+3*MIN(AG$3,$D$2-1)))))</f>
        <v/>
      </c>
      <c r="AH16" s="55">
        <f>IF(OR($C16="",$B$2="",$D$2=0),0,IF(AH$3&lt;0,0,N(INDEX('CURVA PREVISION'!$A$1:$KZ$3000,$C16,10+3*MIN(AH$3,$D$2-1)))))</f>
        <v/>
      </c>
      <c r="AI16" s="55">
        <f>IF(OR($C16="",$B$2="",$D$2=0),0,IF(AI$3&lt;0,0,N(INDEX('CURVA PREVISION'!$A$1:$KZ$3000,$C16,10+3*MIN(AI$3,$D$2-1)))))</f>
        <v/>
      </c>
      <c r="AJ16" s="55">
        <f>IF(OR($C16="",$B$2="",$D$2=0),0,IF(AJ$3&lt;0,0,N(INDEX('CURVA PREVISION'!$A$1:$KZ$3000,$C16,10+3*MIN(AJ$3,$D$2-1)))))</f>
        <v/>
      </c>
      <c r="AK16" s="55">
        <f>IF(OR($C16="",$B$2="",$D$2=0),0,IF(AK$3&lt;0,0,N(INDEX('CURVA PREVISION'!$A$1:$KZ$3000,$C16,10+3*MIN(AK$3,$D$2-1)))))</f>
        <v/>
      </c>
      <c r="AL16" s="55">
        <f>IF(OR($C16="",$B$2="",$D$2=0),0,IF(AL$3&lt;0,0,N(INDEX('CURVA PREVISION'!$A$1:$KZ$3000,$C16,10+3*MIN(AL$3,$D$2-1)))))</f>
        <v/>
      </c>
      <c r="AM16" s="55">
        <f>IF(OR($C16="",$B$2="",$D$2=0),0,IF(AM$3&lt;0,0,N(INDEX('CURVA PREVISION'!$A$1:$KZ$3000,$C16,10+3*MIN(AM$3,$D$2-1)))))</f>
        <v/>
      </c>
      <c r="AN16" s="55">
        <f>IF(OR($C16="",$B$2="",$D$2=0),0,IF(AN$3&lt;0,0,N(INDEX('CURVA PREVISION'!$A$1:$KZ$3000,$C16,10+3*MIN(AN$3,$D$2-1)))))</f>
        <v/>
      </c>
      <c r="AO16" s="55">
        <f>IF(OR($C16="",$B$2="",$D$2=0),0,IF(AO$3&lt;0,0,N(INDEX('CURVA PREVISION'!$A$1:$KZ$3000,$C16,10+3*MIN(AO$3,$D$2-1)))))</f>
        <v/>
      </c>
      <c r="AP16" s="55">
        <f>IF(OR($C16="",$B$2="",$D$2=0),0,IF(AP$3&lt;0,0,N(INDEX('CURVA PREVISION'!$A$1:$KZ$3000,$C16,10+3*MIN(AP$3,$D$2-1)))))</f>
        <v/>
      </c>
      <c r="AQ16" s="55">
        <f>IF(OR($C16="",$B$2="",$D$2=0),0,IF(AQ$3&lt;0,0,N(INDEX('CURVA PREVISION'!$A$1:$KZ$3000,$C16,10+3*MIN(AQ$3,$D$2-1)))))</f>
        <v/>
      </c>
      <c r="AR16" s="55">
        <f>IF(OR($C16="",$B$2="",$D$2=0),0,IF(AR$3&lt;0,0,N(INDEX('CURVA PREVISION'!$A$1:$KZ$3000,$C16,10+3*MIN(AR$3,$D$2-1)))))</f>
        <v/>
      </c>
      <c r="AS16" s="55">
        <f>IF(OR($C16="",$B$2="",$D$2=0),0,IF(AS$3&lt;0,0,N(INDEX('CURVA PREVISION'!$A$1:$KZ$3000,$C16,10+3*MIN(AS$3,$D$2-1)))))</f>
        <v/>
      </c>
      <c r="AT16" s="55">
        <f>IF(OR($C16="",$B$2="",$D$2=0),0,IF(AT$3&lt;0,0,N(INDEX('CURVA PREVISION'!$A$1:$KZ$3000,$C16,10+3*MIN(AT$3,$D$2-1)))))</f>
        <v/>
      </c>
      <c r="AU16" s="55">
        <f>IF(OR($C16="",$B$2="",$D$2=0),0,IF(AU$3&lt;0,0,N(INDEX('CURVA PREVISION'!$A$1:$KZ$3000,$C16,10+3*MIN(AU$3,$D$2-1)))))</f>
        <v/>
      </c>
      <c r="AV16" s="55">
        <f>IF(OR($C16="",$B$2="",$D$2=0),0,IF(AV$3&lt;0,0,N(INDEX('CURVA PREVISION'!$A$1:$KZ$3000,$C16,10+3*MIN(AV$3,$D$2-1)))))</f>
        <v/>
      </c>
      <c r="AW16" s="55">
        <f>IF(OR($C16="",$B$2="",$D$2=0),0,IF(AW$3&lt;0,0,N(INDEX('CURVA PREVISION'!$A$1:$KZ$3000,$C16,10+3*MIN(AW$3,$D$2-1)))))</f>
        <v/>
      </c>
      <c r="AX16" s="55">
        <f>IF(OR($C16="",$B$2="",$D$2=0),0,IF(AX$3&lt;0,0,N(INDEX('CURVA PREVISION'!$A$1:$KZ$3000,$C16,10+3*MIN(AX$3,$D$2-1)))))</f>
        <v/>
      </c>
      <c r="AY16" s="55">
        <f>IF(OR($C16="",$B$2="",$D$2=0),0,IF(AY$3&lt;0,0,N(INDEX('CURVA PREVISION'!$A$1:$KZ$3000,$C16,10+3*MIN(AY$3,$D$2-1)))))</f>
        <v/>
      </c>
      <c r="AZ16" s="55">
        <f>IF(OR($C16="",$B$2="",$D$2=0),0,IF(AZ$3&lt;0,0,N(INDEX('CURVA PREVISION'!$A$1:$KZ$3000,$C16,10+3*MIN(AZ$3,$D$2-1)))))</f>
        <v/>
      </c>
      <c r="BA16" s="55">
        <f>IF(OR($C16="",$B$2="",$D$2=0),0,IF(BA$3&lt;0,0,N(INDEX('CURVA PREVISION'!$A$1:$KZ$3000,$C16,10+3*MIN(BA$3,$D$2-1)))))</f>
        <v/>
      </c>
      <c r="BB16" s="55">
        <f>IF(OR($C16="",$B$2="",$D$2=0),0,IF(BB$3&lt;0,0,N(INDEX('CURVA PREVISION'!$A$1:$KZ$3000,$C16,10+3*MIN(BB$3,$D$2-1)))))</f>
        <v/>
      </c>
      <c r="BC16" s="55">
        <f>IF(OR($C16="",$B$2="",$D$2=0),0,IF(BC$3&lt;0,0,N(INDEX('CURVA PREVISION'!$A$1:$KZ$3000,$C16,10+3*MIN(BC$3,$D$2-1)))))</f>
        <v/>
      </c>
      <c r="BD16" s="55">
        <f>IF(OR($C16="",$B$2="",$D$2=0),0,IF(BD$3&lt;0,0,N(INDEX('CURVA PREVISION'!$A$1:$KZ$3000,$C16,10+3*MIN(BD$3,$D$2-1)))))</f>
        <v/>
      </c>
      <c r="BE16" s="55">
        <f>IF(OR($C16="",$B$2="",$D$2=0),0,IF(BE$3&lt;0,0,N(INDEX('CURVA PREVISION'!$A$1:$KZ$3000,$C16,10+3*MIN(BE$3,$D$2-1)))))</f>
        <v/>
      </c>
      <c r="BF16" s="55">
        <f>IF(OR($C16="",$B$2="",$D$2=0),0,IF(BF$3&lt;0,0,N(INDEX('CURVA PREVISION'!$A$1:$KZ$3000,$C16,10+3*MIN(BF$3,$D$2-1)))))</f>
        <v/>
      </c>
      <c r="BG16" s="55">
        <f>IF(OR($C16="",$B$2="",$D$2=0),0,IF(BG$3&lt;0,0,N(INDEX('CURVA PREVISION'!$A$1:$KZ$3000,$C16,10+3*MIN(BG$3,$D$2-1)))))</f>
        <v/>
      </c>
      <c r="BH16" s="55">
        <f>IF(OR($C16="",$B$2="",$D$2=0),0,IF(BH$3&lt;0,0,N(INDEX('CURVA PREVISION'!$A$1:$KZ$3000,$C16,10+3*MIN(BH$3,$D$2-1)))))</f>
        <v/>
      </c>
      <c r="BI16" s="55">
        <f>IF(OR($C16="",$B$2="",$D$2=0),0,IF(BI$3&lt;0,0,N(INDEX('CURVA PREVISION'!$A$1:$KZ$3000,$C16,10+3*MIN(BI$3,$D$2-1)))))</f>
        <v/>
      </c>
      <c r="BJ16" s="55">
        <f>IF(OR($C16="",$B$2="",$D$2=0),0,IF(BJ$3&lt;0,0,N(INDEX('CURVA PREVISION'!$A$1:$KZ$3000,$C16,10+3*MIN(BJ$3,$D$2-1)))))</f>
        <v/>
      </c>
      <c r="BK16" s="55">
        <f>IF(OR($C16="",$B$2="",$D$2=0),0,IF(BK$3&lt;0,0,N(INDEX('CURVA PREVISION'!$A$1:$KZ$3000,$C16,10+3*MIN(BK$3,$D$2-1)))))</f>
        <v/>
      </c>
      <c r="BL16" s="55">
        <f>IF(OR($C16="",$B$2="",$D$2=0),0,IF(BL$3&lt;0,0,N(INDEX('CURVA PREVISION'!$A$1:$KZ$3000,$C16,10+3*MIN(BL$3,$D$2-1)))))</f>
        <v/>
      </c>
      <c r="BM16" s="55">
        <f>IF(OR($C16="",$B$2="",$D$2=0),0,IF(BM$3&lt;0,0,N(INDEX('CURVA PREVISION'!$A$1:$KZ$3000,$C16,10+3*MIN(BM$3,$D$2-1)))))</f>
        <v/>
      </c>
      <c r="BN16" s="55">
        <f>IF(OR($C16="",$B$2="",$D$2=0),0,IF(BN$3&lt;0,0,N(INDEX('CURVA PREVISION'!$A$1:$KZ$3000,$C16,10+3*MIN(BN$3,$D$2-1)))))</f>
        <v/>
      </c>
      <c r="BO16" s="55">
        <f>IF(OR($C16="",$B$2="",$D$2=0),0,IF(BO$3&lt;0,0,N(INDEX('CURVA PREVISION'!$A$1:$KZ$3000,$C16,10+3*MIN(BO$3,$D$2-1)))))</f>
        <v/>
      </c>
      <c r="BP16" s="55">
        <f>IF(OR($C16="",$B$2="",$D$2=0),0,IF(BP$3&lt;0,0,N(INDEX('CURVA PREVISION'!$A$1:$KZ$3000,$C16,10+3*MIN(BP$3,$D$2-1)))))</f>
        <v/>
      </c>
      <c r="BQ16" s="55">
        <f>IF(OR($C16="",$B$2="",$D$2=0),0,IF(BQ$3&lt;0,0,N(INDEX('CURVA PREVISION'!$A$1:$KZ$3000,$C16,10+3*MIN(BQ$3,$D$2-1)))))</f>
        <v/>
      </c>
      <c r="BR16" s="55">
        <f>IF(OR($C16="",$B$2="",$D$2=0),0,IF(BR$3&lt;0,0,N(INDEX('CURVA PREVISION'!$A$1:$KZ$3000,$C16,10+3*MIN(BR$3,$D$2-1)))))</f>
        <v/>
      </c>
      <c r="BS16" s="55">
        <f>IF(OR($C16="",$B$2="",$D$2=0),0,IF(BS$3&lt;0,0,N(INDEX('CURVA PREVISION'!$A$1:$KZ$3000,$C16,10+3*MIN(BS$3,$D$2-1)))))</f>
        <v/>
      </c>
      <c r="BT16" s="55">
        <f>IF(OR($C16="",$B$2="",$D$2=0),0,IF(BT$3&lt;0,0,N(INDEX('CURVA PREVISION'!$A$1:$KZ$3000,$C16,10+3*MIN(BT$3,$D$2-1)))))</f>
        <v/>
      </c>
      <c r="BU16" s="55">
        <f>IF(OR($C16="",$B$2="",$D$2=0),0,IF(BU$3&lt;0,0,N(INDEX('CURVA PREVISION'!$A$1:$KZ$3000,$C16,10+3*MIN(BU$3,$D$2-1)))))</f>
        <v/>
      </c>
      <c r="BV16" s="55">
        <f>IF(OR($C16="",$B$2="",$D$2=0),0,IF(BV$3&lt;0,0,N(INDEX('CURVA PREVISION'!$A$1:$KZ$3000,$C16,10+3*MIN(BV$3,$D$2-1)))))</f>
        <v/>
      </c>
      <c r="BW16" s="55">
        <f>IF(OR($C16="",$B$2="",$D$2=0),0,IF(BW$3&lt;0,0,N(INDEX('CURVA PREVISION'!$A$1:$KZ$3000,$C16,10+3*MIN(BW$3,$D$2-1)))))</f>
        <v/>
      </c>
    </row>
    <row r="17">
      <c r="A17" s="34">
        <f>'VALOR POR PL'!C23</f>
        <v/>
      </c>
      <c r="B17" s="34">
        <f>'VALOR POR PL'!D23</f>
        <v/>
      </c>
      <c r="C17" s="28">
        <f>IFERROR(MATCH(A17,'CURVA PREVISION'!$B$1:$B$3000,0),"")</f>
        <v/>
      </c>
      <c r="D17" s="55">
        <f>IF(OR($C17="",$B$2="",$D$2=0),0,IF(D$3&lt;0,0,N(INDEX('CURVA PREVISION'!$A$1:$KZ$3000,$C17,10+3*MIN(D$3,$D$2-1)))))</f>
        <v/>
      </c>
      <c r="E17" s="55">
        <f>IF(OR($C17="",$B$2="",$D$2=0),0,IF(E$3&lt;0,0,N(INDEX('CURVA PREVISION'!$A$1:$KZ$3000,$C17,10+3*MIN(E$3,$D$2-1)))))</f>
        <v/>
      </c>
      <c r="F17" s="55">
        <f>IF(OR($C17="",$B$2="",$D$2=0),0,IF(F$3&lt;0,0,N(INDEX('CURVA PREVISION'!$A$1:$KZ$3000,$C17,10+3*MIN(F$3,$D$2-1)))))</f>
        <v/>
      </c>
      <c r="G17" s="55">
        <f>IF(OR($C17="",$B$2="",$D$2=0),0,IF(G$3&lt;0,0,N(INDEX('CURVA PREVISION'!$A$1:$KZ$3000,$C17,10+3*MIN(G$3,$D$2-1)))))</f>
        <v/>
      </c>
      <c r="H17" s="55">
        <f>IF(OR($C17="",$B$2="",$D$2=0),0,IF(H$3&lt;0,0,N(INDEX('CURVA PREVISION'!$A$1:$KZ$3000,$C17,10+3*MIN(H$3,$D$2-1)))))</f>
        <v/>
      </c>
      <c r="I17" s="55">
        <f>IF(OR($C17="",$B$2="",$D$2=0),0,IF(I$3&lt;0,0,N(INDEX('CURVA PREVISION'!$A$1:$KZ$3000,$C17,10+3*MIN(I$3,$D$2-1)))))</f>
        <v/>
      </c>
      <c r="J17" s="55">
        <f>IF(OR($C17="",$B$2="",$D$2=0),0,IF(J$3&lt;0,0,N(INDEX('CURVA PREVISION'!$A$1:$KZ$3000,$C17,10+3*MIN(J$3,$D$2-1)))))</f>
        <v/>
      </c>
      <c r="K17" s="55">
        <f>IF(OR($C17="",$B$2="",$D$2=0),0,IF(K$3&lt;0,0,N(INDEX('CURVA PREVISION'!$A$1:$KZ$3000,$C17,10+3*MIN(K$3,$D$2-1)))))</f>
        <v/>
      </c>
      <c r="L17" s="55">
        <f>IF(OR($C17="",$B$2="",$D$2=0),0,IF(L$3&lt;0,0,N(INDEX('CURVA PREVISION'!$A$1:$KZ$3000,$C17,10+3*MIN(L$3,$D$2-1)))))</f>
        <v/>
      </c>
      <c r="M17" s="55">
        <f>IF(OR($C17="",$B$2="",$D$2=0),0,IF(M$3&lt;0,0,N(INDEX('CURVA PREVISION'!$A$1:$KZ$3000,$C17,10+3*MIN(M$3,$D$2-1)))))</f>
        <v/>
      </c>
      <c r="N17" s="55">
        <f>IF(OR($C17="",$B$2="",$D$2=0),0,IF(N$3&lt;0,0,N(INDEX('CURVA PREVISION'!$A$1:$KZ$3000,$C17,10+3*MIN(N$3,$D$2-1)))))</f>
        <v/>
      </c>
      <c r="O17" s="55">
        <f>IF(OR($C17="",$B$2="",$D$2=0),0,IF(O$3&lt;0,0,N(INDEX('CURVA PREVISION'!$A$1:$KZ$3000,$C17,10+3*MIN(O$3,$D$2-1)))))</f>
        <v/>
      </c>
      <c r="P17" s="55">
        <f>IF(OR($C17="",$B$2="",$D$2=0),0,IF(P$3&lt;0,0,N(INDEX('CURVA PREVISION'!$A$1:$KZ$3000,$C17,10+3*MIN(P$3,$D$2-1)))))</f>
        <v/>
      </c>
      <c r="Q17" s="55">
        <f>IF(OR($C17="",$B$2="",$D$2=0),0,IF(Q$3&lt;0,0,N(INDEX('CURVA PREVISION'!$A$1:$KZ$3000,$C17,10+3*MIN(Q$3,$D$2-1)))))</f>
        <v/>
      </c>
      <c r="R17" s="55">
        <f>IF(OR($C17="",$B$2="",$D$2=0),0,IF(R$3&lt;0,0,N(INDEX('CURVA PREVISION'!$A$1:$KZ$3000,$C17,10+3*MIN(R$3,$D$2-1)))))</f>
        <v/>
      </c>
      <c r="S17" s="55">
        <f>IF(OR($C17="",$B$2="",$D$2=0),0,IF(S$3&lt;0,0,N(INDEX('CURVA PREVISION'!$A$1:$KZ$3000,$C17,10+3*MIN(S$3,$D$2-1)))))</f>
        <v/>
      </c>
      <c r="T17" s="55">
        <f>IF(OR($C17="",$B$2="",$D$2=0),0,IF(T$3&lt;0,0,N(INDEX('CURVA PREVISION'!$A$1:$KZ$3000,$C17,10+3*MIN(T$3,$D$2-1)))))</f>
        <v/>
      </c>
      <c r="U17" s="55">
        <f>IF(OR($C17="",$B$2="",$D$2=0),0,IF(U$3&lt;0,0,N(INDEX('CURVA PREVISION'!$A$1:$KZ$3000,$C17,10+3*MIN(U$3,$D$2-1)))))</f>
        <v/>
      </c>
      <c r="V17" s="55">
        <f>IF(OR($C17="",$B$2="",$D$2=0),0,IF(V$3&lt;0,0,N(INDEX('CURVA PREVISION'!$A$1:$KZ$3000,$C17,10+3*MIN(V$3,$D$2-1)))))</f>
        <v/>
      </c>
      <c r="W17" s="55">
        <f>IF(OR($C17="",$B$2="",$D$2=0),0,IF(W$3&lt;0,0,N(INDEX('CURVA PREVISION'!$A$1:$KZ$3000,$C17,10+3*MIN(W$3,$D$2-1)))))</f>
        <v/>
      </c>
      <c r="X17" s="55">
        <f>IF(OR($C17="",$B$2="",$D$2=0),0,IF(X$3&lt;0,0,N(INDEX('CURVA PREVISION'!$A$1:$KZ$3000,$C17,10+3*MIN(X$3,$D$2-1)))))</f>
        <v/>
      </c>
      <c r="Y17" s="55">
        <f>IF(OR($C17="",$B$2="",$D$2=0),0,IF(Y$3&lt;0,0,N(INDEX('CURVA PREVISION'!$A$1:$KZ$3000,$C17,10+3*MIN(Y$3,$D$2-1)))))</f>
        <v/>
      </c>
      <c r="Z17" s="55">
        <f>IF(OR($C17="",$B$2="",$D$2=0),0,IF(Z$3&lt;0,0,N(INDEX('CURVA PREVISION'!$A$1:$KZ$3000,$C17,10+3*MIN(Z$3,$D$2-1)))))</f>
        <v/>
      </c>
      <c r="AA17" s="55">
        <f>IF(OR($C17="",$B$2="",$D$2=0),0,IF(AA$3&lt;0,0,N(INDEX('CURVA PREVISION'!$A$1:$KZ$3000,$C17,10+3*MIN(AA$3,$D$2-1)))))</f>
        <v/>
      </c>
      <c r="AB17" s="55">
        <f>IF(OR($C17="",$B$2="",$D$2=0),0,IF(AB$3&lt;0,0,N(INDEX('CURVA PREVISION'!$A$1:$KZ$3000,$C17,10+3*MIN(AB$3,$D$2-1)))))</f>
        <v/>
      </c>
      <c r="AC17" s="55">
        <f>IF(OR($C17="",$B$2="",$D$2=0),0,IF(AC$3&lt;0,0,N(INDEX('CURVA PREVISION'!$A$1:$KZ$3000,$C17,10+3*MIN(AC$3,$D$2-1)))))</f>
        <v/>
      </c>
      <c r="AD17" s="55">
        <f>IF(OR($C17="",$B$2="",$D$2=0),0,IF(AD$3&lt;0,0,N(INDEX('CURVA PREVISION'!$A$1:$KZ$3000,$C17,10+3*MIN(AD$3,$D$2-1)))))</f>
        <v/>
      </c>
      <c r="AE17" s="55">
        <f>IF(OR($C17="",$B$2="",$D$2=0),0,IF(AE$3&lt;0,0,N(INDEX('CURVA PREVISION'!$A$1:$KZ$3000,$C17,10+3*MIN(AE$3,$D$2-1)))))</f>
        <v/>
      </c>
      <c r="AF17" s="55">
        <f>IF(OR($C17="",$B$2="",$D$2=0),0,IF(AF$3&lt;0,0,N(INDEX('CURVA PREVISION'!$A$1:$KZ$3000,$C17,10+3*MIN(AF$3,$D$2-1)))))</f>
        <v/>
      </c>
      <c r="AG17" s="55">
        <f>IF(OR($C17="",$B$2="",$D$2=0),0,IF(AG$3&lt;0,0,N(INDEX('CURVA PREVISION'!$A$1:$KZ$3000,$C17,10+3*MIN(AG$3,$D$2-1)))))</f>
        <v/>
      </c>
      <c r="AH17" s="55">
        <f>IF(OR($C17="",$B$2="",$D$2=0),0,IF(AH$3&lt;0,0,N(INDEX('CURVA PREVISION'!$A$1:$KZ$3000,$C17,10+3*MIN(AH$3,$D$2-1)))))</f>
        <v/>
      </c>
      <c r="AI17" s="55">
        <f>IF(OR($C17="",$B$2="",$D$2=0),0,IF(AI$3&lt;0,0,N(INDEX('CURVA PREVISION'!$A$1:$KZ$3000,$C17,10+3*MIN(AI$3,$D$2-1)))))</f>
        <v/>
      </c>
      <c r="AJ17" s="55">
        <f>IF(OR($C17="",$B$2="",$D$2=0),0,IF(AJ$3&lt;0,0,N(INDEX('CURVA PREVISION'!$A$1:$KZ$3000,$C17,10+3*MIN(AJ$3,$D$2-1)))))</f>
        <v/>
      </c>
      <c r="AK17" s="55">
        <f>IF(OR($C17="",$B$2="",$D$2=0),0,IF(AK$3&lt;0,0,N(INDEX('CURVA PREVISION'!$A$1:$KZ$3000,$C17,10+3*MIN(AK$3,$D$2-1)))))</f>
        <v/>
      </c>
      <c r="AL17" s="55">
        <f>IF(OR($C17="",$B$2="",$D$2=0),0,IF(AL$3&lt;0,0,N(INDEX('CURVA PREVISION'!$A$1:$KZ$3000,$C17,10+3*MIN(AL$3,$D$2-1)))))</f>
        <v/>
      </c>
      <c r="AM17" s="55">
        <f>IF(OR($C17="",$B$2="",$D$2=0),0,IF(AM$3&lt;0,0,N(INDEX('CURVA PREVISION'!$A$1:$KZ$3000,$C17,10+3*MIN(AM$3,$D$2-1)))))</f>
        <v/>
      </c>
      <c r="AN17" s="55">
        <f>IF(OR($C17="",$B$2="",$D$2=0),0,IF(AN$3&lt;0,0,N(INDEX('CURVA PREVISION'!$A$1:$KZ$3000,$C17,10+3*MIN(AN$3,$D$2-1)))))</f>
        <v/>
      </c>
      <c r="AO17" s="55">
        <f>IF(OR($C17="",$B$2="",$D$2=0),0,IF(AO$3&lt;0,0,N(INDEX('CURVA PREVISION'!$A$1:$KZ$3000,$C17,10+3*MIN(AO$3,$D$2-1)))))</f>
        <v/>
      </c>
      <c r="AP17" s="55">
        <f>IF(OR($C17="",$B$2="",$D$2=0),0,IF(AP$3&lt;0,0,N(INDEX('CURVA PREVISION'!$A$1:$KZ$3000,$C17,10+3*MIN(AP$3,$D$2-1)))))</f>
        <v/>
      </c>
      <c r="AQ17" s="55">
        <f>IF(OR($C17="",$B$2="",$D$2=0),0,IF(AQ$3&lt;0,0,N(INDEX('CURVA PREVISION'!$A$1:$KZ$3000,$C17,10+3*MIN(AQ$3,$D$2-1)))))</f>
        <v/>
      </c>
      <c r="AR17" s="55">
        <f>IF(OR($C17="",$B$2="",$D$2=0),0,IF(AR$3&lt;0,0,N(INDEX('CURVA PREVISION'!$A$1:$KZ$3000,$C17,10+3*MIN(AR$3,$D$2-1)))))</f>
        <v/>
      </c>
      <c r="AS17" s="55">
        <f>IF(OR($C17="",$B$2="",$D$2=0),0,IF(AS$3&lt;0,0,N(INDEX('CURVA PREVISION'!$A$1:$KZ$3000,$C17,10+3*MIN(AS$3,$D$2-1)))))</f>
        <v/>
      </c>
      <c r="AT17" s="55">
        <f>IF(OR($C17="",$B$2="",$D$2=0),0,IF(AT$3&lt;0,0,N(INDEX('CURVA PREVISION'!$A$1:$KZ$3000,$C17,10+3*MIN(AT$3,$D$2-1)))))</f>
        <v/>
      </c>
      <c r="AU17" s="55">
        <f>IF(OR($C17="",$B$2="",$D$2=0),0,IF(AU$3&lt;0,0,N(INDEX('CURVA PREVISION'!$A$1:$KZ$3000,$C17,10+3*MIN(AU$3,$D$2-1)))))</f>
        <v/>
      </c>
      <c r="AV17" s="55">
        <f>IF(OR($C17="",$B$2="",$D$2=0),0,IF(AV$3&lt;0,0,N(INDEX('CURVA PREVISION'!$A$1:$KZ$3000,$C17,10+3*MIN(AV$3,$D$2-1)))))</f>
        <v/>
      </c>
      <c r="AW17" s="55">
        <f>IF(OR($C17="",$B$2="",$D$2=0),0,IF(AW$3&lt;0,0,N(INDEX('CURVA PREVISION'!$A$1:$KZ$3000,$C17,10+3*MIN(AW$3,$D$2-1)))))</f>
        <v/>
      </c>
      <c r="AX17" s="55">
        <f>IF(OR($C17="",$B$2="",$D$2=0),0,IF(AX$3&lt;0,0,N(INDEX('CURVA PREVISION'!$A$1:$KZ$3000,$C17,10+3*MIN(AX$3,$D$2-1)))))</f>
        <v/>
      </c>
      <c r="AY17" s="55">
        <f>IF(OR($C17="",$B$2="",$D$2=0),0,IF(AY$3&lt;0,0,N(INDEX('CURVA PREVISION'!$A$1:$KZ$3000,$C17,10+3*MIN(AY$3,$D$2-1)))))</f>
        <v/>
      </c>
      <c r="AZ17" s="55">
        <f>IF(OR($C17="",$B$2="",$D$2=0),0,IF(AZ$3&lt;0,0,N(INDEX('CURVA PREVISION'!$A$1:$KZ$3000,$C17,10+3*MIN(AZ$3,$D$2-1)))))</f>
        <v/>
      </c>
      <c r="BA17" s="55">
        <f>IF(OR($C17="",$B$2="",$D$2=0),0,IF(BA$3&lt;0,0,N(INDEX('CURVA PREVISION'!$A$1:$KZ$3000,$C17,10+3*MIN(BA$3,$D$2-1)))))</f>
        <v/>
      </c>
      <c r="BB17" s="55">
        <f>IF(OR($C17="",$B$2="",$D$2=0),0,IF(BB$3&lt;0,0,N(INDEX('CURVA PREVISION'!$A$1:$KZ$3000,$C17,10+3*MIN(BB$3,$D$2-1)))))</f>
        <v/>
      </c>
      <c r="BC17" s="55">
        <f>IF(OR($C17="",$B$2="",$D$2=0),0,IF(BC$3&lt;0,0,N(INDEX('CURVA PREVISION'!$A$1:$KZ$3000,$C17,10+3*MIN(BC$3,$D$2-1)))))</f>
        <v/>
      </c>
      <c r="BD17" s="55">
        <f>IF(OR($C17="",$B$2="",$D$2=0),0,IF(BD$3&lt;0,0,N(INDEX('CURVA PREVISION'!$A$1:$KZ$3000,$C17,10+3*MIN(BD$3,$D$2-1)))))</f>
        <v/>
      </c>
      <c r="BE17" s="55">
        <f>IF(OR($C17="",$B$2="",$D$2=0),0,IF(BE$3&lt;0,0,N(INDEX('CURVA PREVISION'!$A$1:$KZ$3000,$C17,10+3*MIN(BE$3,$D$2-1)))))</f>
        <v/>
      </c>
      <c r="BF17" s="55">
        <f>IF(OR($C17="",$B$2="",$D$2=0),0,IF(BF$3&lt;0,0,N(INDEX('CURVA PREVISION'!$A$1:$KZ$3000,$C17,10+3*MIN(BF$3,$D$2-1)))))</f>
        <v/>
      </c>
      <c r="BG17" s="55">
        <f>IF(OR($C17="",$B$2="",$D$2=0),0,IF(BG$3&lt;0,0,N(INDEX('CURVA PREVISION'!$A$1:$KZ$3000,$C17,10+3*MIN(BG$3,$D$2-1)))))</f>
        <v/>
      </c>
      <c r="BH17" s="55">
        <f>IF(OR($C17="",$B$2="",$D$2=0),0,IF(BH$3&lt;0,0,N(INDEX('CURVA PREVISION'!$A$1:$KZ$3000,$C17,10+3*MIN(BH$3,$D$2-1)))))</f>
        <v/>
      </c>
      <c r="BI17" s="55">
        <f>IF(OR($C17="",$B$2="",$D$2=0),0,IF(BI$3&lt;0,0,N(INDEX('CURVA PREVISION'!$A$1:$KZ$3000,$C17,10+3*MIN(BI$3,$D$2-1)))))</f>
        <v/>
      </c>
      <c r="BJ17" s="55">
        <f>IF(OR($C17="",$B$2="",$D$2=0),0,IF(BJ$3&lt;0,0,N(INDEX('CURVA PREVISION'!$A$1:$KZ$3000,$C17,10+3*MIN(BJ$3,$D$2-1)))))</f>
        <v/>
      </c>
      <c r="BK17" s="55">
        <f>IF(OR($C17="",$B$2="",$D$2=0),0,IF(BK$3&lt;0,0,N(INDEX('CURVA PREVISION'!$A$1:$KZ$3000,$C17,10+3*MIN(BK$3,$D$2-1)))))</f>
        <v/>
      </c>
      <c r="BL17" s="55">
        <f>IF(OR($C17="",$B$2="",$D$2=0),0,IF(BL$3&lt;0,0,N(INDEX('CURVA PREVISION'!$A$1:$KZ$3000,$C17,10+3*MIN(BL$3,$D$2-1)))))</f>
        <v/>
      </c>
      <c r="BM17" s="55">
        <f>IF(OR($C17="",$B$2="",$D$2=0),0,IF(BM$3&lt;0,0,N(INDEX('CURVA PREVISION'!$A$1:$KZ$3000,$C17,10+3*MIN(BM$3,$D$2-1)))))</f>
        <v/>
      </c>
      <c r="BN17" s="55">
        <f>IF(OR($C17="",$B$2="",$D$2=0),0,IF(BN$3&lt;0,0,N(INDEX('CURVA PREVISION'!$A$1:$KZ$3000,$C17,10+3*MIN(BN$3,$D$2-1)))))</f>
        <v/>
      </c>
      <c r="BO17" s="55">
        <f>IF(OR($C17="",$B$2="",$D$2=0),0,IF(BO$3&lt;0,0,N(INDEX('CURVA PREVISION'!$A$1:$KZ$3000,$C17,10+3*MIN(BO$3,$D$2-1)))))</f>
        <v/>
      </c>
      <c r="BP17" s="55">
        <f>IF(OR($C17="",$B$2="",$D$2=0),0,IF(BP$3&lt;0,0,N(INDEX('CURVA PREVISION'!$A$1:$KZ$3000,$C17,10+3*MIN(BP$3,$D$2-1)))))</f>
        <v/>
      </c>
      <c r="BQ17" s="55">
        <f>IF(OR($C17="",$B$2="",$D$2=0),0,IF(BQ$3&lt;0,0,N(INDEX('CURVA PREVISION'!$A$1:$KZ$3000,$C17,10+3*MIN(BQ$3,$D$2-1)))))</f>
        <v/>
      </c>
      <c r="BR17" s="55">
        <f>IF(OR($C17="",$B$2="",$D$2=0),0,IF(BR$3&lt;0,0,N(INDEX('CURVA PREVISION'!$A$1:$KZ$3000,$C17,10+3*MIN(BR$3,$D$2-1)))))</f>
        <v/>
      </c>
      <c r="BS17" s="55">
        <f>IF(OR($C17="",$B$2="",$D$2=0),0,IF(BS$3&lt;0,0,N(INDEX('CURVA PREVISION'!$A$1:$KZ$3000,$C17,10+3*MIN(BS$3,$D$2-1)))))</f>
        <v/>
      </c>
      <c r="BT17" s="55">
        <f>IF(OR($C17="",$B$2="",$D$2=0),0,IF(BT$3&lt;0,0,N(INDEX('CURVA PREVISION'!$A$1:$KZ$3000,$C17,10+3*MIN(BT$3,$D$2-1)))))</f>
        <v/>
      </c>
      <c r="BU17" s="55">
        <f>IF(OR($C17="",$B$2="",$D$2=0),0,IF(BU$3&lt;0,0,N(INDEX('CURVA PREVISION'!$A$1:$KZ$3000,$C17,10+3*MIN(BU$3,$D$2-1)))))</f>
        <v/>
      </c>
      <c r="BV17" s="55">
        <f>IF(OR($C17="",$B$2="",$D$2=0),0,IF(BV$3&lt;0,0,N(INDEX('CURVA PREVISION'!$A$1:$KZ$3000,$C17,10+3*MIN(BV$3,$D$2-1)))))</f>
        <v/>
      </c>
      <c r="BW17" s="55">
        <f>IF(OR($C17="",$B$2="",$D$2=0),0,IF(BW$3&lt;0,0,N(INDEX('CURVA PREVISION'!$A$1:$KZ$3000,$C17,10+3*MIN(BW$3,$D$2-1)))))</f>
        <v/>
      </c>
    </row>
    <row r="18">
      <c r="A18" s="34">
        <f>'VALOR POR PL'!C24</f>
        <v/>
      </c>
      <c r="B18" s="34">
        <f>'VALOR POR PL'!D24</f>
        <v/>
      </c>
      <c r="C18" s="28">
        <f>IFERROR(MATCH(A18,'CURVA PREVISION'!$B$1:$B$3000,0),"")</f>
        <v/>
      </c>
      <c r="D18" s="55">
        <f>IF(OR($C18="",$B$2="",$D$2=0),0,IF(D$3&lt;0,0,N(INDEX('CURVA PREVISION'!$A$1:$KZ$3000,$C18,10+3*MIN(D$3,$D$2-1)))))</f>
        <v/>
      </c>
      <c r="E18" s="55">
        <f>IF(OR($C18="",$B$2="",$D$2=0),0,IF(E$3&lt;0,0,N(INDEX('CURVA PREVISION'!$A$1:$KZ$3000,$C18,10+3*MIN(E$3,$D$2-1)))))</f>
        <v/>
      </c>
      <c r="F18" s="55">
        <f>IF(OR($C18="",$B$2="",$D$2=0),0,IF(F$3&lt;0,0,N(INDEX('CURVA PREVISION'!$A$1:$KZ$3000,$C18,10+3*MIN(F$3,$D$2-1)))))</f>
        <v/>
      </c>
      <c r="G18" s="55">
        <f>IF(OR($C18="",$B$2="",$D$2=0),0,IF(G$3&lt;0,0,N(INDEX('CURVA PREVISION'!$A$1:$KZ$3000,$C18,10+3*MIN(G$3,$D$2-1)))))</f>
        <v/>
      </c>
      <c r="H18" s="55">
        <f>IF(OR($C18="",$B$2="",$D$2=0),0,IF(H$3&lt;0,0,N(INDEX('CURVA PREVISION'!$A$1:$KZ$3000,$C18,10+3*MIN(H$3,$D$2-1)))))</f>
        <v/>
      </c>
      <c r="I18" s="55">
        <f>IF(OR($C18="",$B$2="",$D$2=0),0,IF(I$3&lt;0,0,N(INDEX('CURVA PREVISION'!$A$1:$KZ$3000,$C18,10+3*MIN(I$3,$D$2-1)))))</f>
        <v/>
      </c>
      <c r="J18" s="55">
        <f>IF(OR($C18="",$B$2="",$D$2=0),0,IF(J$3&lt;0,0,N(INDEX('CURVA PREVISION'!$A$1:$KZ$3000,$C18,10+3*MIN(J$3,$D$2-1)))))</f>
        <v/>
      </c>
      <c r="K18" s="55">
        <f>IF(OR($C18="",$B$2="",$D$2=0),0,IF(K$3&lt;0,0,N(INDEX('CURVA PREVISION'!$A$1:$KZ$3000,$C18,10+3*MIN(K$3,$D$2-1)))))</f>
        <v/>
      </c>
      <c r="L18" s="55">
        <f>IF(OR($C18="",$B$2="",$D$2=0),0,IF(L$3&lt;0,0,N(INDEX('CURVA PREVISION'!$A$1:$KZ$3000,$C18,10+3*MIN(L$3,$D$2-1)))))</f>
        <v/>
      </c>
      <c r="M18" s="55">
        <f>IF(OR($C18="",$B$2="",$D$2=0),0,IF(M$3&lt;0,0,N(INDEX('CURVA PREVISION'!$A$1:$KZ$3000,$C18,10+3*MIN(M$3,$D$2-1)))))</f>
        <v/>
      </c>
      <c r="N18" s="55">
        <f>IF(OR($C18="",$B$2="",$D$2=0),0,IF(N$3&lt;0,0,N(INDEX('CURVA PREVISION'!$A$1:$KZ$3000,$C18,10+3*MIN(N$3,$D$2-1)))))</f>
        <v/>
      </c>
      <c r="O18" s="55">
        <f>IF(OR($C18="",$B$2="",$D$2=0),0,IF(O$3&lt;0,0,N(INDEX('CURVA PREVISION'!$A$1:$KZ$3000,$C18,10+3*MIN(O$3,$D$2-1)))))</f>
        <v/>
      </c>
      <c r="P18" s="55">
        <f>IF(OR($C18="",$B$2="",$D$2=0),0,IF(P$3&lt;0,0,N(INDEX('CURVA PREVISION'!$A$1:$KZ$3000,$C18,10+3*MIN(P$3,$D$2-1)))))</f>
        <v/>
      </c>
      <c r="Q18" s="55">
        <f>IF(OR($C18="",$B$2="",$D$2=0),0,IF(Q$3&lt;0,0,N(INDEX('CURVA PREVISION'!$A$1:$KZ$3000,$C18,10+3*MIN(Q$3,$D$2-1)))))</f>
        <v/>
      </c>
      <c r="R18" s="55">
        <f>IF(OR($C18="",$B$2="",$D$2=0),0,IF(R$3&lt;0,0,N(INDEX('CURVA PREVISION'!$A$1:$KZ$3000,$C18,10+3*MIN(R$3,$D$2-1)))))</f>
        <v/>
      </c>
      <c r="S18" s="55">
        <f>IF(OR($C18="",$B$2="",$D$2=0),0,IF(S$3&lt;0,0,N(INDEX('CURVA PREVISION'!$A$1:$KZ$3000,$C18,10+3*MIN(S$3,$D$2-1)))))</f>
        <v/>
      </c>
      <c r="T18" s="55">
        <f>IF(OR($C18="",$B$2="",$D$2=0),0,IF(T$3&lt;0,0,N(INDEX('CURVA PREVISION'!$A$1:$KZ$3000,$C18,10+3*MIN(T$3,$D$2-1)))))</f>
        <v/>
      </c>
      <c r="U18" s="55">
        <f>IF(OR($C18="",$B$2="",$D$2=0),0,IF(U$3&lt;0,0,N(INDEX('CURVA PREVISION'!$A$1:$KZ$3000,$C18,10+3*MIN(U$3,$D$2-1)))))</f>
        <v/>
      </c>
      <c r="V18" s="55">
        <f>IF(OR($C18="",$B$2="",$D$2=0),0,IF(V$3&lt;0,0,N(INDEX('CURVA PREVISION'!$A$1:$KZ$3000,$C18,10+3*MIN(V$3,$D$2-1)))))</f>
        <v/>
      </c>
      <c r="W18" s="55">
        <f>IF(OR($C18="",$B$2="",$D$2=0),0,IF(W$3&lt;0,0,N(INDEX('CURVA PREVISION'!$A$1:$KZ$3000,$C18,10+3*MIN(W$3,$D$2-1)))))</f>
        <v/>
      </c>
      <c r="X18" s="55">
        <f>IF(OR($C18="",$B$2="",$D$2=0),0,IF(X$3&lt;0,0,N(INDEX('CURVA PREVISION'!$A$1:$KZ$3000,$C18,10+3*MIN(X$3,$D$2-1)))))</f>
        <v/>
      </c>
      <c r="Y18" s="55">
        <f>IF(OR($C18="",$B$2="",$D$2=0),0,IF(Y$3&lt;0,0,N(INDEX('CURVA PREVISION'!$A$1:$KZ$3000,$C18,10+3*MIN(Y$3,$D$2-1)))))</f>
        <v/>
      </c>
      <c r="Z18" s="55">
        <f>IF(OR($C18="",$B$2="",$D$2=0),0,IF(Z$3&lt;0,0,N(INDEX('CURVA PREVISION'!$A$1:$KZ$3000,$C18,10+3*MIN(Z$3,$D$2-1)))))</f>
        <v/>
      </c>
      <c r="AA18" s="55">
        <f>IF(OR($C18="",$B$2="",$D$2=0),0,IF(AA$3&lt;0,0,N(INDEX('CURVA PREVISION'!$A$1:$KZ$3000,$C18,10+3*MIN(AA$3,$D$2-1)))))</f>
        <v/>
      </c>
      <c r="AB18" s="55">
        <f>IF(OR($C18="",$B$2="",$D$2=0),0,IF(AB$3&lt;0,0,N(INDEX('CURVA PREVISION'!$A$1:$KZ$3000,$C18,10+3*MIN(AB$3,$D$2-1)))))</f>
        <v/>
      </c>
      <c r="AC18" s="55">
        <f>IF(OR($C18="",$B$2="",$D$2=0),0,IF(AC$3&lt;0,0,N(INDEX('CURVA PREVISION'!$A$1:$KZ$3000,$C18,10+3*MIN(AC$3,$D$2-1)))))</f>
        <v/>
      </c>
      <c r="AD18" s="55">
        <f>IF(OR($C18="",$B$2="",$D$2=0),0,IF(AD$3&lt;0,0,N(INDEX('CURVA PREVISION'!$A$1:$KZ$3000,$C18,10+3*MIN(AD$3,$D$2-1)))))</f>
        <v/>
      </c>
      <c r="AE18" s="55">
        <f>IF(OR($C18="",$B$2="",$D$2=0),0,IF(AE$3&lt;0,0,N(INDEX('CURVA PREVISION'!$A$1:$KZ$3000,$C18,10+3*MIN(AE$3,$D$2-1)))))</f>
        <v/>
      </c>
      <c r="AF18" s="55">
        <f>IF(OR($C18="",$B$2="",$D$2=0),0,IF(AF$3&lt;0,0,N(INDEX('CURVA PREVISION'!$A$1:$KZ$3000,$C18,10+3*MIN(AF$3,$D$2-1)))))</f>
        <v/>
      </c>
      <c r="AG18" s="55">
        <f>IF(OR($C18="",$B$2="",$D$2=0),0,IF(AG$3&lt;0,0,N(INDEX('CURVA PREVISION'!$A$1:$KZ$3000,$C18,10+3*MIN(AG$3,$D$2-1)))))</f>
        <v/>
      </c>
      <c r="AH18" s="55">
        <f>IF(OR($C18="",$B$2="",$D$2=0),0,IF(AH$3&lt;0,0,N(INDEX('CURVA PREVISION'!$A$1:$KZ$3000,$C18,10+3*MIN(AH$3,$D$2-1)))))</f>
        <v/>
      </c>
      <c r="AI18" s="55">
        <f>IF(OR($C18="",$B$2="",$D$2=0),0,IF(AI$3&lt;0,0,N(INDEX('CURVA PREVISION'!$A$1:$KZ$3000,$C18,10+3*MIN(AI$3,$D$2-1)))))</f>
        <v/>
      </c>
      <c r="AJ18" s="55">
        <f>IF(OR($C18="",$B$2="",$D$2=0),0,IF(AJ$3&lt;0,0,N(INDEX('CURVA PREVISION'!$A$1:$KZ$3000,$C18,10+3*MIN(AJ$3,$D$2-1)))))</f>
        <v/>
      </c>
      <c r="AK18" s="55">
        <f>IF(OR($C18="",$B$2="",$D$2=0),0,IF(AK$3&lt;0,0,N(INDEX('CURVA PREVISION'!$A$1:$KZ$3000,$C18,10+3*MIN(AK$3,$D$2-1)))))</f>
        <v/>
      </c>
      <c r="AL18" s="55">
        <f>IF(OR($C18="",$B$2="",$D$2=0),0,IF(AL$3&lt;0,0,N(INDEX('CURVA PREVISION'!$A$1:$KZ$3000,$C18,10+3*MIN(AL$3,$D$2-1)))))</f>
        <v/>
      </c>
      <c r="AM18" s="55">
        <f>IF(OR($C18="",$B$2="",$D$2=0),0,IF(AM$3&lt;0,0,N(INDEX('CURVA PREVISION'!$A$1:$KZ$3000,$C18,10+3*MIN(AM$3,$D$2-1)))))</f>
        <v/>
      </c>
      <c r="AN18" s="55">
        <f>IF(OR($C18="",$B$2="",$D$2=0),0,IF(AN$3&lt;0,0,N(INDEX('CURVA PREVISION'!$A$1:$KZ$3000,$C18,10+3*MIN(AN$3,$D$2-1)))))</f>
        <v/>
      </c>
      <c r="AO18" s="55">
        <f>IF(OR($C18="",$B$2="",$D$2=0),0,IF(AO$3&lt;0,0,N(INDEX('CURVA PREVISION'!$A$1:$KZ$3000,$C18,10+3*MIN(AO$3,$D$2-1)))))</f>
        <v/>
      </c>
      <c r="AP18" s="55">
        <f>IF(OR($C18="",$B$2="",$D$2=0),0,IF(AP$3&lt;0,0,N(INDEX('CURVA PREVISION'!$A$1:$KZ$3000,$C18,10+3*MIN(AP$3,$D$2-1)))))</f>
        <v/>
      </c>
      <c r="AQ18" s="55">
        <f>IF(OR($C18="",$B$2="",$D$2=0),0,IF(AQ$3&lt;0,0,N(INDEX('CURVA PREVISION'!$A$1:$KZ$3000,$C18,10+3*MIN(AQ$3,$D$2-1)))))</f>
        <v/>
      </c>
      <c r="AR18" s="55">
        <f>IF(OR($C18="",$B$2="",$D$2=0),0,IF(AR$3&lt;0,0,N(INDEX('CURVA PREVISION'!$A$1:$KZ$3000,$C18,10+3*MIN(AR$3,$D$2-1)))))</f>
        <v/>
      </c>
      <c r="AS18" s="55">
        <f>IF(OR($C18="",$B$2="",$D$2=0),0,IF(AS$3&lt;0,0,N(INDEX('CURVA PREVISION'!$A$1:$KZ$3000,$C18,10+3*MIN(AS$3,$D$2-1)))))</f>
        <v/>
      </c>
      <c r="AT18" s="55">
        <f>IF(OR($C18="",$B$2="",$D$2=0),0,IF(AT$3&lt;0,0,N(INDEX('CURVA PREVISION'!$A$1:$KZ$3000,$C18,10+3*MIN(AT$3,$D$2-1)))))</f>
        <v/>
      </c>
      <c r="AU18" s="55">
        <f>IF(OR($C18="",$B$2="",$D$2=0),0,IF(AU$3&lt;0,0,N(INDEX('CURVA PREVISION'!$A$1:$KZ$3000,$C18,10+3*MIN(AU$3,$D$2-1)))))</f>
        <v/>
      </c>
      <c r="AV18" s="55">
        <f>IF(OR($C18="",$B$2="",$D$2=0),0,IF(AV$3&lt;0,0,N(INDEX('CURVA PREVISION'!$A$1:$KZ$3000,$C18,10+3*MIN(AV$3,$D$2-1)))))</f>
        <v/>
      </c>
      <c r="AW18" s="55">
        <f>IF(OR($C18="",$B$2="",$D$2=0),0,IF(AW$3&lt;0,0,N(INDEX('CURVA PREVISION'!$A$1:$KZ$3000,$C18,10+3*MIN(AW$3,$D$2-1)))))</f>
        <v/>
      </c>
      <c r="AX18" s="55">
        <f>IF(OR($C18="",$B$2="",$D$2=0),0,IF(AX$3&lt;0,0,N(INDEX('CURVA PREVISION'!$A$1:$KZ$3000,$C18,10+3*MIN(AX$3,$D$2-1)))))</f>
        <v/>
      </c>
      <c r="AY18" s="55">
        <f>IF(OR($C18="",$B$2="",$D$2=0),0,IF(AY$3&lt;0,0,N(INDEX('CURVA PREVISION'!$A$1:$KZ$3000,$C18,10+3*MIN(AY$3,$D$2-1)))))</f>
        <v/>
      </c>
      <c r="AZ18" s="55">
        <f>IF(OR($C18="",$B$2="",$D$2=0),0,IF(AZ$3&lt;0,0,N(INDEX('CURVA PREVISION'!$A$1:$KZ$3000,$C18,10+3*MIN(AZ$3,$D$2-1)))))</f>
        <v/>
      </c>
      <c r="BA18" s="55">
        <f>IF(OR($C18="",$B$2="",$D$2=0),0,IF(BA$3&lt;0,0,N(INDEX('CURVA PREVISION'!$A$1:$KZ$3000,$C18,10+3*MIN(BA$3,$D$2-1)))))</f>
        <v/>
      </c>
      <c r="BB18" s="55">
        <f>IF(OR($C18="",$B$2="",$D$2=0),0,IF(BB$3&lt;0,0,N(INDEX('CURVA PREVISION'!$A$1:$KZ$3000,$C18,10+3*MIN(BB$3,$D$2-1)))))</f>
        <v/>
      </c>
      <c r="BC18" s="55">
        <f>IF(OR($C18="",$B$2="",$D$2=0),0,IF(BC$3&lt;0,0,N(INDEX('CURVA PREVISION'!$A$1:$KZ$3000,$C18,10+3*MIN(BC$3,$D$2-1)))))</f>
        <v/>
      </c>
      <c r="BD18" s="55">
        <f>IF(OR($C18="",$B$2="",$D$2=0),0,IF(BD$3&lt;0,0,N(INDEX('CURVA PREVISION'!$A$1:$KZ$3000,$C18,10+3*MIN(BD$3,$D$2-1)))))</f>
        <v/>
      </c>
      <c r="BE18" s="55">
        <f>IF(OR($C18="",$B$2="",$D$2=0),0,IF(BE$3&lt;0,0,N(INDEX('CURVA PREVISION'!$A$1:$KZ$3000,$C18,10+3*MIN(BE$3,$D$2-1)))))</f>
        <v/>
      </c>
      <c r="BF18" s="55">
        <f>IF(OR($C18="",$B$2="",$D$2=0),0,IF(BF$3&lt;0,0,N(INDEX('CURVA PREVISION'!$A$1:$KZ$3000,$C18,10+3*MIN(BF$3,$D$2-1)))))</f>
        <v/>
      </c>
      <c r="BG18" s="55">
        <f>IF(OR($C18="",$B$2="",$D$2=0),0,IF(BG$3&lt;0,0,N(INDEX('CURVA PREVISION'!$A$1:$KZ$3000,$C18,10+3*MIN(BG$3,$D$2-1)))))</f>
        <v/>
      </c>
      <c r="BH18" s="55">
        <f>IF(OR($C18="",$B$2="",$D$2=0),0,IF(BH$3&lt;0,0,N(INDEX('CURVA PREVISION'!$A$1:$KZ$3000,$C18,10+3*MIN(BH$3,$D$2-1)))))</f>
        <v/>
      </c>
      <c r="BI18" s="55">
        <f>IF(OR($C18="",$B$2="",$D$2=0),0,IF(BI$3&lt;0,0,N(INDEX('CURVA PREVISION'!$A$1:$KZ$3000,$C18,10+3*MIN(BI$3,$D$2-1)))))</f>
        <v/>
      </c>
      <c r="BJ18" s="55">
        <f>IF(OR($C18="",$B$2="",$D$2=0),0,IF(BJ$3&lt;0,0,N(INDEX('CURVA PREVISION'!$A$1:$KZ$3000,$C18,10+3*MIN(BJ$3,$D$2-1)))))</f>
        <v/>
      </c>
      <c r="BK18" s="55">
        <f>IF(OR($C18="",$B$2="",$D$2=0),0,IF(BK$3&lt;0,0,N(INDEX('CURVA PREVISION'!$A$1:$KZ$3000,$C18,10+3*MIN(BK$3,$D$2-1)))))</f>
        <v/>
      </c>
      <c r="BL18" s="55">
        <f>IF(OR($C18="",$B$2="",$D$2=0),0,IF(BL$3&lt;0,0,N(INDEX('CURVA PREVISION'!$A$1:$KZ$3000,$C18,10+3*MIN(BL$3,$D$2-1)))))</f>
        <v/>
      </c>
      <c r="BM18" s="55">
        <f>IF(OR($C18="",$B$2="",$D$2=0),0,IF(BM$3&lt;0,0,N(INDEX('CURVA PREVISION'!$A$1:$KZ$3000,$C18,10+3*MIN(BM$3,$D$2-1)))))</f>
        <v/>
      </c>
      <c r="BN18" s="55">
        <f>IF(OR($C18="",$B$2="",$D$2=0),0,IF(BN$3&lt;0,0,N(INDEX('CURVA PREVISION'!$A$1:$KZ$3000,$C18,10+3*MIN(BN$3,$D$2-1)))))</f>
        <v/>
      </c>
      <c r="BO18" s="55">
        <f>IF(OR($C18="",$B$2="",$D$2=0),0,IF(BO$3&lt;0,0,N(INDEX('CURVA PREVISION'!$A$1:$KZ$3000,$C18,10+3*MIN(BO$3,$D$2-1)))))</f>
        <v/>
      </c>
      <c r="BP18" s="55">
        <f>IF(OR($C18="",$B$2="",$D$2=0),0,IF(BP$3&lt;0,0,N(INDEX('CURVA PREVISION'!$A$1:$KZ$3000,$C18,10+3*MIN(BP$3,$D$2-1)))))</f>
        <v/>
      </c>
      <c r="BQ18" s="55">
        <f>IF(OR($C18="",$B$2="",$D$2=0),0,IF(BQ$3&lt;0,0,N(INDEX('CURVA PREVISION'!$A$1:$KZ$3000,$C18,10+3*MIN(BQ$3,$D$2-1)))))</f>
        <v/>
      </c>
      <c r="BR18" s="55">
        <f>IF(OR($C18="",$B$2="",$D$2=0),0,IF(BR$3&lt;0,0,N(INDEX('CURVA PREVISION'!$A$1:$KZ$3000,$C18,10+3*MIN(BR$3,$D$2-1)))))</f>
        <v/>
      </c>
      <c r="BS18" s="55">
        <f>IF(OR($C18="",$B$2="",$D$2=0),0,IF(BS$3&lt;0,0,N(INDEX('CURVA PREVISION'!$A$1:$KZ$3000,$C18,10+3*MIN(BS$3,$D$2-1)))))</f>
        <v/>
      </c>
      <c r="BT18" s="55">
        <f>IF(OR($C18="",$B$2="",$D$2=0),0,IF(BT$3&lt;0,0,N(INDEX('CURVA PREVISION'!$A$1:$KZ$3000,$C18,10+3*MIN(BT$3,$D$2-1)))))</f>
        <v/>
      </c>
      <c r="BU18" s="55">
        <f>IF(OR($C18="",$B$2="",$D$2=0),0,IF(BU$3&lt;0,0,N(INDEX('CURVA PREVISION'!$A$1:$KZ$3000,$C18,10+3*MIN(BU$3,$D$2-1)))))</f>
        <v/>
      </c>
      <c r="BV18" s="55">
        <f>IF(OR($C18="",$B$2="",$D$2=0),0,IF(BV$3&lt;0,0,N(INDEX('CURVA PREVISION'!$A$1:$KZ$3000,$C18,10+3*MIN(BV$3,$D$2-1)))))</f>
        <v/>
      </c>
      <c r="BW18" s="55">
        <f>IF(OR($C18="",$B$2="",$D$2=0),0,IF(BW$3&lt;0,0,N(INDEX('CURVA PREVISION'!$A$1:$KZ$3000,$C18,10+3*MIN(BW$3,$D$2-1)))))</f>
        <v/>
      </c>
    </row>
    <row r="19">
      <c r="A19" s="34">
        <f>'VALOR POR PL'!C25</f>
        <v/>
      </c>
      <c r="B19" s="34">
        <f>'VALOR POR PL'!D25</f>
        <v/>
      </c>
      <c r="C19" s="28">
        <f>IFERROR(MATCH(A19,'CURVA PREVISION'!$B$1:$B$3000,0),"")</f>
        <v/>
      </c>
      <c r="D19" s="55">
        <f>IF(OR($C19="",$B$2="",$D$2=0),0,IF(D$3&lt;0,0,N(INDEX('CURVA PREVISION'!$A$1:$KZ$3000,$C19,10+3*MIN(D$3,$D$2-1)))))</f>
        <v/>
      </c>
      <c r="E19" s="55">
        <f>IF(OR($C19="",$B$2="",$D$2=0),0,IF(E$3&lt;0,0,N(INDEX('CURVA PREVISION'!$A$1:$KZ$3000,$C19,10+3*MIN(E$3,$D$2-1)))))</f>
        <v/>
      </c>
      <c r="F19" s="55">
        <f>IF(OR($C19="",$B$2="",$D$2=0),0,IF(F$3&lt;0,0,N(INDEX('CURVA PREVISION'!$A$1:$KZ$3000,$C19,10+3*MIN(F$3,$D$2-1)))))</f>
        <v/>
      </c>
      <c r="G19" s="55">
        <f>IF(OR($C19="",$B$2="",$D$2=0),0,IF(G$3&lt;0,0,N(INDEX('CURVA PREVISION'!$A$1:$KZ$3000,$C19,10+3*MIN(G$3,$D$2-1)))))</f>
        <v/>
      </c>
      <c r="H19" s="55">
        <f>IF(OR($C19="",$B$2="",$D$2=0),0,IF(H$3&lt;0,0,N(INDEX('CURVA PREVISION'!$A$1:$KZ$3000,$C19,10+3*MIN(H$3,$D$2-1)))))</f>
        <v/>
      </c>
      <c r="I19" s="55">
        <f>IF(OR($C19="",$B$2="",$D$2=0),0,IF(I$3&lt;0,0,N(INDEX('CURVA PREVISION'!$A$1:$KZ$3000,$C19,10+3*MIN(I$3,$D$2-1)))))</f>
        <v/>
      </c>
      <c r="J19" s="55">
        <f>IF(OR($C19="",$B$2="",$D$2=0),0,IF(J$3&lt;0,0,N(INDEX('CURVA PREVISION'!$A$1:$KZ$3000,$C19,10+3*MIN(J$3,$D$2-1)))))</f>
        <v/>
      </c>
      <c r="K19" s="55">
        <f>IF(OR($C19="",$B$2="",$D$2=0),0,IF(K$3&lt;0,0,N(INDEX('CURVA PREVISION'!$A$1:$KZ$3000,$C19,10+3*MIN(K$3,$D$2-1)))))</f>
        <v/>
      </c>
      <c r="L19" s="55">
        <f>IF(OR($C19="",$B$2="",$D$2=0),0,IF(L$3&lt;0,0,N(INDEX('CURVA PREVISION'!$A$1:$KZ$3000,$C19,10+3*MIN(L$3,$D$2-1)))))</f>
        <v/>
      </c>
      <c r="M19" s="55">
        <f>IF(OR($C19="",$B$2="",$D$2=0),0,IF(M$3&lt;0,0,N(INDEX('CURVA PREVISION'!$A$1:$KZ$3000,$C19,10+3*MIN(M$3,$D$2-1)))))</f>
        <v/>
      </c>
      <c r="N19" s="55">
        <f>IF(OR($C19="",$B$2="",$D$2=0),0,IF(N$3&lt;0,0,N(INDEX('CURVA PREVISION'!$A$1:$KZ$3000,$C19,10+3*MIN(N$3,$D$2-1)))))</f>
        <v/>
      </c>
      <c r="O19" s="55">
        <f>IF(OR($C19="",$B$2="",$D$2=0),0,IF(O$3&lt;0,0,N(INDEX('CURVA PREVISION'!$A$1:$KZ$3000,$C19,10+3*MIN(O$3,$D$2-1)))))</f>
        <v/>
      </c>
      <c r="P19" s="55">
        <f>IF(OR($C19="",$B$2="",$D$2=0),0,IF(P$3&lt;0,0,N(INDEX('CURVA PREVISION'!$A$1:$KZ$3000,$C19,10+3*MIN(P$3,$D$2-1)))))</f>
        <v/>
      </c>
      <c r="Q19" s="55">
        <f>IF(OR($C19="",$B$2="",$D$2=0),0,IF(Q$3&lt;0,0,N(INDEX('CURVA PREVISION'!$A$1:$KZ$3000,$C19,10+3*MIN(Q$3,$D$2-1)))))</f>
        <v/>
      </c>
      <c r="R19" s="55">
        <f>IF(OR($C19="",$B$2="",$D$2=0),0,IF(R$3&lt;0,0,N(INDEX('CURVA PREVISION'!$A$1:$KZ$3000,$C19,10+3*MIN(R$3,$D$2-1)))))</f>
        <v/>
      </c>
      <c r="S19" s="55">
        <f>IF(OR($C19="",$B$2="",$D$2=0),0,IF(S$3&lt;0,0,N(INDEX('CURVA PREVISION'!$A$1:$KZ$3000,$C19,10+3*MIN(S$3,$D$2-1)))))</f>
        <v/>
      </c>
      <c r="T19" s="55">
        <f>IF(OR($C19="",$B$2="",$D$2=0),0,IF(T$3&lt;0,0,N(INDEX('CURVA PREVISION'!$A$1:$KZ$3000,$C19,10+3*MIN(T$3,$D$2-1)))))</f>
        <v/>
      </c>
      <c r="U19" s="55">
        <f>IF(OR($C19="",$B$2="",$D$2=0),0,IF(U$3&lt;0,0,N(INDEX('CURVA PREVISION'!$A$1:$KZ$3000,$C19,10+3*MIN(U$3,$D$2-1)))))</f>
        <v/>
      </c>
      <c r="V19" s="55">
        <f>IF(OR($C19="",$B$2="",$D$2=0),0,IF(V$3&lt;0,0,N(INDEX('CURVA PREVISION'!$A$1:$KZ$3000,$C19,10+3*MIN(V$3,$D$2-1)))))</f>
        <v/>
      </c>
      <c r="W19" s="55">
        <f>IF(OR($C19="",$B$2="",$D$2=0),0,IF(W$3&lt;0,0,N(INDEX('CURVA PREVISION'!$A$1:$KZ$3000,$C19,10+3*MIN(W$3,$D$2-1)))))</f>
        <v/>
      </c>
      <c r="X19" s="55">
        <f>IF(OR($C19="",$B$2="",$D$2=0),0,IF(X$3&lt;0,0,N(INDEX('CURVA PREVISION'!$A$1:$KZ$3000,$C19,10+3*MIN(X$3,$D$2-1)))))</f>
        <v/>
      </c>
      <c r="Y19" s="55">
        <f>IF(OR($C19="",$B$2="",$D$2=0),0,IF(Y$3&lt;0,0,N(INDEX('CURVA PREVISION'!$A$1:$KZ$3000,$C19,10+3*MIN(Y$3,$D$2-1)))))</f>
        <v/>
      </c>
      <c r="Z19" s="55">
        <f>IF(OR($C19="",$B$2="",$D$2=0),0,IF(Z$3&lt;0,0,N(INDEX('CURVA PREVISION'!$A$1:$KZ$3000,$C19,10+3*MIN(Z$3,$D$2-1)))))</f>
        <v/>
      </c>
      <c r="AA19" s="55">
        <f>IF(OR($C19="",$B$2="",$D$2=0),0,IF(AA$3&lt;0,0,N(INDEX('CURVA PREVISION'!$A$1:$KZ$3000,$C19,10+3*MIN(AA$3,$D$2-1)))))</f>
        <v/>
      </c>
      <c r="AB19" s="55">
        <f>IF(OR($C19="",$B$2="",$D$2=0),0,IF(AB$3&lt;0,0,N(INDEX('CURVA PREVISION'!$A$1:$KZ$3000,$C19,10+3*MIN(AB$3,$D$2-1)))))</f>
        <v/>
      </c>
      <c r="AC19" s="55">
        <f>IF(OR($C19="",$B$2="",$D$2=0),0,IF(AC$3&lt;0,0,N(INDEX('CURVA PREVISION'!$A$1:$KZ$3000,$C19,10+3*MIN(AC$3,$D$2-1)))))</f>
        <v/>
      </c>
      <c r="AD19" s="55">
        <f>IF(OR($C19="",$B$2="",$D$2=0),0,IF(AD$3&lt;0,0,N(INDEX('CURVA PREVISION'!$A$1:$KZ$3000,$C19,10+3*MIN(AD$3,$D$2-1)))))</f>
        <v/>
      </c>
      <c r="AE19" s="55">
        <f>IF(OR($C19="",$B$2="",$D$2=0),0,IF(AE$3&lt;0,0,N(INDEX('CURVA PREVISION'!$A$1:$KZ$3000,$C19,10+3*MIN(AE$3,$D$2-1)))))</f>
        <v/>
      </c>
      <c r="AF19" s="55">
        <f>IF(OR($C19="",$B$2="",$D$2=0),0,IF(AF$3&lt;0,0,N(INDEX('CURVA PREVISION'!$A$1:$KZ$3000,$C19,10+3*MIN(AF$3,$D$2-1)))))</f>
        <v/>
      </c>
      <c r="AG19" s="55">
        <f>IF(OR($C19="",$B$2="",$D$2=0),0,IF(AG$3&lt;0,0,N(INDEX('CURVA PREVISION'!$A$1:$KZ$3000,$C19,10+3*MIN(AG$3,$D$2-1)))))</f>
        <v/>
      </c>
      <c r="AH19" s="55">
        <f>IF(OR($C19="",$B$2="",$D$2=0),0,IF(AH$3&lt;0,0,N(INDEX('CURVA PREVISION'!$A$1:$KZ$3000,$C19,10+3*MIN(AH$3,$D$2-1)))))</f>
        <v/>
      </c>
      <c r="AI19" s="55">
        <f>IF(OR($C19="",$B$2="",$D$2=0),0,IF(AI$3&lt;0,0,N(INDEX('CURVA PREVISION'!$A$1:$KZ$3000,$C19,10+3*MIN(AI$3,$D$2-1)))))</f>
        <v/>
      </c>
      <c r="AJ19" s="55">
        <f>IF(OR($C19="",$B$2="",$D$2=0),0,IF(AJ$3&lt;0,0,N(INDEX('CURVA PREVISION'!$A$1:$KZ$3000,$C19,10+3*MIN(AJ$3,$D$2-1)))))</f>
        <v/>
      </c>
      <c r="AK19" s="55">
        <f>IF(OR($C19="",$B$2="",$D$2=0),0,IF(AK$3&lt;0,0,N(INDEX('CURVA PREVISION'!$A$1:$KZ$3000,$C19,10+3*MIN(AK$3,$D$2-1)))))</f>
        <v/>
      </c>
      <c r="AL19" s="55">
        <f>IF(OR($C19="",$B$2="",$D$2=0),0,IF(AL$3&lt;0,0,N(INDEX('CURVA PREVISION'!$A$1:$KZ$3000,$C19,10+3*MIN(AL$3,$D$2-1)))))</f>
        <v/>
      </c>
      <c r="AM19" s="55">
        <f>IF(OR($C19="",$B$2="",$D$2=0),0,IF(AM$3&lt;0,0,N(INDEX('CURVA PREVISION'!$A$1:$KZ$3000,$C19,10+3*MIN(AM$3,$D$2-1)))))</f>
        <v/>
      </c>
      <c r="AN19" s="55">
        <f>IF(OR($C19="",$B$2="",$D$2=0),0,IF(AN$3&lt;0,0,N(INDEX('CURVA PREVISION'!$A$1:$KZ$3000,$C19,10+3*MIN(AN$3,$D$2-1)))))</f>
        <v/>
      </c>
      <c r="AO19" s="55">
        <f>IF(OR($C19="",$B$2="",$D$2=0),0,IF(AO$3&lt;0,0,N(INDEX('CURVA PREVISION'!$A$1:$KZ$3000,$C19,10+3*MIN(AO$3,$D$2-1)))))</f>
        <v/>
      </c>
      <c r="AP19" s="55">
        <f>IF(OR($C19="",$B$2="",$D$2=0),0,IF(AP$3&lt;0,0,N(INDEX('CURVA PREVISION'!$A$1:$KZ$3000,$C19,10+3*MIN(AP$3,$D$2-1)))))</f>
        <v/>
      </c>
      <c r="AQ19" s="55">
        <f>IF(OR($C19="",$B$2="",$D$2=0),0,IF(AQ$3&lt;0,0,N(INDEX('CURVA PREVISION'!$A$1:$KZ$3000,$C19,10+3*MIN(AQ$3,$D$2-1)))))</f>
        <v/>
      </c>
      <c r="AR19" s="55">
        <f>IF(OR($C19="",$B$2="",$D$2=0),0,IF(AR$3&lt;0,0,N(INDEX('CURVA PREVISION'!$A$1:$KZ$3000,$C19,10+3*MIN(AR$3,$D$2-1)))))</f>
        <v/>
      </c>
      <c r="AS19" s="55">
        <f>IF(OR($C19="",$B$2="",$D$2=0),0,IF(AS$3&lt;0,0,N(INDEX('CURVA PREVISION'!$A$1:$KZ$3000,$C19,10+3*MIN(AS$3,$D$2-1)))))</f>
        <v/>
      </c>
      <c r="AT19" s="55">
        <f>IF(OR($C19="",$B$2="",$D$2=0),0,IF(AT$3&lt;0,0,N(INDEX('CURVA PREVISION'!$A$1:$KZ$3000,$C19,10+3*MIN(AT$3,$D$2-1)))))</f>
        <v/>
      </c>
      <c r="AU19" s="55">
        <f>IF(OR($C19="",$B$2="",$D$2=0),0,IF(AU$3&lt;0,0,N(INDEX('CURVA PREVISION'!$A$1:$KZ$3000,$C19,10+3*MIN(AU$3,$D$2-1)))))</f>
        <v/>
      </c>
      <c r="AV19" s="55">
        <f>IF(OR($C19="",$B$2="",$D$2=0),0,IF(AV$3&lt;0,0,N(INDEX('CURVA PREVISION'!$A$1:$KZ$3000,$C19,10+3*MIN(AV$3,$D$2-1)))))</f>
        <v/>
      </c>
      <c r="AW19" s="55">
        <f>IF(OR($C19="",$B$2="",$D$2=0),0,IF(AW$3&lt;0,0,N(INDEX('CURVA PREVISION'!$A$1:$KZ$3000,$C19,10+3*MIN(AW$3,$D$2-1)))))</f>
        <v/>
      </c>
      <c r="AX19" s="55">
        <f>IF(OR($C19="",$B$2="",$D$2=0),0,IF(AX$3&lt;0,0,N(INDEX('CURVA PREVISION'!$A$1:$KZ$3000,$C19,10+3*MIN(AX$3,$D$2-1)))))</f>
        <v/>
      </c>
      <c r="AY19" s="55">
        <f>IF(OR($C19="",$B$2="",$D$2=0),0,IF(AY$3&lt;0,0,N(INDEX('CURVA PREVISION'!$A$1:$KZ$3000,$C19,10+3*MIN(AY$3,$D$2-1)))))</f>
        <v/>
      </c>
      <c r="AZ19" s="55">
        <f>IF(OR($C19="",$B$2="",$D$2=0),0,IF(AZ$3&lt;0,0,N(INDEX('CURVA PREVISION'!$A$1:$KZ$3000,$C19,10+3*MIN(AZ$3,$D$2-1)))))</f>
        <v/>
      </c>
      <c r="BA19" s="55">
        <f>IF(OR($C19="",$B$2="",$D$2=0),0,IF(BA$3&lt;0,0,N(INDEX('CURVA PREVISION'!$A$1:$KZ$3000,$C19,10+3*MIN(BA$3,$D$2-1)))))</f>
        <v/>
      </c>
      <c r="BB19" s="55">
        <f>IF(OR($C19="",$B$2="",$D$2=0),0,IF(BB$3&lt;0,0,N(INDEX('CURVA PREVISION'!$A$1:$KZ$3000,$C19,10+3*MIN(BB$3,$D$2-1)))))</f>
        <v/>
      </c>
      <c r="BC19" s="55">
        <f>IF(OR($C19="",$B$2="",$D$2=0),0,IF(BC$3&lt;0,0,N(INDEX('CURVA PREVISION'!$A$1:$KZ$3000,$C19,10+3*MIN(BC$3,$D$2-1)))))</f>
        <v/>
      </c>
      <c r="BD19" s="55">
        <f>IF(OR($C19="",$B$2="",$D$2=0),0,IF(BD$3&lt;0,0,N(INDEX('CURVA PREVISION'!$A$1:$KZ$3000,$C19,10+3*MIN(BD$3,$D$2-1)))))</f>
        <v/>
      </c>
      <c r="BE19" s="55">
        <f>IF(OR($C19="",$B$2="",$D$2=0),0,IF(BE$3&lt;0,0,N(INDEX('CURVA PREVISION'!$A$1:$KZ$3000,$C19,10+3*MIN(BE$3,$D$2-1)))))</f>
        <v/>
      </c>
      <c r="BF19" s="55">
        <f>IF(OR($C19="",$B$2="",$D$2=0),0,IF(BF$3&lt;0,0,N(INDEX('CURVA PREVISION'!$A$1:$KZ$3000,$C19,10+3*MIN(BF$3,$D$2-1)))))</f>
        <v/>
      </c>
      <c r="BG19" s="55">
        <f>IF(OR($C19="",$B$2="",$D$2=0),0,IF(BG$3&lt;0,0,N(INDEX('CURVA PREVISION'!$A$1:$KZ$3000,$C19,10+3*MIN(BG$3,$D$2-1)))))</f>
        <v/>
      </c>
      <c r="BH19" s="55">
        <f>IF(OR($C19="",$B$2="",$D$2=0),0,IF(BH$3&lt;0,0,N(INDEX('CURVA PREVISION'!$A$1:$KZ$3000,$C19,10+3*MIN(BH$3,$D$2-1)))))</f>
        <v/>
      </c>
      <c r="BI19" s="55">
        <f>IF(OR($C19="",$B$2="",$D$2=0),0,IF(BI$3&lt;0,0,N(INDEX('CURVA PREVISION'!$A$1:$KZ$3000,$C19,10+3*MIN(BI$3,$D$2-1)))))</f>
        <v/>
      </c>
      <c r="BJ19" s="55">
        <f>IF(OR($C19="",$B$2="",$D$2=0),0,IF(BJ$3&lt;0,0,N(INDEX('CURVA PREVISION'!$A$1:$KZ$3000,$C19,10+3*MIN(BJ$3,$D$2-1)))))</f>
        <v/>
      </c>
      <c r="BK19" s="55">
        <f>IF(OR($C19="",$B$2="",$D$2=0),0,IF(BK$3&lt;0,0,N(INDEX('CURVA PREVISION'!$A$1:$KZ$3000,$C19,10+3*MIN(BK$3,$D$2-1)))))</f>
        <v/>
      </c>
      <c r="BL19" s="55">
        <f>IF(OR($C19="",$B$2="",$D$2=0),0,IF(BL$3&lt;0,0,N(INDEX('CURVA PREVISION'!$A$1:$KZ$3000,$C19,10+3*MIN(BL$3,$D$2-1)))))</f>
        <v/>
      </c>
      <c r="BM19" s="55">
        <f>IF(OR($C19="",$B$2="",$D$2=0),0,IF(BM$3&lt;0,0,N(INDEX('CURVA PREVISION'!$A$1:$KZ$3000,$C19,10+3*MIN(BM$3,$D$2-1)))))</f>
        <v/>
      </c>
      <c r="BN19" s="55">
        <f>IF(OR($C19="",$B$2="",$D$2=0),0,IF(BN$3&lt;0,0,N(INDEX('CURVA PREVISION'!$A$1:$KZ$3000,$C19,10+3*MIN(BN$3,$D$2-1)))))</f>
        <v/>
      </c>
      <c r="BO19" s="55">
        <f>IF(OR($C19="",$B$2="",$D$2=0),0,IF(BO$3&lt;0,0,N(INDEX('CURVA PREVISION'!$A$1:$KZ$3000,$C19,10+3*MIN(BO$3,$D$2-1)))))</f>
        <v/>
      </c>
      <c r="BP19" s="55">
        <f>IF(OR($C19="",$B$2="",$D$2=0),0,IF(BP$3&lt;0,0,N(INDEX('CURVA PREVISION'!$A$1:$KZ$3000,$C19,10+3*MIN(BP$3,$D$2-1)))))</f>
        <v/>
      </c>
      <c r="BQ19" s="55">
        <f>IF(OR($C19="",$B$2="",$D$2=0),0,IF(BQ$3&lt;0,0,N(INDEX('CURVA PREVISION'!$A$1:$KZ$3000,$C19,10+3*MIN(BQ$3,$D$2-1)))))</f>
        <v/>
      </c>
      <c r="BR19" s="55">
        <f>IF(OR($C19="",$B$2="",$D$2=0),0,IF(BR$3&lt;0,0,N(INDEX('CURVA PREVISION'!$A$1:$KZ$3000,$C19,10+3*MIN(BR$3,$D$2-1)))))</f>
        <v/>
      </c>
      <c r="BS19" s="55">
        <f>IF(OR($C19="",$B$2="",$D$2=0),0,IF(BS$3&lt;0,0,N(INDEX('CURVA PREVISION'!$A$1:$KZ$3000,$C19,10+3*MIN(BS$3,$D$2-1)))))</f>
        <v/>
      </c>
      <c r="BT19" s="55">
        <f>IF(OR($C19="",$B$2="",$D$2=0),0,IF(BT$3&lt;0,0,N(INDEX('CURVA PREVISION'!$A$1:$KZ$3000,$C19,10+3*MIN(BT$3,$D$2-1)))))</f>
        <v/>
      </c>
      <c r="BU19" s="55">
        <f>IF(OR($C19="",$B$2="",$D$2=0),0,IF(BU$3&lt;0,0,N(INDEX('CURVA PREVISION'!$A$1:$KZ$3000,$C19,10+3*MIN(BU$3,$D$2-1)))))</f>
        <v/>
      </c>
      <c r="BV19" s="55">
        <f>IF(OR($C19="",$B$2="",$D$2=0),0,IF(BV$3&lt;0,0,N(INDEX('CURVA PREVISION'!$A$1:$KZ$3000,$C19,10+3*MIN(BV$3,$D$2-1)))))</f>
        <v/>
      </c>
      <c r="BW19" s="55">
        <f>IF(OR($C19="",$B$2="",$D$2=0),0,IF(BW$3&lt;0,0,N(INDEX('CURVA PREVISION'!$A$1:$KZ$3000,$C19,10+3*MIN(BW$3,$D$2-1)))))</f>
        <v/>
      </c>
    </row>
    <row r="20">
      <c r="A20" s="34">
        <f>'VALOR POR PL'!C26</f>
        <v/>
      </c>
      <c r="B20" s="34">
        <f>'VALOR POR PL'!D26</f>
        <v/>
      </c>
      <c r="C20" s="28">
        <f>IFERROR(MATCH(A20,'CURVA PREVISION'!$B$1:$B$3000,0),"")</f>
        <v/>
      </c>
      <c r="D20" s="55">
        <f>IF(OR($C20="",$B$2="",$D$2=0),0,IF(D$3&lt;0,0,N(INDEX('CURVA PREVISION'!$A$1:$KZ$3000,$C20,10+3*MIN(D$3,$D$2-1)))))</f>
        <v/>
      </c>
      <c r="E20" s="55">
        <f>IF(OR($C20="",$B$2="",$D$2=0),0,IF(E$3&lt;0,0,N(INDEX('CURVA PREVISION'!$A$1:$KZ$3000,$C20,10+3*MIN(E$3,$D$2-1)))))</f>
        <v/>
      </c>
      <c r="F20" s="55">
        <f>IF(OR($C20="",$B$2="",$D$2=0),0,IF(F$3&lt;0,0,N(INDEX('CURVA PREVISION'!$A$1:$KZ$3000,$C20,10+3*MIN(F$3,$D$2-1)))))</f>
        <v/>
      </c>
      <c r="G20" s="55">
        <f>IF(OR($C20="",$B$2="",$D$2=0),0,IF(G$3&lt;0,0,N(INDEX('CURVA PREVISION'!$A$1:$KZ$3000,$C20,10+3*MIN(G$3,$D$2-1)))))</f>
        <v/>
      </c>
      <c r="H20" s="55">
        <f>IF(OR($C20="",$B$2="",$D$2=0),0,IF(H$3&lt;0,0,N(INDEX('CURVA PREVISION'!$A$1:$KZ$3000,$C20,10+3*MIN(H$3,$D$2-1)))))</f>
        <v/>
      </c>
      <c r="I20" s="55">
        <f>IF(OR($C20="",$B$2="",$D$2=0),0,IF(I$3&lt;0,0,N(INDEX('CURVA PREVISION'!$A$1:$KZ$3000,$C20,10+3*MIN(I$3,$D$2-1)))))</f>
        <v/>
      </c>
      <c r="J20" s="55">
        <f>IF(OR($C20="",$B$2="",$D$2=0),0,IF(J$3&lt;0,0,N(INDEX('CURVA PREVISION'!$A$1:$KZ$3000,$C20,10+3*MIN(J$3,$D$2-1)))))</f>
        <v/>
      </c>
      <c r="K20" s="55">
        <f>IF(OR($C20="",$B$2="",$D$2=0),0,IF(K$3&lt;0,0,N(INDEX('CURVA PREVISION'!$A$1:$KZ$3000,$C20,10+3*MIN(K$3,$D$2-1)))))</f>
        <v/>
      </c>
      <c r="L20" s="55">
        <f>IF(OR($C20="",$B$2="",$D$2=0),0,IF(L$3&lt;0,0,N(INDEX('CURVA PREVISION'!$A$1:$KZ$3000,$C20,10+3*MIN(L$3,$D$2-1)))))</f>
        <v/>
      </c>
      <c r="M20" s="55">
        <f>IF(OR($C20="",$B$2="",$D$2=0),0,IF(M$3&lt;0,0,N(INDEX('CURVA PREVISION'!$A$1:$KZ$3000,$C20,10+3*MIN(M$3,$D$2-1)))))</f>
        <v/>
      </c>
      <c r="N20" s="55">
        <f>IF(OR($C20="",$B$2="",$D$2=0),0,IF(N$3&lt;0,0,N(INDEX('CURVA PREVISION'!$A$1:$KZ$3000,$C20,10+3*MIN(N$3,$D$2-1)))))</f>
        <v/>
      </c>
      <c r="O20" s="55">
        <f>IF(OR($C20="",$B$2="",$D$2=0),0,IF(O$3&lt;0,0,N(INDEX('CURVA PREVISION'!$A$1:$KZ$3000,$C20,10+3*MIN(O$3,$D$2-1)))))</f>
        <v/>
      </c>
      <c r="P20" s="55">
        <f>IF(OR($C20="",$B$2="",$D$2=0),0,IF(P$3&lt;0,0,N(INDEX('CURVA PREVISION'!$A$1:$KZ$3000,$C20,10+3*MIN(P$3,$D$2-1)))))</f>
        <v/>
      </c>
      <c r="Q20" s="55">
        <f>IF(OR($C20="",$B$2="",$D$2=0),0,IF(Q$3&lt;0,0,N(INDEX('CURVA PREVISION'!$A$1:$KZ$3000,$C20,10+3*MIN(Q$3,$D$2-1)))))</f>
        <v/>
      </c>
      <c r="R20" s="55">
        <f>IF(OR($C20="",$B$2="",$D$2=0),0,IF(R$3&lt;0,0,N(INDEX('CURVA PREVISION'!$A$1:$KZ$3000,$C20,10+3*MIN(R$3,$D$2-1)))))</f>
        <v/>
      </c>
      <c r="S20" s="55">
        <f>IF(OR($C20="",$B$2="",$D$2=0),0,IF(S$3&lt;0,0,N(INDEX('CURVA PREVISION'!$A$1:$KZ$3000,$C20,10+3*MIN(S$3,$D$2-1)))))</f>
        <v/>
      </c>
      <c r="T20" s="55">
        <f>IF(OR($C20="",$B$2="",$D$2=0),0,IF(T$3&lt;0,0,N(INDEX('CURVA PREVISION'!$A$1:$KZ$3000,$C20,10+3*MIN(T$3,$D$2-1)))))</f>
        <v/>
      </c>
      <c r="U20" s="55">
        <f>IF(OR($C20="",$B$2="",$D$2=0),0,IF(U$3&lt;0,0,N(INDEX('CURVA PREVISION'!$A$1:$KZ$3000,$C20,10+3*MIN(U$3,$D$2-1)))))</f>
        <v/>
      </c>
      <c r="V20" s="55">
        <f>IF(OR($C20="",$B$2="",$D$2=0),0,IF(V$3&lt;0,0,N(INDEX('CURVA PREVISION'!$A$1:$KZ$3000,$C20,10+3*MIN(V$3,$D$2-1)))))</f>
        <v/>
      </c>
      <c r="W20" s="55">
        <f>IF(OR($C20="",$B$2="",$D$2=0),0,IF(W$3&lt;0,0,N(INDEX('CURVA PREVISION'!$A$1:$KZ$3000,$C20,10+3*MIN(W$3,$D$2-1)))))</f>
        <v/>
      </c>
      <c r="X20" s="55">
        <f>IF(OR($C20="",$B$2="",$D$2=0),0,IF(X$3&lt;0,0,N(INDEX('CURVA PREVISION'!$A$1:$KZ$3000,$C20,10+3*MIN(X$3,$D$2-1)))))</f>
        <v/>
      </c>
      <c r="Y20" s="55">
        <f>IF(OR($C20="",$B$2="",$D$2=0),0,IF(Y$3&lt;0,0,N(INDEX('CURVA PREVISION'!$A$1:$KZ$3000,$C20,10+3*MIN(Y$3,$D$2-1)))))</f>
        <v/>
      </c>
      <c r="Z20" s="55">
        <f>IF(OR($C20="",$B$2="",$D$2=0),0,IF(Z$3&lt;0,0,N(INDEX('CURVA PREVISION'!$A$1:$KZ$3000,$C20,10+3*MIN(Z$3,$D$2-1)))))</f>
        <v/>
      </c>
      <c r="AA20" s="55">
        <f>IF(OR($C20="",$B$2="",$D$2=0),0,IF(AA$3&lt;0,0,N(INDEX('CURVA PREVISION'!$A$1:$KZ$3000,$C20,10+3*MIN(AA$3,$D$2-1)))))</f>
        <v/>
      </c>
      <c r="AB20" s="55">
        <f>IF(OR($C20="",$B$2="",$D$2=0),0,IF(AB$3&lt;0,0,N(INDEX('CURVA PREVISION'!$A$1:$KZ$3000,$C20,10+3*MIN(AB$3,$D$2-1)))))</f>
        <v/>
      </c>
      <c r="AC20" s="55">
        <f>IF(OR($C20="",$B$2="",$D$2=0),0,IF(AC$3&lt;0,0,N(INDEX('CURVA PREVISION'!$A$1:$KZ$3000,$C20,10+3*MIN(AC$3,$D$2-1)))))</f>
        <v/>
      </c>
      <c r="AD20" s="55">
        <f>IF(OR($C20="",$B$2="",$D$2=0),0,IF(AD$3&lt;0,0,N(INDEX('CURVA PREVISION'!$A$1:$KZ$3000,$C20,10+3*MIN(AD$3,$D$2-1)))))</f>
        <v/>
      </c>
      <c r="AE20" s="55">
        <f>IF(OR($C20="",$B$2="",$D$2=0),0,IF(AE$3&lt;0,0,N(INDEX('CURVA PREVISION'!$A$1:$KZ$3000,$C20,10+3*MIN(AE$3,$D$2-1)))))</f>
        <v/>
      </c>
      <c r="AF20" s="55">
        <f>IF(OR($C20="",$B$2="",$D$2=0),0,IF(AF$3&lt;0,0,N(INDEX('CURVA PREVISION'!$A$1:$KZ$3000,$C20,10+3*MIN(AF$3,$D$2-1)))))</f>
        <v/>
      </c>
      <c r="AG20" s="55">
        <f>IF(OR($C20="",$B$2="",$D$2=0),0,IF(AG$3&lt;0,0,N(INDEX('CURVA PREVISION'!$A$1:$KZ$3000,$C20,10+3*MIN(AG$3,$D$2-1)))))</f>
        <v/>
      </c>
      <c r="AH20" s="55">
        <f>IF(OR($C20="",$B$2="",$D$2=0),0,IF(AH$3&lt;0,0,N(INDEX('CURVA PREVISION'!$A$1:$KZ$3000,$C20,10+3*MIN(AH$3,$D$2-1)))))</f>
        <v/>
      </c>
      <c r="AI20" s="55">
        <f>IF(OR($C20="",$B$2="",$D$2=0),0,IF(AI$3&lt;0,0,N(INDEX('CURVA PREVISION'!$A$1:$KZ$3000,$C20,10+3*MIN(AI$3,$D$2-1)))))</f>
        <v/>
      </c>
      <c r="AJ20" s="55">
        <f>IF(OR($C20="",$B$2="",$D$2=0),0,IF(AJ$3&lt;0,0,N(INDEX('CURVA PREVISION'!$A$1:$KZ$3000,$C20,10+3*MIN(AJ$3,$D$2-1)))))</f>
        <v/>
      </c>
      <c r="AK20" s="55">
        <f>IF(OR($C20="",$B$2="",$D$2=0),0,IF(AK$3&lt;0,0,N(INDEX('CURVA PREVISION'!$A$1:$KZ$3000,$C20,10+3*MIN(AK$3,$D$2-1)))))</f>
        <v/>
      </c>
      <c r="AL20" s="55">
        <f>IF(OR($C20="",$B$2="",$D$2=0),0,IF(AL$3&lt;0,0,N(INDEX('CURVA PREVISION'!$A$1:$KZ$3000,$C20,10+3*MIN(AL$3,$D$2-1)))))</f>
        <v/>
      </c>
      <c r="AM20" s="55">
        <f>IF(OR($C20="",$B$2="",$D$2=0),0,IF(AM$3&lt;0,0,N(INDEX('CURVA PREVISION'!$A$1:$KZ$3000,$C20,10+3*MIN(AM$3,$D$2-1)))))</f>
        <v/>
      </c>
      <c r="AN20" s="55">
        <f>IF(OR($C20="",$B$2="",$D$2=0),0,IF(AN$3&lt;0,0,N(INDEX('CURVA PREVISION'!$A$1:$KZ$3000,$C20,10+3*MIN(AN$3,$D$2-1)))))</f>
        <v/>
      </c>
      <c r="AO20" s="55">
        <f>IF(OR($C20="",$B$2="",$D$2=0),0,IF(AO$3&lt;0,0,N(INDEX('CURVA PREVISION'!$A$1:$KZ$3000,$C20,10+3*MIN(AO$3,$D$2-1)))))</f>
        <v/>
      </c>
      <c r="AP20" s="55">
        <f>IF(OR($C20="",$B$2="",$D$2=0),0,IF(AP$3&lt;0,0,N(INDEX('CURVA PREVISION'!$A$1:$KZ$3000,$C20,10+3*MIN(AP$3,$D$2-1)))))</f>
        <v/>
      </c>
      <c r="AQ20" s="55">
        <f>IF(OR($C20="",$B$2="",$D$2=0),0,IF(AQ$3&lt;0,0,N(INDEX('CURVA PREVISION'!$A$1:$KZ$3000,$C20,10+3*MIN(AQ$3,$D$2-1)))))</f>
        <v/>
      </c>
      <c r="AR20" s="55">
        <f>IF(OR($C20="",$B$2="",$D$2=0),0,IF(AR$3&lt;0,0,N(INDEX('CURVA PREVISION'!$A$1:$KZ$3000,$C20,10+3*MIN(AR$3,$D$2-1)))))</f>
        <v/>
      </c>
      <c r="AS20" s="55">
        <f>IF(OR($C20="",$B$2="",$D$2=0),0,IF(AS$3&lt;0,0,N(INDEX('CURVA PREVISION'!$A$1:$KZ$3000,$C20,10+3*MIN(AS$3,$D$2-1)))))</f>
        <v/>
      </c>
      <c r="AT20" s="55">
        <f>IF(OR($C20="",$B$2="",$D$2=0),0,IF(AT$3&lt;0,0,N(INDEX('CURVA PREVISION'!$A$1:$KZ$3000,$C20,10+3*MIN(AT$3,$D$2-1)))))</f>
        <v/>
      </c>
      <c r="AU20" s="55">
        <f>IF(OR($C20="",$B$2="",$D$2=0),0,IF(AU$3&lt;0,0,N(INDEX('CURVA PREVISION'!$A$1:$KZ$3000,$C20,10+3*MIN(AU$3,$D$2-1)))))</f>
        <v/>
      </c>
      <c r="AV20" s="55">
        <f>IF(OR($C20="",$B$2="",$D$2=0),0,IF(AV$3&lt;0,0,N(INDEX('CURVA PREVISION'!$A$1:$KZ$3000,$C20,10+3*MIN(AV$3,$D$2-1)))))</f>
        <v/>
      </c>
      <c r="AW20" s="55">
        <f>IF(OR($C20="",$B$2="",$D$2=0),0,IF(AW$3&lt;0,0,N(INDEX('CURVA PREVISION'!$A$1:$KZ$3000,$C20,10+3*MIN(AW$3,$D$2-1)))))</f>
        <v/>
      </c>
      <c r="AX20" s="55">
        <f>IF(OR($C20="",$B$2="",$D$2=0),0,IF(AX$3&lt;0,0,N(INDEX('CURVA PREVISION'!$A$1:$KZ$3000,$C20,10+3*MIN(AX$3,$D$2-1)))))</f>
        <v/>
      </c>
      <c r="AY20" s="55">
        <f>IF(OR($C20="",$B$2="",$D$2=0),0,IF(AY$3&lt;0,0,N(INDEX('CURVA PREVISION'!$A$1:$KZ$3000,$C20,10+3*MIN(AY$3,$D$2-1)))))</f>
        <v/>
      </c>
      <c r="AZ20" s="55">
        <f>IF(OR($C20="",$B$2="",$D$2=0),0,IF(AZ$3&lt;0,0,N(INDEX('CURVA PREVISION'!$A$1:$KZ$3000,$C20,10+3*MIN(AZ$3,$D$2-1)))))</f>
        <v/>
      </c>
      <c r="BA20" s="55">
        <f>IF(OR($C20="",$B$2="",$D$2=0),0,IF(BA$3&lt;0,0,N(INDEX('CURVA PREVISION'!$A$1:$KZ$3000,$C20,10+3*MIN(BA$3,$D$2-1)))))</f>
        <v/>
      </c>
      <c r="BB20" s="55">
        <f>IF(OR($C20="",$B$2="",$D$2=0),0,IF(BB$3&lt;0,0,N(INDEX('CURVA PREVISION'!$A$1:$KZ$3000,$C20,10+3*MIN(BB$3,$D$2-1)))))</f>
        <v/>
      </c>
      <c r="BC20" s="55">
        <f>IF(OR($C20="",$B$2="",$D$2=0),0,IF(BC$3&lt;0,0,N(INDEX('CURVA PREVISION'!$A$1:$KZ$3000,$C20,10+3*MIN(BC$3,$D$2-1)))))</f>
        <v/>
      </c>
      <c r="BD20" s="55">
        <f>IF(OR($C20="",$B$2="",$D$2=0),0,IF(BD$3&lt;0,0,N(INDEX('CURVA PREVISION'!$A$1:$KZ$3000,$C20,10+3*MIN(BD$3,$D$2-1)))))</f>
        <v/>
      </c>
      <c r="BE20" s="55">
        <f>IF(OR($C20="",$B$2="",$D$2=0),0,IF(BE$3&lt;0,0,N(INDEX('CURVA PREVISION'!$A$1:$KZ$3000,$C20,10+3*MIN(BE$3,$D$2-1)))))</f>
        <v/>
      </c>
      <c r="BF20" s="55">
        <f>IF(OR($C20="",$B$2="",$D$2=0),0,IF(BF$3&lt;0,0,N(INDEX('CURVA PREVISION'!$A$1:$KZ$3000,$C20,10+3*MIN(BF$3,$D$2-1)))))</f>
        <v/>
      </c>
      <c r="BG20" s="55">
        <f>IF(OR($C20="",$B$2="",$D$2=0),0,IF(BG$3&lt;0,0,N(INDEX('CURVA PREVISION'!$A$1:$KZ$3000,$C20,10+3*MIN(BG$3,$D$2-1)))))</f>
        <v/>
      </c>
      <c r="BH20" s="55">
        <f>IF(OR($C20="",$B$2="",$D$2=0),0,IF(BH$3&lt;0,0,N(INDEX('CURVA PREVISION'!$A$1:$KZ$3000,$C20,10+3*MIN(BH$3,$D$2-1)))))</f>
        <v/>
      </c>
      <c r="BI20" s="55">
        <f>IF(OR($C20="",$B$2="",$D$2=0),0,IF(BI$3&lt;0,0,N(INDEX('CURVA PREVISION'!$A$1:$KZ$3000,$C20,10+3*MIN(BI$3,$D$2-1)))))</f>
        <v/>
      </c>
      <c r="BJ20" s="55">
        <f>IF(OR($C20="",$B$2="",$D$2=0),0,IF(BJ$3&lt;0,0,N(INDEX('CURVA PREVISION'!$A$1:$KZ$3000,$C20,10+3*MIN(BJ$3,$D$2-1)))))</f>
        <v/>
      </c>
      <c r="BK20" s="55">
        <f>IF(OR($C20="",$B$2="",$D$2=0),0,IF(BK$3&lt;0,0,N(INDEX('CURVA PREVISION'!$A$1:$KZ$3000,$C20,10+3*MIN(BK$3,$D$2-1)))))</f>
        <v/>
      </c>
      <c r="BL20" s="55">
        <f>IF(OR($C20="",$B$2="",$D$2=0),0,IF(BL$3&lt;0,0,N(INDEX('CURVA PREVISION'!$A$1:$KZ$3000,$C20,10+3*MIN(BL$3,$D$2-1)))))</f>
        <v/>
      </c>
      <c r="BM20" s="55">
        <f>IF(OR($C20="",$B$2="",$D$2=0),0,IF(BM$3&lt;0,0,N(INDEX('CURVA PREVISION'!$A$1:$KZ$3000,$C20,10+3*MIN(BM$3,$D$2-1)))))</f>
        <v/>
      </c>
      <c r="BN20" s="55">
        <f>IF(OR($C20="",$B$2="",$D$2=0),0,IF(BN$3&lt;0,0,N(INDEX('CURVA PREVISION'!$A$1:$KZ$3000,$C20,10+3*MIN(BN$3,$D$2-1)))))</f>
        <v/>
      </c>
      <c r="BO20" s="55">
        <f>IF(OR($C20="",$B$2="",$D$2=0),0,IF(BO$3&lt;0,0,N(INDEX('CURVA PREVISION'!$A$1:$KZ$3000,$C20,10+3*MIN(BO$3,$D$2-1)))))</f>
        <v/>
      </c>
      <c r="BP20" s="55">
        <f>IF(OR($C20="",$B$2="",$D$2=0),0,IF(BP$3&lt;0,0,N(INDEX('CURVA PREVISION'!$A$1:$KZ$3000,$C20,10+3*MIN(BP$3,$D$2-1)))))</f>
        <v/>
      </c>
      <c r="BQ20" s="55">
        <f>IF(OR($C20="",$B$2="",$D$2=0),0,IF(BQ$3&lt;0,0,N(INDEX('CURVA PREVISION'!$A$1:$KZ$3000,$C20,10+3*MIN(BQ$3,$D$2-1)))))</f>
        <v/>
      </c>
      <c r="BR20" s="55">
        <f>IF(OR($C20="",$B$2="",$D$2=0),0,IF(BR$3&lt;0,0,N(INDEX('CURVA PREVISION'!$A$1:$KZ$3000,$C20,10+3*MIN(BR$3,$D$2-1)))))</f>
        <v/>
      </c>
      <c r="BS20" s="55">
        <f>IF(OR($C20="",$B$2="",$D$2=0),0,IF(BS$3&lt;0,0,N(INDEX('CURVA PREVISION'!$A$1:$KZ$3000,$C20,10+3*MIN(BS$3,$D$2-1)))))</f>
        <v/>
      </c>
      <c r="BT20" s="55">
        <f>IF(OR($C20="",$B$2="",$D$2=0),0,IF(BT$3&lt;0,0,N(INDEX('CURVA PREVISION'!$A$1:$KZ$3000,$C20,10+3*MIN(BT$3,$D$2-1)))))</f>
        <v/>
      </c>
      <c r="BU20" s="55">
        <f>IF(OR($C20="",$B$2="",$D$2=0),0,IF(BU$3&lt;0,0,N(INDEX('CURVA PREVISION'!$A$1:$KZ$3000,$C20,10+3*MIN(BU$3,$D$2-1)))))</f>
        <v/>
      </c>
      <c r="BV20" s="55">
        <f>IF(OR($C20="",$B$2="",$D$2=0),0,IF(BV$3&lt;0,0,N(INDEX('CURVA PREVISION'!$A$1:$KZ$3000,$C20,10+3*MIN(BV$3,$D$2-1)))))</f>
        <v/>
      </c>
      <c r="BW20" s="55">
        <f>IF(OR($C20="",$B$2="",$D$2=0),0,IF(BW$3&lt;0,0,N(INDEX('CURVA PREVISION'!$A$1:$KZ$3000,$C20,10+3*MIN(BW$3,$D$2-1)))))</f>
        <v/>
      </c>
    </row>
    <row r="21">
      <c r="A21" s="34">
        <f>'VALOR POR PL'!C27</f>
        <v/>
      </c>
      <c r="B21" s="34">
        <f>'VALOR POR PL'!D27</f>
        <v/>
      </c>
      <c r="C21" s="28">
        <f>IFERROR(MATCH(A21,'CURVA PREVISION'!$B$1:$B$3000,0),"")</f>
        <v/>
      </c>
      <c r="D21" s="55">
        <f>IF(OR($C21="",$B$2="",$D$2=0),0,IF(D$3&lt;0,0,N(INDEX('CURVA PREVISION'!$A$1:$KZ$3000,$C21,10+3*MIN(D$3,$D$2-1)))))</f>
        <v/>
      </c>
      <c r="E21" s="55">
        <f>IF(OR($C21="",$B$2="",$D$2=0),0,IF(E$3&lt;0,0,N(INDEX('CURVA PREVISION'!$A$1:$KZ$3000,$C21,10+3*MIN(E$3,$D$2-1)))))</f>
        <v/>
      </c>
      <c r="F21" s="55">
        <f>IF(OR($C21="",$B$2="",$D$2=0),0,IF(F$3&lt;0,0,N(INDEX('CURVA PREVISION'!$A$1:$KZ$3000,$C21,10+3*MIN(F$3,$D$2-1)))))</f>
        <v/>
      </c>
      <c r="G21" s="55">
        <f>IF(OR($C21="",$B$2="",$D$2=0),0,IF(G$3&lt;0,0,N(INDEX('CURVA PREVISION'!$A$1:$KZ$3000,$C21,10+3*MIN(G$3,$D$2-1)))))</f>
        <v/>
      </c>
      <c r="H21" s="55">
        <f>IF(OR($C21="",$B$2="",$D$2=0),0,IF(H$3&lt;0,0,N(INDEX('CURVA PREVISION'!$A$1:$KZ$3000,$C21,10+3*MIN(H$3,$D$2-1)))))</f>
        <v/>
      </c>
      <c r="I21" s="55">
        <f>IF(OR($C21="",$B$2="",$D$2=0),0,IF(I$3&lt;0,0,N(INDEX('CURVA PREVISION'!$A$1:$KZ$3000,$C21,10+3*MIN(I$3,$D$2-1)))))</f>
        <v/>
      </c>
      <c r="J21" s="55">
        <f>IF(OR($C21="",$B$2="",$D$2=0),0,IF(J$3&lt;0,0,N(INDEX('CURVA PREVISION'!$A$1:$KZ$3000,$C21,10+3*MIN(J$3,$D$2-1)))))</f>
        <v/>
      </c>
      <c r="K21" s="55">
        <f>IF(OR($C21="",$B$2="",$D$2=0),0,IF(K$3&lt;0,0,N(INDEX('CURVA PREVISION'!$A$1:$KZ$3000,$C21,10+3*MIN(K$3,$D$2-1)))))</f>
        <v/>
      </c>
      <c r="L21" s="55">
        <f>IF(OR($C21="",$B$2="",$D$2=0),0,IF(L$3&lt;0,0,N(INDEX('CURVA PREVISION'!$A$1:$KZ$3000,$C21,10+3*MIN(L$3,$D$2-1)))))</f>
        <v/>
      </c>
      <c r="M21" s="55">
        <f>IF(OR($C21="",$B$2="",$D$2=0),0,IF(M$3&lt;0,0,N(INDEX('CURVA PREVISION'!$A$1:$KZ$3000,$C21,10+3*MIN(M$3,$D$2-1)))))</f>
        <v/>
      </c>
      <c r="N21" s="55">
        <f>IF(OR($C21="",$B$2="",$D$2=0),0,IF(N$3&lt;0,0,N(INDEX('CURVA PREVISION'!$A$1:$KZ$3000,$C21,10+3*MIN(N$3,$D$2-1)))))</f>
        <v/>
      </c>
      <c r="O21" s="55">
        <f>IF(OR($C21="",$B$2="",$D$2=0),0,IF(O$3&lt;0,0,N(INDEX('CURVA PREVISION'!$A$1:$KZ$3000,$C21,10+3*MIN(O$3,$D$2-1)))))</f>
        <v/>
      </c>
      <c r="P21" s="55">
        <f>IF(OR($C21="",$B$2="",$D$2=0),0,IF(P$3&lt;0,0,N(INDEX('CURVA PREVISION'!$A$1:$KZ$3000,$C21,10+3*MIN(P$3,$D$2-1)))))</f>
        <v/>
      </c>
      <c r="Q21" s="55">
        <f>IF(OR($C21="",$B$2="",$D$2=0),0,IF(Q$3&lt;0,0,N(INDEX('CURVA PREVISION'!$A$1:$KZ$3000,$C21,10+3*MIN(Q$3,$D$2-1)))))</f>
        <v/>
      </c>
      <c r="R21" s="55">
        <f>IF(OR($C21="",$B$2="",$D$2=0),0,IF(R$3&lt;0,0,N(INDEX('CURVA PREVISION'!$A$1:$KZ$3000,$C21,10+3*MIN(R$3,$D$2-1)))))</f>
        <v/>
      </c>
      <c r="S21" s="55">
        <f>IF(OR($C21="",$B$2="",$D$2=0),0,IF(S$3&lt;0,0,N(INDEX('CURVA PREVISION'!$A$1:$KZ$3000,$C21,10+3*MIN(S$3,$D$2-1)))))</f>
        <v/>
      </c>
      <c r="T21" s="55">
        <f>IF(OR($C21="",$B$2="",$D$2=0),0,IF(T$3&lt;0,0,N(INDEX('CURVA PREVISION'!$A$1:$KZ$3000,$C21,10+3*MIN(T$3,$D$2-1)))))</f>
        <v/>
      </c>
      <c r="U21" s="55">
        <f>IF(OR($C21="",$B$2="",$D$2=0),0,IF(U$3&lt;0,0,N(INDEX('CURVA PREVISION'!$A$1:$KZ$3000,$C21,10+3*MIN(U$3,$D$2-1)))))</f>
        <v/>
      </c>
      <c r="V21" s="55">
        <f>IF(OR($C21="",$B$2="",$D$2=0),0,IF(V$3&lt;0,0,N(INDEX('CURVA PREVISION'!$A$1:$KZ$3000,$C21,10+3*MIN(V$3,$D$2-1)))))</f>
        <v/>
      </c>
      <c r="W21" s="55">
        <f>IF(OR($C21="",$B$2="",$D$2=0),0,IF(W$3&lt;0,0,N(INDEX('CURVA PREVISION'!$A$1:$KZ$3000,$C21,10+3*MIN(W$3,$D$2-1)))))</f>
        <v/>
      </c>
      <c r="X21" s="55">
        <f>IF(OR($C21="",$B$2="",$D$2=0),0,IF(X$3&lt;0,0,N(INDEX('CURVA PREVISION'!$A$1:$KZ$3000,$C21,10+3*MIN(X$3,$D$2-1)))))</f>
        <v/>
      </c>
      <c r="Y21" s="55">
        <f>IF(OR($C21="",$B$2="",$D$2=0),0,IF(Y$3&lt;0,0,N(INDEX('CURVA PREVISION'!$A$1:$KZ$3000,$C21,10+3*MIN(Y$3,$D$2-1)))))</f>
        <v/>
      </c>
      <c r="Z21" s="55">
        <f>IF(OR($C21="",$B$2="",$D$2=0),0,IF(Z$3&lt;0,0,N(INDEX('CURVA PREVISION'!$A$1:$KZ$3000,$C21,10+3*MIN(Z$3,$D$2-1)))))</f>
        <v/>
      </c>
      <c r="AA21" s="55">
        <f>IF(OR($C21="",$B$2="",$D$2=0),0,IF(AA$3&lt;0,0,N(INDEX('CURVA PREVISION'!$A$1:$KZ$3000,$C21,10+3*MIN(AA$3,$D$2-1)))))</f>
        <v/>
      </c>
      <c r="AB21" s="55">
        <f>IF(OR($C21="",$B$2="",$D$2=0),0,IF(AB$3&lt;0,0,N(INDEX('CURVA PREVISION'!$A$1:$KZ$3000,$C21,10+3*MIN(AB$3,$D$2-1)))))</f>
        <v/>
      </c>
      <c r="AC21" s="55">
        <f>IF(OR($C21="",$B$2="",$D$2=0),0,IF(AC$3&lt;0,0,N(INDEX('CURVA PREVISION'!$A$1:$KZ$3000,$C21,10+3*MIN(AC$3,$D$2-1)))))</f>
        <v/>
      </c>
      <c r="AD21" s="55">
        <f>IF(OR($C21="",$B$2="",$D$2=0),0,IF(AD$3&lt;0,0,N(INDEX('CURVA PREVISION'!$A$1:$KZ$3000,$C21,10+3*MIN(AD$3,$D$2-1)))))</f>
        <v/>
      </c>
      <c r="AE21" s="55">
        <f>IF(OR($C21="",$B$2="",$D$2=0),0,IF(AE$3&lt;0,0,N(INDEX('CURVA PREVISION'!$A$1:$KZ$3000,$C21,10+3*MIN(AE$3,$D$2-1)))))</f>
        <v/>
      </c>
      <c r="AF21" s="55">
        <f>IF(OR($C21="",$B$2="",$D$2=0),0,IF(AF$3&lt;0,0,N(INDEX('CURVA PREVISION'!$A$1:$KZ$3000,$C21,10+3*MIN(AF$3,$D$2-1)))))</f>
        <v/>
      </c>
      <c r="AG21" s="55">
        <f>IF(OR($C21="",$B$2="",$D$2=0),0,IF(AG$3&lt;0,0,N(INDEX('CURVA PREVISION'!$A$1:$KZ$3000,$C21,10+3*MIN(AG$3,$D$2-1)))))</f>
        <v/>
      </c>
      <c r="AH21" s="55">
        <f>IF(OR($C21="",$B$2="",$D$2=0),0,IF(AH$3&lt;0,0,N(INDEX('CURVA PREVISION'!$A$1:$KZ$3000,$C21,10+3*MIN(AH$3,$D$2-1)))))</f>
        <v/>
      </c>
      <c r="AI21" s="55">
        <f>IF(OR($C21="",$B$2="",$D$2=0),0,IF(AI$3&lt;0,0,N(INDEX('CURVA PREVISION'!$A$1:$KZ$3000,$C21,10+3*MIN(AI$3,$D$2-1)))))</f>
        <v/>
      </c>
      <c r="AJ21" s="55">
        <f>IF(OR($C21="",$B$2="",$D$2=0),0,IF(AJ$3&lt;0,0,N(INDEX('CURVA PREVISION'!$A$1:$KZ$3000,$C21,10+3*MIN(AJ$3,$D$2-1)))))</f>
        <v/>
      </c>
      <c r="AK21" s="55">
        <f>IF(OR($C21="",$B$2="",$D$2=0),0,IF(AK$3&lt;0,0,N(INDEX('CURVA PREVISION'!$A$1:$KZ$3000,$C21,10+3*MIN(AK$3,$D$2-1)))))</f>
        <v/>
      </c>
      <c r="AL21" s="55">
        <f>IF(OR($C21="",$B$2="",$D$2=0),0,IF(AL$3&lt;0,0,N(INDEX('CURVA PREVISION'!$A$1:$KZ$3000,$C21,10+3*MIN(AL$3,$D$2-1)))))</f>
        <v/>
      </c>
      <c r="AM21" s="55">
        <f>IF(OR($C21="",$B$2="",$D$2=0),0,IF(AM$3&lt;0,0,N(INDEX('CURVA PREVISION'!$A$1:$KZ$3000,$C21,10+3*MIN(AM$3,$D$2-1)))))</f>
        <v/>
      </c>
      <c r="AN21" s="55">
        <f>IF(OR($C21="",$B$2="",$D$2=0),0,IF(AN$3&lt;0,0,N(INDEX('CURVA PREVISION'!$A$1:$KZ$3000,$C21,10+3*MIN(AN$3,$D$2-1)))))</f>
        <v/>
      </c>
      <c r="AO21" s="55">
        <f>IF(OR($C21="",$B$2="",$D$2=0),0,IF(AO$3&lt;0,0,N(INDEX('CURVA PREVISION'!$A$1:$KZ$3000,$C21,10+3*MIN(AO$3,$D$2-1)))))</f>
        <v/>
      </c>
      <c r="AP21" s="55">
        <f>IF(OR($C21="",$B$2="",$D$2=0),0,IF(AP$3&lt;0,0,N(INDEX('CURVA PREVISION'!$A$1:$KZ$3000,$C21,10+3*MIN(AP$3,$D$2-1)))))</f>
        <v/>
      </c>
      <c r="AQ21" s="55">
        <f>IF(OR($C21="",$B$2="",$D$2=0),0,IF(AQ$3&lt;0,0,N(INDEX('CURVA PREVISION'!$A$1:$KZ$3000,$C21,10+3*MIN(AQ$3,$D$2-1)))))</f>
        <v/>
      </c>
      <c r="AR21" s="55">
        <f>IF(OR($C21="",$B$2="",$D$2=0),0,IF(AR$3&lt;0,0,N(INDEX('CURVA PREVISION'!$A$1:$KZ$3000,$C21,10+3*MIN(AR$3,$D$2-1)))))</f>
        <v/>
      </c>
      <c r="AS21" s="55">
        <f>IF(OR($C21="",$B$2="",$D$2=0),0,IF(AS$3&lt;0,0,N(INDEX('CURVA PREVISION'!$A$1:$KZ$3000,$C21,10+3*MIN(AS$3,$D$2-1)))))</f>
        <v/>
      </c>
      <c r="AT21" s="55">
        <f>IF(OR($C21="",$B$2="",$D$2=0),0,IF(AT$3&lt;0,0,N(INDEX('CURVA PREVISION'!$A$1:$KZ$3000,$C21,10+3*MIN(AT$3,$D$2-1)))))</f>
        <v/>
      </c>
      <c r="AU21" s="55">
        <f>IF(OR($C21="",$B$2="",$D$2=0),0,IF(AU$3&lt;0,0,N(INDEX('CURVA PREVISION'!$A$1:$KZ$3000,$C21,10+3*MIN(AU$3,$D$2-1)))))</f>
        <v/>
      </c>
      <c r="AV21" s="55">
        <f>IF(OR($C21="",$B$2="",$D$2=0),0,IF(AV$3&lt;0,0,N(INDEX('CURVA PREVISION'!$A$1:$KZ$3000,$C21,10+3*MIN(AV$3,$D$2-1)))))</f>
        <v/>
      </c>
      <c r="AW21" s="55">
        <f>IF(OR($C21="",$B$2="",$D$2=0),0,IF(AW$3&lt;0,0,N(INDEX('CURVA PREVISION'!$A$1:$KZ$3000,$C21,10+3*MIN(AW$3,$D$2-1)))))</f>
        <v/>
      </c>
      <c r="AX21" s="55">
        <f>IF(OR($C21="",$B$2="",$D$2=0),0,IF(AX$3&lt;0,0,N(INDEX('CURVA PREVISION'!$A$1:$KZ$3000,$C21,10+3*MIN(AX$3,$D$2-1)))))</f>
        <v/>
      </c>
      <c r="AY21" s="55">
        <f>IF(OR($C21="",$B$2="",$D$2=0),0,IF(AY$3&lt;0,0,N(INDEX('CURVA PREVISION'!$A$1:$KZ$3000,$C21,10+3*MIN(AY$3,$D$2-1)))))</f>
        <v/>
      </c>
      <c r="AZ21" s="55">
        <f>IF(OR($C21="",$B$2="",$D$2=0),0,IF(AZ$3&lt;0,0,N(INDEX('CURVA PREVISION'!$A$1:$KZ$3000,$C21,10+3*MIN(AZ$3,$D$2-1)))))</f>
        <v/>
      </c>
      <c r="BA21" s="55">
        <f>IF(OR($C21="",$B$2="",$D$2=0),0,IF(BA$3&lt;0,0,N(INDEX('CURVA PREVISION'!$A$1:$KZ$3000,$C21,10+3*MIN(BA$3,$D$2-1)))))</f>
        <v/>
      </c>
      <c r="BB21" s="55">
        <f>IF(OR($C21="",$B$2="",$D$2=0),0,IF(BB$3&lt;0,0,N(INDEX('CURVA PREVISION'!$A$1:$KZ$3000,$C21,10+3*MIN(BB$3,$D$2-1)))))</f>
        <v/>
      </c>
      <c r="BC21" s="55">
        <f>IF(OR($C21="",$B$2="",$D$2=0),0,IF(BC$3&lt;0,0,N(INDEX('CURVA PREVISION'!$A$1:$KZ$3000,$C21,10+3*MIN(BC$3,$D$2-1)))))</f>
        <v/>
      </c>
      <c r="BD21" s="55">
        <f>IF(OR($C21="",$B$2="",$D$2=0),0,IF(BD$3&lt;0,0,N(INDEX('CURVA PREVISION'!$A$1:$KZ$3000,$C21,10+3*MIN(BD$3,$D$2-1)))))</f>
        <v/>
      </c>
      <c r="BE21" s="55">
        <f>IF(OR($C21="",$B$2="",$D$2=0),0,IF(BE$3&lt;0,0,N(INDEX('CURVA PREVISION'!$A$1:$KZ$3000,$C21,10+3*MIN(BE$3,$D$2-1)))))</f>
        <v/>
      </c>
      <c r="BF21" s="55">
        <f>IF(OR($C21="",$B$2="",$D$2=0),0,IF(BF$3&lt;0,0,N(INDEX('CURVA PREVISION'!$A$1:$KZ$3000,$C21,10+3*MIN(BF$3,$D$2-1)))))</f>
        <v/>
      </c>
      <c r="BG21" s="55">
        <f>IF(OR($C21="",$B$2="",$D$2=0),0,IF(BG$3&lt;0,0,N(INDEX('CURVA PREVISION'!$A$1:$KZ$3000,$C21,10+3*MIN(BG$3,$D$2-1)))))</f>
        <v/>
      </c>
      <c r="BH21" s="55">
        <f>IF(OR($C21="",$B$2="",$D$2=0),0,IF(BH$3&lt;0,0,N(INDEX('CURVA PREVISION'!$A$1:$KZ$3000,$C21,10+3*MIN(BH$3,$D$2-1)))))</f>
        <v/>
      </c>
      <c r="BI21" s="55">
        <f>IF(OR($C21="",$B$2="",$D$2=0),0,IF(BI$3&lt;0,0,N(INDEX('CURVA PREVISION'!$A$1:$KZ$3000,$C21,10+3*MIN(BI$3,$D$2-1)))))</f>
        <v/>
      </c>
      <c r="BJ21" s="55">
        <f>IF(OR($C21="",$B$2="",$D$2=0),0,IF(BJ$3&lt;0,0,N(INDEX('CURVA PREVISION'!$A$1:$KZ$3000,$C21,10+3*MIN(BJ$3,$D$2-1)))))</f>
        <v/>
      </c>
      <c r="BK21" s="55">
        <f>IF(OR($C21="",$B$2="",$D$2=0),0,IF(BK$3&lt;0,0,N(INDEX('CURVA PREVISION'!$A$1:$KZ$3000,$C21,10+3*MIN(BK$3,$D$2-1)))))</f>
        <v/>
      </c>
      <c r="BL21" s="55">
        <f>IF(OR($C21="",$B$2="",$D$2=0),0,IF(BL$3&lt;0,0,N(INDEX('CURVA PREVISION'!$A$1:$KZ$3000,$C21,10+3*MIN(BL$3,$D$2-1)))))</f>
        <v/>
      </c>
      <c r="BM21" s="55">
        <f>IF(OR($C21="",$B$2="",$D$2=0),0,IF(BM$3&lt;0,0,N(INDEX('CURVA PREVISION'!$A$1:$KZ$3000,$C21,10+3*MIN(BM$3,$D$2-1)))))</f>
        <v/>
      </c>
      <c r="BN21" s="55">
        <f>IF(OR($C21="",$B$2="",$D$2=0),0,IF(BN$3&lt;0,0,N(INDEX('CURVA PREVISION'!$A$1:$KZ$3000,$C21,10+3*MIN(BN$3,$D$2-1)))))</f>
        <v/>
      </c>
      <c r="BO21" s="55">
        <f>IF(OR($C21="",$B$2="",$D$2=0),0,IF(BO$3&lt;0,0,N(INDEX('CURVA PREVISION'!$A$1:$KZ$3000,$C21,10+3*MIN(BO$3,$D$2-1)))))</f>
        <v/>
      </c>
      <c r="BP21" s="55">
        <f>IF(OR($C21="",$B$2="",$D$2=0),0,IF(BP$3&lt;0,0,N(INDEX('CURVA PREVISION'!$A$1:$KZ$3000,$C21,10+3*MIN(BP$3,$D$2-1)))))</f>
        <v/>
      </c>
      <c r="BQ21" s="55">
        <f>IF(OR($C21="",$B$2="",$D$2=0),0,IF(BQ$3&lt;0,0,N(INDEX('CURVA PREVISION'!$A$1:$KZ$3000,$C21,10+3*MIN(BQ$3,$D$2-1)))))</f>
        <v/>
      </c>
      <c r="BR21" s="55">
        <f>IF(OR($C21="",$B$2="",$D$2=0),0,IF(BR$3&lt;0,0,N(INDEX('CURVA PREVISION'!$A$1:$KZ$3000,$C21,10+3*MIN(BR$3,$D$2-1)))))</f>
        <v/>
      </c>
      <c r="BS21" s="55">
        <f>IF(OR($C21="",$B$2="",$D$2=0),0,IF(BS$3&lt;0,0,N(INDEX('CURVA PREVISION'!$A$1:$KZ$3000,$C21,10+3*MIN(BS$3,$D$2-1)))))</f>
        <v/>
      </c>
      <c r="BT21" s="55">
        <f>IF(OR($C21="",$B$2="",$D$2=0),0,IF(BT$3&lt;0,0,N(INDEX('CURVA PREVISION'!$A$1:$KZ$3000,$C21,10+3*MIN(BT$3,$D$2-1)))))</f>
        <v/>
      </c>
      <c r="BU21" s="55">
        <f>IF(OR($C21="",$B$2="",$D$2=0),0,IF(BU$3&lt;0,0,N(INDEX('CURVA PREVISION'!$A$1:$KZ$3000,$C21,10+3*MIN(BU$3,$D$2-1)))))</f>
        <v/>
      </c>
      <c r="BV21" s="55">
        <f>IF(OR($C21="",$B$2="",$D$2=0),0,IF(BV$3&lt;0,0,N(INDEX('CURVA PREVISION'!$A$1:$KZ$3000,$C21,10+3*MIN(BV$3,$D$2-1)))))</f>
        <v/>
      </c>
      <c r="BW21" s="55">
        <f>IF(OR($C21="",$B$2="",$D$2=0),0,IF(BW$3&lt;0,0,N(INDEX('CURVA PREVISION'!$A$1:$KZ$3000,$C21,10+3*MIN(BW$3,$D$2-1)))))</f>
        <v/>
      </c>
    </row>
    <row r="22">
      <c r="A22" s="34">
        <f>'VALOR POR PL'!C28</f>
        <v/>
      </c>
      <c r="B22" s="34">
        <f>'VALOR POR PL'!D28</f>
        <v/>
      </c>
      <c r="C22" s="28">
        <f>IFERROR(MATCH(A22,'CURVA PREVISION'!$B$1:$B$3000,0),"")</f>
        <v/>
      </c>
      <c r="D22" s="55">
        <f>IF(OR($C22="",$B$2="",$D$2=0),0,IF(D$3&lt;0,0,N(INDEX('CURVA PREVISION'!$A$1:$KZ$3000,$C22,10+3*MIN(D$3,$D$2-1)))))</f>
        <v/>
      </c>
      <c r="E22" s="55">
        <f>IF(OR($C22="",$B$2="",$D$2=0),0,IF(E$3&lt;0,0,N(INDEX('CURVA PREVISION'!$A$1:$KZ$3000,$C22,10+3*MIN(E$3,$D$2-1)))))</f>
        <v/>
      </c>
      <c r="F22" s="55">
        <f>IF(OR($C22="",$B$2="",$D$2=0),0,IF(F$3&lt;0,0,N(INDEX('CURVA PREVISION'!$A$1:$KZ$3000,$C22,10+3*MIN(F$3,$D$2-1)))))</f>
        <v/>
      </c>
      <c r="G22" s="55">
        <f>IF(OR($C22="",$B$2="",$D$2=0),0,IF(G$3&lt;0,0,N(INDEX('CURVA PREVISION'!$A$1:$KZ$3000,$C22,10+3*MIN(G$3,$D$2-1)))))</f>
        <v/>
      </c>
      <c r="H22" s="55">
        <f>IF(OR($C22="",$B$2="",$D$2=0),0,IF(H$3&lt;0,0,N(INDEX('CURVA PREVISION'!$A$1:$KZ$3000,$C22,10+3*MIN(H$3,$D$2-1)))))</f>
        <v/>
      </c>
      <c r="I22" s="55">
        <f>IF(OR($C22="",$B$2="",$D$2=0),0,IF(I$3&lt;0,0,N(INDEX('CURVA PREVISION'!$A$1:$KZ$3000,$C22,10+3*MIN(I$3,$D$2-1)))))</f>
        <v/>
      </c>
      <c r="J22" s="55">
        <f>IF(OR($C22="",$B$2="",$D$2=0),0,IF(J$3&lt;0,0,N(INDEX('CURVA PREVISION'!$A$1:$KZ$3000,$C22,10+3*MIN(J$3,$D$2-1)))))</f>
        <v/>
      </c>
      <c r="K22" s="55">
        <f>IF(OR($C22="",$B$2="",$D$2=0),0,IF(K$3&lt;0,0,N(INDEX('CURVA PREVISION'!$A$1:$KZ$3000,$C22,10+3*MIN(K$3,$D$2-1)))))</f>
        <v/>
      </c>
      <c r="L22" s="55">
        <f>IF(OR($C22="",$B$2="",$D$2=0),0,IF(L$3&lt;0,0,N(INDEX('CURVA PREVISION'!$A$1:$KZ$3000,$C22,10+3*MIN(L$3,$D$2-1)))))</f>
        <v/>
      </c>
      <c r="M22" s="55">
        <f>IF(OR($C22="",$B$2="",$D$2=0),0,IF(M$3&lt;0,0,N(INDEX('CURVA PREVISION'!$A$1:$KZ$3000,$C22,10+3*MIN(M$3,$D$2-1)))))</f>
        <v/>
      </c>
      <c r="N22" s="55">
        <f>IF(OR($C22="",$B$2="",$D$2=0),0,IF(N$3&lt;0,0,N(INDEX('CURVA PREVISION'!$A$1:$KZ$3000,$C22,10+3*MIN(N$3,$D$2-1)))))</f>
        <v/>
      </c>
      <c r="O22" s="55">
        <f>IF(OR($C22="",$B$2="",$D$2=0),0,IF(O$3&lt;0,0,N(INDEX('CURVA PREVISION'!$A$1:$KZ$3000,$C22,10+3*MIN(O$3,$D$2-1)))))</f>
        <v/>
      </c>
      <c r="P22" s="55">
        <f>IF(OR($C22="",$B$2="",$D$2=0),0,IF(P$3&lt;0,0,N(INDEX('CURVA PREVISION'!$A$1:$KZ$3000,$C22,10+3*MIN(P$3,$D$2-1)))))</f>
        <v/>
      </c>
      <c r="Q22" s="55">
        <f>IF(OR($C22="",$B$2="",$D$2=0),0,IF(Q$3&lt;0,0,N(INDEX('CURVA PREVISION'!$A$1:$KZ$3000,$C22,10+3*MIN(Q$3,$D$2-1)))))</f>
        <v/>
      </c>
      <c r="R22" s="55">
        <f>IF(OR($C22="",$B$2="",$D$2=0),0,IF(R$3&lt;0,0,N(INDEX('CURVA PREVISION'!$A$1:$KZ$3000,$C22,10+3*MIN(R$3,$D$2-1)))))</f>
        <v/>
      </c>
      <c r="S22" s="55">
        <f>IF(OR($C22="",$B$2="",$D$2=0),0,IF(S$3&lt;0,0,N(INDEX('CURVA PREVISION'!$A$1:$KZ$3000,$C22,10+3*MIN(S$3,$D$2-1)))))</f>
        <v/>
      </c>
      <c r="T22" s="55">
        <f>IF(OR($C22="",$B$2="",$D$2=0),0,IF(T$3&lt;0,0,N(INDEX('CURVA PREVISION'!$A$1:$KZ$3000,$C22,10+3*MIN(T$3,$D$2-1)))))</f>
        <v/>
      </c>
      <c r="U22" s="55">
        <f>IF(OR($C22="",$B$2="",$D$2=0),0,IF(U$3&lt;0,0,N(INDEX('CURVA PREVISION'!$A$1:$KZ$3000,$C22,10+3*MIN(U$3,$D$2-1)))))</f>
        <v/>
      </c>
      <c r="V22" s="55">
        <f>IF(OR($C22="",$B$2="",$D$2=0),0,IF(V$3&lt;0,0,N(INDEX('CURVA PREVISION'!$A$1:$KZ$3000,$C22,10+3*MIN(V$3,$D$2-1)))))</f>
        <v/>
      </c>
      <c r="W22" s="55">
        <f>IF(OR($C22="",$B$2="",$D$2=0),0,IF(W$3&lt;0,0,N(INDEX('CURVA PREVISION'!$A$1:$KZ$3000,$C22,10+3*MIN(W$3,$D$2-1)))))</f>
        <v/>
      </c>
      <c r="X22" s="55">
        <f>IF(OR($C22="",$B$2="",$D$2=0),0,IF(X$3&lt;0,0,N(INDEX('CURVA PREVISION'!$A$1:$KZ$3000,$C22,10+3*MIN(X$3,$D$2-1)))))</f>
        <v/>
      </c>
      <c r="Y22" s="55">
        <f>IF(OR($C22="",$B$2="",$D$2=0),0,IF(Y$3&lt;0,0,N(INDEX('CURVA PREVISION'!$A$1:$KZ$3000,$C22,10+3*MIN(Y$3,$D$2-1)))))</f>
        <v/>
      </c>
      <c r="Z22" s="55">
        <f>IF(OR($C22="",$B$2="",$D$2=0),0,IF(Z$3&lt;0,0,N(INDEX('CURVA PREVISION'!$A$1:$KZ$3000,$C22,10+3*MIN(Z$3,$D$2-1)))))</f>
        <v/>
      </c>
      <c r="AA22" s="55">
        <f>IF(OR($C22="",$B$2="",$D$2=0),0,IF(AA$3&lt;0,0,N(INDEX('CURVA PREVISION'!$A$1:$KZ$3000,$C22,10+3*MIN(AA$3,$D$2-1)))))</f>
        <v/>
      </c>
      <c r="AB22" s="55">
        <f>IF(OR($C22="",$B$2="",$D$2=0),0,IF(AB$3&lt;0,0,N(INDEX('CURVA PREVISION'!$A$1:$KZ$3000,$C22,10+3*MIN(AB$3,$D$2-1)))))</f>
        <v/>
      </c>
      <c r="AC22" s="55">
        <f>IF(OR($C22="",$B$2="",$D$2=0),0,IF(AC$3&lt;0,0,N(INDEX('CURVA PREVISION'!$A$1:$KZ$3000,$C22,10+3*MIN(AC$3,$D$2-1)))))</f>
        <v/>
      </c>
      <c r="AD22" s="55">
        <f>IF(OR($C22="",$B$2="",$D$2=0),0,IF(AD$3&lt;0,0,N(INDEX('CURVA PREVISION'!$A$1:$KZ$3000,$C22,10+3*MIN(AD$3,$D$2-1)))))</f>
        <v/>
      </c>
      <c r="AE22" s="55">
        <f>IF(OR($C22="",$B$2="",$D$2=0),0,IF(AE$3&lt;0,0,N(INDEX('CURVA PREVISION'!$A$1:$KZ$3000,$C22,10+3*MIN(AE$3,$D$2-1)))))</f>
        <v/>
      </c>
      <c r="AF22" s="55">
        <f>IF(OR($C22="",$B$2="",$D$2=0),0,IF(AF$3&lt;0,0,N(INDEX('CURVA PREVISION'!$A$1:$KZ$3000,$C22,10+3*MIN(AF$3,$D$2-1)))))</f>
        <v/>
      </c>
      <c r="AG22" s="55">
        <f>IF(OR($C22="",$B$2="",$D$2=0),0,IF(AG$3&lt;0,0,N(INDEX('CURVA PREVISION'!$A$1:$KZ$3000,$C22,10+3*MIN(AG$3,$D$2-1)))))</f>
        <v/>
      </c>
      <c r="AH22" s="55">
        <f>IF(OR($C22="",$B$2="",$D$2=0),0,IF(AH$3&lt;0,0,N(INDEX('CURVA PREVISION'!$A$1:$KZ$3000,$C22,10+3*MIN(AH$3,$D$2-1)))))</f>
        <v/>
      </c>
      <c r="AI22" s="55">
        <f>IF(OR($C22="",$B$2="",$D$2=0),0,IF(AI$3&lt;0,0,N(INDEX('CURVA PREVISION'!$A$1:$KZ$3000,$C22,10+3*MIN(AI$3,$D$2-1)))))</f>
        <v/>
      </c>
      <c r="AJ22" s="55">
        <f>IF(OR($C22="",$B$2="",$D$2=0),0,IF(AJ$3&lt;0,0,N(INDEX('CURVA PREVISION'!$A$1:$KZ$3000,$C22,10+3*MIN(AJ$3,$D$2-1)))))</f>
        <v/>
      </c>
      <c r="AK22" s="55">
        <f>IF(OR($C22="",$B$2="",$D$2=0),0,IF(AK$3&lt;0,0,N(INDEX('CURVA PREVISION'!$A$1:$KZ$3000,$C22,10+3*MIN(AK$3,$D$2-1)))))</f>
        <v/>
      </c>
      <c r="AL22" s="55">
        <f>IF(OR($C22="",$B$2="",$D$2=0),0,IF(AL$3&lt;0,0,N(INDEX('CURVA PREVISION'!$A$1:$KZ$3000,$C22,10+3*MIN(AL$3,$D$2-1)))))</f>
        <v/>
      </c>
      <c r="AM22" s="55">
        <f>IF(OR($C22="",$B$2="",$D$2=0),0,IF(AM$3&lt;0,0,N(INDEX('CURVA PREVISION'!$A$1:$KZ$3000,$C22,10+3*MIN(AM$3,$D$2-1)))))</f>
        <v/>
      </c>
      <c r="AN22" s="55">
        <f>IF(OR($C22="",$B$2="",$D$2=0),0,IF(AN$3&lt;0,0,N(INDEX('CURVA PREVISION'!$A$1:$KZ$3000,$C22,10+3*MIN(AN$3,$D$2-1)))))</f>
        <v/>
      </c>
      <c r="AO22" s="55">
        <f>IF(OR($C22="",$B$2="",$D$2=0),0,IF(AO$3&lt;0,0,N(INDEX('CURVA PREVISION'!$A$1:$KZ$3000,$C22,10+3*MIN(AO$3,$D$2-1)))))</f>
        <v/>
      </c>
      <c r="AP22" s="55">
        <f>IF(OR($C22="",$B$2="",$D$2=0),0,IF(AP$3&lt;0,0,N(INDEX('CURVA PREVISION'!$A$1:$KZ$3000,$C22,10+3*MIN(AP$3,$D$2-1)))))</f>
        <v/>
      </c>
      <c r="AQ22" s="55">
        <f>IF(OR($C22="",$B$2="",$D$2=0),0,IF(AQ$3&lt;0,0,N(INDEX('CURVA PREVISION'!$A$1:$KZ$3000,$C22,10+3*MIN(AQ$3,$D$2-1)))))</f>
        <v/>
      </c>
      <c r="AR22" s="55">
        <f>IF(OR($C22="",$B$2="",$D$2=0),0,IF(AR$3&lt;0,0,N(INDEX('CURVA PREVISION'!$A$1:$KZ$3000,$C22,10+3*MIN(AR$3,$D$2-1)))))</f>
        <v/>
      </c>
      <c r="AS22" s="55">
        <f>IF(OR($C22="",$B$2="",$D$2=0),0,IF(AS$3&lt;0,0,N(INDEX('CURVA PREVISION'!$A$1:$KZ$3000,$C22,10+3*MIN(AS$3,$D$2-1)))))</f>
        <v/>
      </c>
      <c r="AT22" s="55">
        <f>IF(OR($C22="",$B$2="",$D$2=0),0,IF(AT$3&lt;0,0,N(INDEX('CURVA PREVISION'!$A$1:$KZ$3000,$C22,10+3*MIN(AT$3,$D$2-1)))))</f>
        <v/>
      </c>
      <c r="AU22" s="55">
        <f>IF(OR($C22="",$B$2="",$D$2=0),0,IF(AU$3&lt;0,0,N(INDEX('CURVA PREVISION'!$A$1:$KZ$3000,$C22,10+3*MIN(AU$3,$D$2-1)))))</f>
        <v/>
      </c>
      <c r="AV22" s="55">
        <f>IF(OR($C22="",$B$2="",$D$2=0),0,IF(AV$3&lt;0,0,N(INDEX('CURVA PREVISION'!$A$1:$KZ$3000,$C22,10+3*MIN(AV$3,$D$2-1)))))</f>
        <v/>
      </c>
      <c r="AW22" s="55">
        <f>IF(OR($C22="",$B$2="",$D$2=0),0,IF(AW$3&lt;0,0,N(INDEX('CURVA PREVISION'!$A$1:$KZ$3000,$C22,10+3*MIN(AW$3,$D$2-1)))))</f>
        <v/>
      </c>
      <c r="AX22" s="55">
        <f>IF(OR($C22="",$B$2="",$D$2=0),0,IF(AX$3&lt;0,0,N(INDEX('CURVA PREVISION'!$A$1:$KZ$3000,$C22,10+3*MIN(AX$3,$D$2-1)))))</f>
        <v/>
      </c>
      <c r="AY22" s="55">
        <f>IF(OR($C22="",$B$2="",$D$2=0),0,IF(AY$3&lt;0,0,N(INDEX('CURVA PREVISION'!$A$1:$KZ$3000,$C22,10+3*MIN(AY$3,$D$2-1)))))</f>
        <v/>
      </c>
      <c r="AZ22" s="55">
        <f>IF(OR($C22="",$B$2="",$D$2=0),0,IF(AZ$3&lt;0,0,N(INDEX('CURVA PREVISION'!$A$1:$KZ$3000,$C22,10+3*MIN(AZ$3,$D$2-1)))))</f>
        <v/>
      </c>
      <c r="BA22" s="55">
        <f>IF(OR($C22="",$B$2="",$D$2=0),0,IF(BA$3&lt;0,0,N(INDEX('CURVA PREVISION'!$A$1:$KZ$3000,$C22,10+3*MIN(BA$3,$D$2-1)))))</f>
        <v/>
      </c>
      <c r="BB22" s="55">
        <f>IF(OR($C22="",$B$2="",$D$2=0),0,IF(BB$3&lt;0,0,N(INDEX('CURVA PREVISION'!$A$1:$KZ$3000,$C22,10+3*MIN(BB$3,$D$2-1)))))</f>
        <v/>
      </c>
      <c r="BC22" s="55">
        <f>IF(OR($C22="",$B$2="",$D$2=0),0,IF(BC$3&lt;0,0,N(INDEX('CURVA PREVISION'!$A$1:$KZ$3000,$C22,10+3*MIN(BC$3,$D$2-1)))))</f>
        <v/>
      </c>
      <c r="BD22" s="55">
        <f>IF(OR($C22="",$B$2="",$D$2=0),0,IF(BD$3&lt;0,0,N(INDEX('CURVA PREVISION'!$A$1:$KZ$3000,$C22,10+3*MIN(BD$3,$D$2-1)))))</f>
        <v/>
      </c>
      <c r="BE22" s="55">
        <f>IF(OR($C22="",$B$2="",$D$2=0),0,IF(BE$3&lt;0,0,N(INDEX('CURVA PREVISION'!$A$1:$KZ$3000,$C22,10+3*MIN(BE$3,$D$2-1)))))</f>
        <v/>
      </c>
      <c r="BF22" s="55">
        <f>IF(OR($C22="",$B$2="",$D$2=0),0,IF(BF$3&lt;0,0,N(INDEX('CURVA PREVISION'!$A$1:$KZ$3000,$C22,10+3*MIN(BF$3,$D$2-1)))))</f>
        <v/>
      </c>
      <c r="BG22" s="55">
        <f>IF(OR($C22="",$B$2="",$D$2=0),0,IF(BG$3&lt;0,0,N(INDEX('CURVA PREVISION'!$A$1:$KZ$3000,$C22,10+3*MIN(BG$3,$D$2-1)))))</f>
        <v/>
      </c>
      <c r="BH22" s="55">
        <f>IF(OR($C22="",$B$2="",$D$2=0),0,IF(BH$3&lt;0,0,N(INDEX('CURVA PREVISION'!$A$1:$KZ$3000,$C22,10+3*MIN(BH$3,$D$2-1)))))</f>
        <v/>
      </c>
      <c r="BI22" s="55">
        <f>IF(OR($C22="",$B$2="",$D$2=0),0,IF(BI$3&lt;0,0,N(INDEX('CURVA PREVISION'!$A$1:$KZ$3000,$C22,10+3*MIN(BI$3,$D$2-1)))))</f>
        <v/>
      </c>
      <c r="BJ22" s="55">
        <f>IF(OR($C22="",$B$2="",$D$2=0),0,IF(BJ$3&lt;0,0,N(INDEX('CURVA PREVISION'!$A$1:$KZ$3000,$C22,10+3*MIN(BJ$3,$D$2-1)))))</f>
        <v/>
      </c>
      <c r="BK22" s="55">
        <f>IF(OR($C22="",$B$2="",$D$2=0),0,IF(BK$3&lt;0,0,N(INDEX('CURVA PREVISION'!$A$1:$KZ$3000,$C22,10+3*MIN(BK$3,$D$2-1)))))</f>
        <v/>
      </c>
      <c r="BL22" s="55">
        <f>IF(OR($C22="",$B$2="",$D$2=0),0,IF(BL$3&lt;0,0,N(INDEX('CURVA PREVISION'!$A$1:$KZ$3000,$C22,10+3*MIN(BL$3,$D$2-1)))))</f>
        <v/>
      </c>
      <c r="BM22" s="55">
        <f>IF(OR($C22="",$B$2="",$D$2=0),0,IF(BM$3&lt;0,0,N(INDEX('CURVA PREVISION'!$A$1:$KZ$3000,$C22,10+3*MIN(BM$3,$D$2-1)))))</f>
        <v/>
      </c>
      <c r="BN22" s="55">
        <f>IF(OR($C22="",$B$2="",$D$2=0),0,IF(BN$3&lt;0,0,N(INDEX('CURVA PREVISION'!$A$1:$KZ$3000,$C22,10+3*MIN(BN$3,$D$2-1)))))</f>
        <v/>
      </c>
      <c r="BO22" s="55">
        <f>IF(OR($C22="",$B$2="",$D$2=0),0,IF(BO$3&lt;0,0,N(INDEX('CURVA PREVISION'!$A$1:$KZ$3000,$C22,10+3*MIN(BO$3,$D$2-1)))))</f>
        <v/>
      </c>
      <c r="BP22" s="55">
        <f>IF(OR($C22="",$B$2="",$D$2=0),0,IF(BP$3&lt;0,0,N(INDEX('CURVA PREVISION'!$A$1:$KZ$3000,$C22,10+3*MIN(BP$3,$D$2-1)))))</f>
        <v/>
      </c>
      <c r="BQ22" s="55">
        <f>IF(OR($C22="",$B$2="",$D$2=0),0,IF(BQ$3&lt;0,0,N(INDEX('CURVA PREVISION'!$A$1:$KZ$3000,$C22,10+3*MIN(BQ$3,$D$2-1)))))</f>
        <v/>
      </c>
      <c r="BR22" s="55">
        <f>IF(OR($C22="",$B$2="",$D$2=0),0,IF(BR$3&lt;0,0,N(INDEX('CURVA PREVISION'!$A$1:$KZ$3000,$C22,10+3*MIN(BR$3,$D$2-1)))))</f>
        <v/>
      </c>
      <c r="BS22" s="55">
        <f>IF(OR($C22="",$B$2="",$D$2=0),0,IF(BS$3&lt;0,0,N(INDEX('CURVA PREVISION'!$A$1:$KZ$3000,$C22,10+3*MIN(BS$3,$D$2-1)))))</f>
        <v/>
      </c>
      <c r="BT22" s="55">
        <f>IF(OR($C22="",$B$2="",$D$2=0),0,IF(BT$3&lt;0,0,N(INDEX('CURVA PREVISION'!$A$1:$KZ$3000,$C22,10+3*MIN(BT$3,$D$2-1)))))</f>
        <v/>
      </c>
      <c r="BU22" s="55">
        <f>IF(OR($C22="",$B$2="",$D$2=0),0,IF(BU$3&lt;0,0,N(INDEX('CURVA PREVISION'!$A$1:$KZ$3000,$C22,10+3*MIN(BU$3,$D$2-1)))))</f>
        <v/>
      </c>
      <c r="BV22" s="55">
        <f>IF(OR($C22="",$B$2="",$D$2=0),0,IF(BV$3&lt;0,0,N(INDEX('CURVA PREVISION'!$A$1:$KZ$3000,$C22,10+3*MIN(BV$3,$D$2-1)))))</f>
        <v/>
      </c>
      <c r="BW22" s="55">
        <f>IF(OR($C22="",$B$2="",$D$2=0),0,IF(BW$3&lt;0,0,N(INDEX('CURVA PREVISION'!$A$1:$KZ$3000,$C22,10+3*MIN(BW$3,$D$2-1)))))</f>
        <v/>
      </c>
    </row>
    <row r="23">
      <c r="A23" s="34">
        <f>'VALOR POR PL'!C29</f>
        <v/>
      </c>
      <c r="B23" s="34">
        <f>'VALOR POR PL'!D29</f>
        <v/>
      </c>
      <c r="C23" s="28">
        <f>IFERROR(MATCH(A23,'CURVA PREVISION'!$B$1:$B$3000,0),"")</f>
        <v/>
      </c>
      <c r="D23" s="55">
        <f>IF(OR($C23="",$B$2="",$D$2=0),0,IF(D$3&lt;0,0,N(INDEX('CURVA PREVISION'!$A$1:$KZ$3000,$C23,10+3*MIN(D$3,$D$2-1)))))</f>
        <v/>
      </c>
      <c r="E23" s="55">
        <f>IF(OR($C23="",$B$2="",$D$2=0),0,IF(E$3&lt;0,0,N(INDEX('CURVA PREVISION'!$A$1:$KZ$3000,$C23,10+3*MIN(E$3,$D$2-1)))))</f>
        <v/>
      </c>
      <c r="F23" s="55">
        <f>IF(OR($C23="",$B$2="",$D$2=0),0,IF(F$3&lt;0,0,N(INDEX('CURVA PREVISION'!$A$1:$KZ$3000,$C23,10+3*MIN(F$3,$D$2-1)))))</f>
        <v/>
      </c>
      <c r="G23" s="55">
        <f>IF(OR($C23="",$B$2="",$D$2=0),0,IF(G$3&lt;0,0,N(INDEX('CURVA PREVISION'!$A$1:$KZ$3000,$C23,10+3*MIN(G$3,$D$2-1)))))</f>
        <v/>
      </c>
      <c r="H23" s="55">
        <f>IF(OR($C23="",$B$2="",$D$2=0),0,IF(H$3&lt;0,0,N(INDEX('CURVA PREVISION'!$A$1:$KZ$3000,$C23,10+3*MIN(H$3,$D$2-1)))))</f>
        <v/>
      </c>
      <c r="I23" s="55">
        <f>IF(OR($C23="",$B$2="",$D$2=0),0,IF(I$3&lt;0,0,N(INDEX('CURVA PREVISION'!$A$1:$KZ$3000,$C23,10+3*MIN(I$3,$D$2-1)))))</f>
        <v/>
      </c>
      <c r="J23" s="55">
        <f>IF(OR($C23="",$B$2="",$D$2=0),0,IF(J$3&lt;0,0,N(INDEX('CURVA PREVISION'!$A$1:$KZ$3000,$C23,10+3*MIN(J$3,$D$2-1)))))</f>
        <v/>
      </c>
      <c r="K23" s="55">
        <f>IF(OR($C23="",$B$2="",$D$2=0),0,IF(K$3&lt;0,0,N(INDEX('CURVA PREVISION'!$A$1:$KZ$3000,$C23,10+3*MIN(K$3,$D$2-1)))))</f>
        <v/>
      </c>
      <c r="L23" s="55">
        <f>IF(OR($C23="",$B$2="",$D$2=0),0,IF(L$3&lt;0,0,N(INDEX('CURVA PREVISION'!$A$1:$KZ$3000,$C23,10+3*MIN(L$3,$D$2-1)))))</f>
        <v/>
      </c>
      <c r="M23" s="55">
        <f>IF(OR($C23="",$B$2="",$D$2=0),0,IF(M$3&lt;0,0,N(INDEX('CURVA PREVISION'!$A$1:$KZ$3000,$C23,10+3*MIN(M$3,$D$2-1)))))</f>
        <v/>
      </c>
      <c r="N23" s="55">
        <f>IF(OR($C23="",$B$2="",$D$2=0),0,IF(N$3&lt;0,0,N(INDEX('CURVA PREVISION'!$A$1:$KZ$3000,$C23,10+3*MIN(N$3,$D$2-1)))))</f>
        <v/>
      </c>
      <c r="O23" s="55">
        <f>IF(OR($C23="",$B$2="",$D$2=0),0,IF(O$3&lt;0,0,N(INDEX('CURVA PREVISION'!$A$1:$KZ$3000,$C23,10+3*MIN(O$3,$D$2-1)))))</f>
        <v/>
      </c>
      <c r="P23" s="55">
        <f>IF(OR($C23="",$B$2="",$D$2=0),0,IF(P$3&lt;0,0,N(INDEX('CURVA PREVISION'!$A$1:$KZ$3000,$C23,10+3*MIN(P$3,$D$2-1)))))</f>
        <v/>
      </c>
      <c r="Q23" s="55">
        <f>IF(OR($C23="",$B$2="",$D$2=0),0,IF(Q$3&lt;0,0,N(INDEX('CURVA PREVISION'!$A$1:$KZ$3000,$C23,10+3*MIN(Q$3,$D$2-1)))))</f>
        <v/>
      </c>
      <c r="R23" s="55">
        <f>IF(OR($C23="",$B$2="",$D$2=0),0,IF(R$3&lt;0,0,N(INDEX('CURVA PREVISION'!$A$1:$KZ$3000,$C23,10+3*MIN(R$3,$D$2-1)))))</f>
        <v/>
      </c>
      <c r="S23" s="55">
        <f>IF(OR($C23="",$B$2="",$D$2=0),0,IF(S$3&lt;0,0,N(INDEX('CURVA PREVISION'!$A$1:$KZ$3000,$C23,10+3*MIN(S$3,$D$2-1)))))</f>
        <v/>
      </c>
      <c r="T23" s="55">
        <f>IF(OR($C23="",$B$2="",$D$2=0),0,IF(T$3&lt;0,0,N(INDEX('CURVA PREVISION'!$A$1:$KZ$3000,$C23,10+3*MIN(T$3,$D$2-1)))))</f>
        <v/>
      </c>
      <c r="U23" s="55">
        <f>IF(OR($C23="",$B$2="",$D$2=0),0,IF(U$3&lt;0,0,N(INDEX('CURVA PREVISION'!$A$1:$KZ$3000,$C23,10+3*MIN(U$3,$D$2-1)))))</f>
        <v/>
      </c>
      <c r="V23" s="55">
        <f>IF(OR($C23="",$B$2="",$D$2=0),0,IF(V$3&lt;0,0,N(INDEX('CURVA PREVISION'!$A$1:$KZ$3000,$C23,10+3*MIN(V$3,$D$2-1)))))</f>
        <v/>
      </c>
      <c r="W23" s="55">
        <f>IF(OR($C23="",$B$2="",$D$2=0),0,IF(W$3&lt;0,0,N(INDEX('CURVA PREVISION'!$A$1:$KZ$3000,$C23,10+3*MIN(W$3,$D$2-1)))))</f>
        <v/>
      </c>
      <c r="X23" s="55">
        <f>IF(OR($C23="",$B$2="",$D$2=0),0,IF(X$3&lt;0,0,N(INDEX('CURVA PREVISION'!$A$1:$KZ$3000,$C23,10+3*MIN(X$3,$D$2-1)))))</f>
        <v/>
      </c>
      <c r="Y23" s="55">
        <f>IF(OR($C23="",$B$2="",$D$2=0),0,IF(Y$3&lt;0,0,N(INDEX('CURVA PREVISION'!$A$1:$KZ$3000,$C23,10+3*MIN(Y$3,$D$2-1)))))</f>
        <v/>
      </c>
      <c r="Z23" s="55">
        <f>IF(OR($C23="",$B$2="",$D$2=0),0,IF(Z$3&lt;0,0,N(INDEX('CURVA PREVISION'!$A$1:$KZ$3000,$C23,10+3*MIN(Z$3,$D$2-1)))))</f>
        <v/>
      </c>
      <c r="AA23" s="55">
        <f>IF(OR($C23="",$B$2="",$D$2=0),0,IF(AA$3&lt;0,0,N(INDEX('CURVA PREVISION'!$A$1:$KZ$3000,$C23,10+3*MIN(AA$3,$D$2-1)))))</f>
        <v/>
      </c>
      <c r="AB23" s="55">
        <f>IF(OR($C23="",$B$2="",$D$2=0),0,IF(AB$3&lt;0,0,N(INDEX('CURVA PREVISION'!$A$1:$KZ$3000,$C23,10+3*MIN(AB$3,$D$2-1)))))</f>
        <v/>
      </c>
      <c r="AC23" s="55">
        <f>IF(OR($C23="",$B$2="",$D$2=0),0,IF(AC$3&lt;0,0,N(INDEX('CURVA PREVISION'!$A$1:$KZ$3000,$C23,10+3*MIN(AC$3,$D$2-1)))))</f>
        <v/>
      </c>
      <c r="AD23" s="55">
        <f>IF(OR($C23="",$B$2="",$D$2=0),0,IF(AD$3&lt;0,0,N(INDEX('CURVA PREVISION'!$A$1:$KZ$3000,$C23,10+3*MIN(AD$3,$D$2-1)))))</f>
        <v/>
      </c>
      <c r="AE23" s="55">
        <f>IF(OR($C23="",$B$2="",$D$2=0),0,IF(AE$3&lt;0,0,N(INDEX('CURVA PREVISION'!$A$1:$KZ$3000,$C23,10+3*MIN(AE$3,$D$2-1)))))</f>
        <v/>
      </c>
      <c r="AF23" s="55">
        <f>IF(OR($C23="",$B$2="",$D$2=0),0,IF(AF$3&lt;0,0,N(INDEX('CURVA PREVISION'!$A$1:$KZ$3000,$C23,10+3*MIN(AF$3,$D$2-1)))))</f>
        <v/>
      </c>
      <c r="AG23" s="55">
        <f>IF(OR($C23="",$B$2="",$D$2=0),0,IF(AG$3&lt;0,0,N(INDEX('CURVA PREVISION'!$A$1:$KZ$3000,$C23,10+3*MIN(AG$3,$D$2-1)))))</f>
        <v/>
      </c>
      <c r="AH23" s="55">
        <f>IF(OR($C23="",$B$2="",$D$2=0),0,IF(AH$3&lt;0,0,N(INDEX('CURVA PREVISION'!$A$1:$KZ$3000,$C23,10+3*MIN(AH$3,$D$2-1)))))</f>
        <v/>
      </c>
      <c r="AI23" s="55">
        <f>IF(OR($C23="",$B$2="",$D$2=0),0,IF(AI$3&lt;0,0,N(INDEX('CURVA PREVISION'!$A$1:$KZ$3000,$C23,10+3*MIN(AI$3,$D$2-1)))))</f>
        <v/>
      </c>
      <c r="AJ23" s="55">
        <f>IF(OR($C23="",$B$2="",$D$2=0),0,IF(AJ$3&lt;0,0,N(INDEX('CURVA PREVISION'!$A$1:$KZ$3000,$C23,10+3*MIN(AJ$3,$D$2-1)))))</f>
        <v/>
      </c>
      <c r="AK23" s="55">
        <f>IF(OR($C23="",$B$2="",$D$2=0),0,IF(AK$3&lt;0,0,N(INDEX('CURVA PREVISION'!$A$1:$KZ$3000,$C23,10+3*MIN(AK$3,$D$2-1)))))</f>
        <v/>
      </c>
      <c r="AL23" s="55">
        <f>IF(OR($C23="",$B$2="",$D$2=0),0,IF(AL$3&lt;0,0,N(INDEX('CURVA PREVISION'!$A$1:$KZ$3000,$C23,10+3*MIN(AL$3,$D$2-1)))))</f>
        <v/>
      </c>
      <c r="AM23" s="55">
        <f>IF(OR($C23="",$B$2="",$D$2=0),0,IF(AM$3&lt;0,0,N(INDEX('CURVA PREVISION'!$A$1:$KZ$3000,$C23,10+3*MIN(AM$3,$D$2-1)))))</f>
        <v/>
      </c>
      <c r="AN23" s="55">
        <f>IF(OR($C23="",$B$2="",$D$2=0),0,IF(AN$3&lt;0,0,N(INDEX('CURVA PREVISION'!$A$1:$KZ$3000,$C23,10+3*MIN(AN$3,$D$2-1)))))</f>
        <v/>
      </c>
      <c r="AO23" s="55">
        <f>IF(OR($C23="",$B$2="",$D$2=0),0,IF(AO$3&lt;0,0,N(INDEX('CURVA PREVISION'!$A$1:$KZ$3000,$C23,10+3*MIN(AO$3,$D$2-1)))))</f>
        <v/>
      </c>
      <c r="AP23" s="55">
        <f>IF(OR($C23="",$B$2="",$D$2=0),0,IF(AP$3&lt;0,0,N(INDEX('CURVA PREVISION'!$A$1:$KZ$3000,$C23,10+3*MIN(AP$3,$D$2-1)))))</f>
        <v/>
      </c>
      <c r="AQ23" s="55">
        <f>IF(OR($C23="",$B$2="",$D$2=0),0,IF(AQ$3&lt;0,0,N(INDEX('CURVA PREVISION'!$A$1:$KZ$3000,$C23,10+3*MIN(AQ$3,$D$2-1)))))</f>
        <v/>
      </c>
      <c r="AR23" s="55">
        <f>IF(OR($C23="",$B$2="",$D$2=0),0,IF(AR$3&lt;0,0,N(INDEX('CURVA PREVISION'!$A$1:$KZ$3000,$C23,10+3*MIN(AR$3,$D$2-1)))))</f>
        <v/>
      </c>
      <c r="AS23" s="55">
        <f>IF(OR($C23="",$B$2="",$D$2=0),0,IF(AS$3&lt;0,0,N(INDEX('CURVA PREVISION'!$A$1:$KZ$3000,$C23,10+3*MIN(AS$3,$D$2-1)))))</f>
        <v/>
      </c>
      <c r="AT23" s="55">
        <f>IF(OR($C23="",$B$2="",$D$2=0),0,IF(AT$3&lt;0,0,N(INDEX('CURVA PREVISION'!$A$1:$KZ$3000,$C23,10+3*MIN(AT$3,$D$2-1)))))</f>
        <v/>
      </c>
      <c r="AU23" s="55">
        <f>IF(OR($C23="",$B$2="",$D$2=0),0,IF(AU$3&lt;0,0,N(INDEX('CURVA PREVISION'!$A$1:$KZ$3000,$C23,10+3*MIN(AU$3,$D$2-1)))))</f>
        <v/>
      </c>
      <c r="AV23" s="55">
        <f>IF(OR($C23="",$B$2="",$D$2=0),0,IF(AV$3&lt;0,0,N(INDEX('CURVA PREVISION'!$A$1:$KZ$3000,$C23,10+3*MIN(AV$3,$D$2-1)))))</f>
        <v/>
      </c>
      <c r="AW23" s="55">
        <f>IF(OR($C23="",$B$2="",$D$2=0),0,IF(AW$3&lt;0,0,N(INDEX('CURVA PREVISION'!$A$1:$KZ$3000,$C23,10+3*MIN(AW$3,$D$2-1)))))</f>
        <v/>
      </c>
      <c r="AX23" s="55">
        <f>IF(OR($C23="",$B$2="",$D$2=0),0,IF(AX$3&lt;0,0,N(INDEX('CURVA PREVISION'!$A$1:$KZ$3000,$C23,10+3*MIN(AX$3,$D$2-1)))))</f>
        <v/>
      </c>
      <c r="AY23" s="55">
        <f>IF(OR($C23="",$B$2="",$D$2=0),0,IF(AY$3&lt;0,0,N(INDEX('CURVA PREVISION'!$A$1:$KZ$3000,$C23,10+3*MIN(AY$3,$D$2-1)))))</f>
        <v/>
      </c>
      <c r="AZ23" s="55">
        <f>IF(OR($C23="",$B$2="",$D$2=0),0,IF(AZ$3&lt;0,0,N(INDEX('CURVA PREVISION'!$A$1:$KZ$3000,$C23,10+3*MIN(AZ$3,$D$2-1)))))</f>
        <v/>
      </c>
      <c r="BA23" s="55">
        <f>IF(OR($C23="",$B$2="",$D$2=0),0,IF(BA$3&lt;0,0,N(INDEX('CURVA PREVISION'!$A$1:$KZ$3000,$C23,10+3*MIN(BA$3,$D$2-1)))))</f>
        <v/>
      </c>
      <c r="BB23" s="55">
        <f>IF(OR($C23="",$B$2="",$D$2=0),0,IF(BB$3&lt;0,0,N(INDEX('CURVA PREVISION'!$A$1:$KZ$3000,$C23,10+3*MIN(BB$3,$D$2-1)))))</f>
        <v/>
      </c>
      <c r="BC23" s="55">
        <f>IF(OR($C23="",$B$2="",$D$2=0),0,IF(BC$3&lt;0,0,N(INDEX('CURVA PREVISION'!$A$1:$KZ$3000,$C23,10+3*MIN(BC$3,$D$2-1)))))</f>
        <v/>
      </c>
      <c r="BD23" s="55">
        <f>IF(OR($C23="",$B$2="",$D$2=0),0,IF(BD$3&lt;0,0,N(INDEX('CURVA PREVISION'!$A$1:$KZ$3000,$C23,10+3*MIN(BD$3,$D$2-1)))))</f>
        <v/>
      </c>
      <c r="BE23" s="55">
        <f>IF(OR($C23="",$B$2="",$D$2=0),0,IF(BE$3&lt;0,0,N(INDEX('CURVA PREVISION'!$A$1:$KZ$3000,$C23,10+3*MIN(BE$3,$D$2-1)))))</f>
        <v/>
      </c>
      <c r="BF23" s="55">
        <f>IF(OR($C23="",$B$2="",$D$2=0),0,IF(BF$3&lt;0,0,N(INDEX('CURVA PREVISION'!$A$1:$KZ$3000,$C23,10+3*MIN(BF$3,$D$2-1)))))</f>
        <v/>
      </c>
      <c r="BG23" s="55">
        <f>IF(OR($C23="",$B$2="",$D$2=0),0,IF(BG$3&lt;0,0,N(INDEX('CURVA PREVISION'!$A$1:$KZ$3000,$C23,10+3*MIN(BG$3,$D$2-1)))))</f>
        <v/>
      </c>
      <c r="BH23" s="55">
        <f>IF(OR($C23="",$B$2="",$D$2=0),0,IF(BH$3&lt;0,0,N(INDEX('CURVA PREVISION'!$A$1:$KZ$3000,$C23,10+3*MIN(BH$3,$D$2-1)))))</f>
        <v/>
      </c>
      <c r="BI23" s="55">
        <f>IF(OR($C23="",$B$2="",$D$2=0),0,IF(BI$3&lt;0,0,N(INDEX('CURVA PREVISION'!$A$1:$KZ$3000,$C23,10+3*MIN(BI$3,$D$2-1)))))</f>
        <v/>
      </c>
      <c r="BJ23" s="55">
        <f>IF(OR($C23="",$B$2="",$D$2=0),0,IF(BJ$3&lt;0,0,N(INDEX('CURVA PREVISION'!$A$1:$KZ$3000,$C23,10+3*MIN(BJ$3,$D$2-1)))))</f>
        <v/>
      </c>
      <c r="BK23" s="55">
        <f>IF(OR($C23="",$B$2="",$D$2=0),0,IF(BK$3&lt;0,0,N(INDEX('CURVA PREVISION'!$A$1:$KZ$3000,$C23,10+3*MIN(BK$3,$D$2-1)))))</f>
        <v/>
      </c>
      <c r="BL23" s="55">
        <f>IF(OR($C23="",$B$2="",$D$2=0),0,IF(BL$3&lt;0,0,N(INDEX('CURVA PREVISION'!$A$1:$KZ$3000,$C23,10+3*MIN(BL$3,$D$2-1)))))</f>
        <v/>
      </c>
      <c r="BM23" s="55">
        <f>IF(OR($C23="",$B$2="",$D$2=0),0,IF(BM$3&lt;0,0,N(INDEX('CURVA PREVISION'!$A$1:$KZ$3000,$C23,10+3*MIN(BM$3,$D$2-1)))))</f>
        <v/>
      </c>
      <c r="BN23" s="55">
        <f>IF(OR($C23="",$B$2="",$D$2=0),0,IF(BN$3&lt;0,0,N(INDEX('CURVA PREVISION'!$A$1:$KZ$3000,$C23,10+3*MIN(BN$3,$D$2-1)))))</f>
        <v/>
      </c>
      <c r="BO23" s="55">
        <f>IF(OR($C23="",$B$2="",$D$2=0),0,IF(BO$3&lt;0,0,N(INDEX('CURVA PREVISION'!$A$1:$KZ$3000,$C23,10+3*MIN(BO$3,$D$2-1)))))</f>
        <v/>
      </c>
      <c r="BP23" s="55">
        <f>IF(OR($C23="",$B$2="",$D$2=0),0,IF(BP$3&lt;0,0,N(INDEX('CURVA PREVISION'!$A$1:$KZ$3000,$C23,10+3*MIN(BP$3,$D$2-1)))))</f>
        <v/>
      </c>
      <c r="BQ23" s="55">
        <f>IF(OR($C23="",$B$2="",$D$2=0),0,IF(BQ$3&lt;0,0,N(INDEX('CURVA PREVISION'!$A$1:$KZ$3000,$C23,10+3*MIN(BQ$3,$D$2-1)))))</f>
        <v/>
      </c>
      <c r="BR23" s="55">
        <f>IF(OR($C23="",$B$2="",$D$2=0),0,IF(BR$3&lt;0,0,N(INDEX('CURVA PREVISION'!$A$1:$KZ$3000,$C23,10+3*MIN(BR$3,$D$2-1)))))</f>
        <v/>
      </c>
      <c r="BS23" s="55">
        <f>IF(OR($C23="",$B$2="",$D$2=0),0,IF(BS$3&lt;0,0,N(INDEX('CURVA PREVISION'!$A$1:$KZ$3000,$C23,10+3*MIN(BS$3,$D$2-1)))))</f>
        <v/>
      </c>
      <c r="BT23" s="55">
        <f>IF(OR($C23="",$B$2="",$D$2=0),0,IF(BT$3&lt;0,0,N(INDEX('CURVA PREVISION'!$A$1:$KZ$3000,$C23,10+3*MIN(BT$3,$D$2-1)))))</f>
        <v/>
      </c>
      <c r="BU23" s="55">
        <f>IF(OR($C23="",$B$2="",$D$2=0),0,IF(BU$3&lt;0,0,N(INDEX('CURVA PREVISION'!$A$1:$KZ$3000,$C23,10+3*MIN(BU$3,$D$2-1)))))</f>
        <v/>
      </c>
      <c r="BV23" s="55">
        <f>IF(OR($C23="",$B$2="",$D$2=0),0,IF(BV$3&lt;0,0,N(INDEX('CURVA PREVISION'!$A$1:$KZ$3000,$C23,10+3*MIN(BV$3,$D$2-1)))))</f>
        <v/>
      </c>
      <c r="BW23" s="55">
        <f>IF(OR($C23="",$B$2="",$D$2=0),0,IF(BW$3&lt;0,0,N(INDEX('CURVA PREVISION'!$A$1:$KZ$3000,$C23,10+3*MIN(BW$3,$D$2-1)))))</f>
        <v/>
      </c>
    </row>
    <row r="24">
      <c r="A24" s="34">
        <f>'VALOR POR PL'!C30</f>
        <v/>
      </c>
      <c r="B24" s="34">
        <f>'VALOR POR PL'!D30</f>
        <v/>
      </c>
      <c r="C24" s="28">
        <f>IFERROR(MATCH(A24,'CURVA PREVISION'!$B$1:$B$3000,0),"")</f>
        <v/>
      </c>
      <c r="D24" s="55">
        <f>IF(OR($C24="",$B$2="",$D$2=0),0,IF(D$3&lt;0,0,N(INDEX('CURVA PREVISION'!$A$1:$KZ$3000,$C24,10+3*MIN(D$3,$D$2-1)))))</f>
        <v/>
      </c>
      <c r="E24" s="55">
        <f>IF(OR($C24="",$B$2="",$D$2=0),0,IF(E$3&lt;0,0,N(INDEX('CURVA PREVISION'!$A$1:$KZ$3000,$C24,10+3*MIN(E$3,$D$2-1)))))</f>
        <v/>
      </c>
      <c r="F24" s="55">
        <f>IF(OR($C24="",$B$2="",$D$2=0),0,IF(F$3&lt;0,0,N(INDEX('CURVA PREVISION'!$A$1:$KZ$3000,$C24,10+3*MIN(F$3,$D$2-1)))))</f>
        <v/>
      </c>
      <c r="G24" s="55">
        <f>IF(OR($C24="",$B$2="",$D$2=0),0,IF(G$3&lt;0,0,N(INDEX('CURVA PREVISION'!$A$1:$KZ$3000,$C24,10+3*MIN(G$3,$D$2-1)))))</f>
        <v/>
      </c>
      <c r="H24" s="55">
        <f>IF(OR($C24="",$B$2="",$D$2=0),0,IF(H$3&lt;0,0,N(INDEX('CURVA PREVISION'!$A$1:$KZ$3000,$C24,10+3*MIN(H$3,$D$2-1)))))</f>
        <v/>
      </c>
      <c r="I24" s="55">
        <f>IF(OR($C24="",$B$2="",$D$2=0),0,IF(I$3&lt;0,0,N(INDEX('CURVA PREVISION'!$A$1:$KZ$3000,$C24,10+3*MIN(I$3,$D$2-1)))))</f>
        <v/>
      </c>
      <c r="J24" s="55">
        <f>IF(OR($C24="",$B$2="",$D$2=0),0,IF(J$3&lt;0,0,N(INDEX('CURVA PREVISION'!$A$1:$KZ$3000,$C24,10+3*MIN(J$3,$D$2-1)))))</f>
        <v/>
      </c>
      <c r="K24" s="55">
        <f>IF(OR($C24="",$B$2="",$D$2=0),0,IF(K$3&lt;0,0,N(INDEX('CURVA PREVISION'!$A$1:$KZ$3000,$C24,10+3*MIN(K$3,$D$2-1)))))</f>
        <v/>
      </c>
      <c r="L24" s="55">
        <f>IF(OR($C24="",$B$2="",$D$2=0),0,IF(L$3&lt;0,0,N(INDEX('CURVA PREVISION'!$A$1:$KZ$3000,$C24,10+3*MIN(L$3,$D$2-1)))))</f>
        <v/>
      </c>
      <c r="M24" s="55">
        <f>IF(OR($C24="",$B$2="",$D$2=0),0,IF(M$3&lt;0,0,N(INDEX('CURVA PREVISION'!$A$1:$KZ$3000,$C24,10+3*MIN(M$3,$D$2-1)))))</f>
        <v/>
      </c>
      <c r="N24" s="55">
        <f>IF(OR($C24="",$B$2="",$D$2=0),0,IF(N$3&lt;0,0,N(INDEX('CURVA PREVISION'!$A$1:$KZ$3000,$C24,10+3*MIN(N$3,$D$2-1)))))</f>
        <v/>
      </c>
      <c r="O24" s="55">
        <f>IF(OR($C24="",$B$2="",$D$2=0),0,IF(O$3&lt;0,0,N(INDEX('CURVA PREVISION'!$A$1:$KZ$3000,$C24,10+3*MIN(O$3,$D$2-1)))))</f>
        <v/>
      </c>
      <c r="P24" s="55">
        <f>IF(OR($C24="",$B$2="",$D$2=0),0,IF(P$3&lt;0,0,N(INDEX('CURVA PREVISION'!$A$1:$KZ$3000,$C24,10+3*MIN(P$3,$D$2-1)))))</f>
        <v/>
      </c>
      <c r="Q24" s="55">
        <f>IF(OR($C24="",$B$2="",$D$2=0),0,IF(Q$3&lt;0,0,N(INDEX('CURVA PREVISION'!$A$1:$KZ$3000,$C24,10+3*MIN(Q$3,$D$2-1)))))</f>
        <v/>
      </c>
      <c r="R24" s="55">
        <f>IF(OR($C24="",$B$2="",$D$2=0),0,IF(R$3&lt;0,0,N(INDEX('CURVA PREVISION'!$A$1:$KZ$3000,$C24,10+3*MIN(R$3,$D$2-1)))))</f>
        <v/>
      </c>
      <c r="S24" s="55">
        <f>IF(OR($C24="",$B$2="",$D$2=0),0,IF(S$3&lt;0,0,N(INDEX('CURVA PREVISION'!$A$1:$KZ$3000,$C24,10+3*MIN(S$3,$D$2-1)))))</f>
        <v/>
      </c>
      <c r="T24" s="55">
        <f>IF(OR($C24="",$B$2="",$D$2=0),0,IF(T$3&lt;0,0,N(INDEX('CURVA PREVISION'!$A$1:$KZ$3000,$C24,10+3*MIN(T$3,$D$2-1)))))</f>
        <v/>
      </c>
      <c r="U24" s="55">
        <f>IF(OR($C24="",$B$2="",$D$2=0),0,IF(U$3&lt;0,0,N(INDEX('CURVA PREVISION'!$A$1:$KZ$3000,$C24,10+3*MIN(U$3,$D$2-1)))))</f>
        <v/>
      </c>
      <c r="V24" s="55">
        <f>IF(OR($C24="",$B$2="",$D$2=0),0,IF(V$3&lt;0,0,N(INDEX('CURVA PREVISION'!$A$1:$KZ$3000,$C24,10+3*MIN(V$3,$D$2-1)))))</f>
        <v/>
      </c>
      <c r="W24" s="55">
        <f>IF(OR($C24="",$B$2="",$D$2=0),0,IF(W$3&lt;0,0,N(INDEX('CURVA PREVISION'!$A$1:$KZ$3000,$C24,10+3*MIN(W$3,$D$2-1)))))</f>
        <v/>
      </c>
      <c r="X24" s="55">
        <f>IF(OR($C24="",$B$2="",$D$2=0),0,IF(X$3&lt;0,0,N(INDEX('CURVA PREVISION'!$A$1:$KZ$3000,$C24,10+3*MIN(X$3,$D$2-1)))))</f>
        <v/>
      </c>
      <c r="Y24" s="55">
        <f>IF(OR($C24="",$B$2="",$D$2=0),0,IF(Y$3&lt;0,0,N(INDEX('CURVA PREVISION'!$A$1:$KZ$3000,$C24,10+3*MIN(Y$3,$D$2-1)))))</f>
        <v/>
      </c>
      <c r="Z24" s="55">
        <f>IF(OR($C24="",$B$2="",$D$2=0),0,IF(Z$3&lt;0,0,N(INDEX('CURVA PREVISION'!$A$1:$KZ$3000,$C24,10+3*MIN(Z$3,$D$2-1)))))</f>
        <v/>
      </c>
      <c r="AA24" s="55">
        <f>IF(OR($C24="",$B$2="",$D$2=0),0,IF(AA$3&lt;0,0,N(INDEX('CURVA PREVISION'!$A$1:$KZ$3000,$C24,10+3*MIN(AA$3,$D$2-1)))))</f>
        <v/>
      </c>
      <c r="AB24" s="55">
        <f>IF(OR($C24="",$B$2="",$D$2=0),0,IF(AB$3&lt;0,0,N(INDEX('CURVA PREVISION'!$A$1:$KZ$3000,$C24,10+3*MIN(AB$3,$D$2-1)))))</f>
        <v/>
      </c>
      <c r="AC24" s="55">
        <f>IF(OR($C24="",$B$2="",$D$2=0),0,IF(AC$3&lt;0,0,N(INDEX('CURVA PREVISION'!$A$1:$KZ$3000,$C24,10+3*MIN(AC$3,$D$2-1)))))</f>
        <v/>
      </c>
      <c r="AD24" s="55">
        <f>IF(OR($C24="",$B$2="",$D$2=0),0,IF(AD$3&lt;0,0,N(INDEX('CURVA PREVISION'!$A$1:$KZ$3000,$C24,10+3*MIN(AD$3,$D$2-1)))))</f>
        <v/>
      </c>
      <c r="AE24" s="55">
        <f>IF(OR($C24="",$B$2="",$D$2=0),0,IF(AE$3&lt;0,0,N(INDEX('CURVA PREVISION'!$A$1:$KZ$3000,$C24,10+3*MIN(AE$3,$D$2-1)))))</f>
        <v/>
      </c>
      <c r="AF24" s="55">
        <f>IF(OR($C24="",$B$2="",$D$2=0),0,IF(AF$3&lt;0,0,N(INDEX('CURVA PREVISION'!$A$1:$KZ$3000,$C24,10+3*MIN(AF$3,$D$2-1)))))</f>
        <v/>
      </c>
      <c r="AG24" s="55">
        <f>IF(OR($C24="",$B$2="",$D$2=0),0,IF(AG$3&lt;0,0,N(INDEX('CURVA PREVISION'!$A$1:$KZ$3000,$C24,10+3*MIN(AG$3,$D$2-1)))))</f>
        <v/>
      </c>
      <c r="AH24" s="55">
        <f>IF(OR($C24="",$B$2="",$D$2=0),0,IF(AH$3&lt;0,0,N(INDEX('CURVA PREVISION'!$A$1:$KZ$3000,$C24,10+3*MIN(AH$3,$D$2-1)))))</f>
        <v/>
      </c>
      <c r="AI24" s="55">
        <f>IF(OR($C24="",$B$2="",$D$2=0),0,IF(AI$3&lt;0,0,N(INDEX('CURVA PREVISION'!$A$1:$KZ$3000,$C24,10+3*MIN(AI$3,$D$2-1)))))</f>
        <v/>
      </c>
      <c r="AJ24" s="55">
        <f>IF(OR($C24="",$B$2="",$D$2=0),0,IF(AJ$3&lt;0,0,N(INDEX('CURVA PREVISION'!$A$1:$KZ$3000,$C24,10+3*MIN(AJ$3,$D$2-1)))))</f>
        <v/>
      </c>
      <c r="AK24" s="55">
        <f>IF(OR($C24="",$B$2="",$D$2=0),0,IF(AK$3&lt;0,0,N(INDEX('CURVA PREVISION'!$A$1:$KZ$3000,$C24,10+3*MIN(AK$3,$D$2-1)))))</f>
        <v/>
      </c>
      <c r="AL24" s="55">
        <f>IF(OR($C24="",$B$2="",$D$2=0),0,IF(AL$3&lt;0,0,N(INDEX('CURVA PREVISION'!$A$1:$KZ$3000,$C24,10+3*MIN(AL$3,$D$2-1)))))</f>
        <v/>
      </c>
      <c r="AM24" s="55">
        <f>IF(OR($C24="",$B$2="",$D$2=0),0,IF(AM$3&lt;0,0,N(INDEX('CURVA PREVISION'!$A$1:$KZ$3000,$C24,10+3*MIN(AM$3,$D$2-1)))))</f>
        <v/>
      </c>
      <c r="AN24" s="55">
        <f>IF(OR($C24="",$B$2="",$D$2=0),0,IF(AN$3&lt;0,0,N(INDEX('CURVA PREVISION'!$A$1:$KZ$3000,$C24,10+3*MIN(AN$3,$D$2-1)))))</f>
        <v/>
      </c>
      <c r="AO24" s="55">
        <f>IF(OR($C24="",$B$2="",$D$2=0),0,IF(AO$3&lt;0,0,N(INDEX('CURVA PREVISION'!$A$1:$KZ$3000,$C24,10+3*MIN(AO$3,$D$2-1)))))</f>
        <v/>
      </c>
      <c r="AP24" s="55">
        <f>IF(OR($C24="",$B$2="",$D$2=0),0,IF(AP$3&lt;0,0,N(INDEX('CURVA PREVISION'!$A$1:$KZ$3000,$C24,10+3*MIN(AP$3,$D$2-1)))))</f>
        <v/>
      </c>
      <c r="AQ24" s="55">
        <f>IF(OR($C24="",$B$2="",$D$2=0),0,IF(AQ$3&lt;0,0,N(INDEX('CURVA PREVISION'!$A$1:$KZ$3000,$C24,10+3*MIN(AQ$3,$D$2-1)))))</f>
        <v/>
      </c>
      <c r="AR24" s="55">
        <f>IF(OR($C24="",$B$2="",$D$2=0),0,IF(AR$3&lt;0,0,N(INDEX('CURVA PREVISION'!$A$1:$KZ$3000,$C24,10+3*MIN(AR$3,$D$2-1)))))</f>
        <v/>
      </c>
      <c r="AS24" s="55">
        <f>IF(OR($C24="",$B$2="",$D$2=0),0,IF(AS$3&lt;0,0,N(INDEX('CURVA PREVISION'!$A$1:$KZ$3000,$C24,10+3*MIN(AS$3,$D$2-1)))))</f>
        <v/>
      </c>
      <c r="AT24" s="55">
        <f>IF(OR($C24="",$B$2="",$D$2=0),0,IF(AT$3&lt;0,0,N(INDEX('CURVA PREVISION'!$A$1:$KZ$3000,$C24,10+3*MIN(AT$3,$D$2-1)))))</f>
        <v/>
      </c>
      <c r="AU24" s="55">
        <f>IF(OR($C24="",$B$2="",$D$2=0),0,IF(AU$3&lt;0,0,N(INDEX('CURVA PREVISION'!$A$1:$KZ$3000,$C24,10+3*MIN(AU$3,$D$2-1)))))</f>
        <v/>
      </c>
      <c r="AV24" s="55">
        <f>IF(OR($C24="",$B$2="",$D$2=0),0,IF(AV$3&lt;0,0,N(INDEX('CURVA PREVISION'!$A$1:$KZ$3000,$C24,10+3*MIN(AV$3,$D$2-1)))))</f>
        <v/>
      </c>
      <c r="AW24" s="55">
        <f>IF(OR($C24="",$B$2="",$D$2=0),0,IF(AW$3&lt;0,0,N(INDEX('CURVA PREVISION'!$A$1:$KZ$3000,$C24,10+3*MIN(AW$3,$D$2-1)))))</f>
        <v/>
      </c>
      <c r="AX24" s="55">
        <f>IF(OR($C24="",$B$2="",$D$2=0),0,IF(AX$3&lt;0,0,N(INDEX('CURVA PREVISION'!$A$1:$KZ$3000,$C24,10+3*MIN(AX$3,$D$2-1)))))</f>
        <v/>
      </c>
      <c r="AY24" s="55">
        <f>IF(OR($C24="",$B$2="",$D$2=0),0,IF(AY$3&lt;0,0,N(INDEX('CURVA PREVISION'!$A$1:$KZ$3000,$C24,10+3*MIN(AY$3,$D$2-1)))))</f>
        <v/>
      </c>
      <c r="AZ24" s="55">
        <f>IF(OR($C24="",$B$2="",$D$2=0),0,IF(AZ$3&lt;0,0,N(INDEX('CURVA PREVISION'!$A$1:$KZ$3000,$C24,10+3*MIN(AZ$3,$D$2-1)))))</f>
        <v/>
      </c>
      <c r="BA24" s="55">
        <f>IF(OR($C24="",$B$2="",$D$2=0),0,IF(BA$3&lt;0,0,N(INDEX('CURVA PREVISION'!$A$1:$KZ$3000,$C24,10+3*MIN(BA$3,$D$2-1)))))</f>
        <v/>
      </c>
      <c r="BB24" s="55">
        <f>IF(OR($C24="",$B$2="",$D$2=0),0,IF(BB$3&lt;0,0,N(INDEX('CURVA PREVISION'!$A$1:$KZ$3000,$C24,10+3*MIN(BB$3,$D$2-1)))))</f>
        <v/>
      </c>
      <c r="BC24" s="55">
        <f>IF(OR($C24="",$B$2="",$D$2=0),0,IF(BC$3&lt;0,0,N(INDEX('CURVA PREVISION'!$A$1:$KZ$3000,$C24,10+3*MIN(BC$3,$D$2-1)))))</f>
        <v/>
      </c>
      <c r="BD24" s="55">
        <f>IF(OR($C24="",$B$2="",$D$2=0),0,IF(BD$3&lt;0,0,N(INDEX('CURVA PREVISION'!$A$1:$KZ$3000,$C24,10+3*MIN(BD$3,$D$2-1)))))</f>
        <v/>
      </c>
      <c r="BE24" s="55">
        <f>IF(OR($C24="",$B$2="",$D$2=0),0,IF(BE$3&lt;0,0,N(INDEX('CURVA PREVISION'!$A$1:$KZ$3000,$C24,10+3*MIN(BE$3,$D$2-1)))))</f>
        <v/>
      </c>
      <c r="BF24" s="55">
        <f>IF(OR($C24="",$B$2="",$D$2=0),0,IF(BF$3&lt;0,0,N(INDEX('CURVA PREVISION'!$A$1:$KZ$3000,$C24,10+3*MIN(BF$3,$D$2-1)))))</f>
        <v/>
      </c>
      <c r="BG24" s="55">
        <f>IF(OR($C24="",$B$2="",$D$2=0),0,IF(BG$3&lt;0,0,N(INDEX('CURVA PREVISION'!$A$1:$KZ$3000,$C24,10+3*MIN(BG$3,$D$2-1)))))</f>
        <v/>
      </c>
      <c r="BH24" s="55">
        <f>IF(OR($C24="",$B$2="",$D$2=0),0,IF(BH$3&lt;0,0,N(INDEX('CURVA PREVISION'!$A$1:$KZ$3000,$C24,10+3*MIN(BH$3,$D$2-1)))))</f>
        <v/>
      </c>
      <c r="BI24" s="55">
        <f>IF(OR($C24="",$B$2="",$D$2=0),0,IF(BI$3&lt;0,0,N(INDEX('CURVA PREVISION'!$A$1:$KZ$3000,$C24,10+3*MIN(BI$3,$D$2-1)))))</f>
        <v/>
      </c>
      <c r="BJ24" s="55">
        <f>IF(OR($C24="",$B$2="",$D$2=0),0,IF(BJ$3&lt;0,0,N(INDEX('CURVA PREVISION'!$A$1:$KZ$3000,$C24,10+3*MIN(BJ$3,$D$2-1)))))</f>
        <v/>
      </c>
      <c r="BK24" s="55">
        <f>IF(OR($C24="",$B$2="",$D$2=0),0,IF(BK$3&lt;0,0,N(INDEX('CURVA PREVISION'!$A$1:$KZ$3000,$C24,10+3*MIN(BK$3,$D$2-1)))))</f>
        <v/>
      </c>
      <c r="BL24" s="55">
        <f>IF(OR($C24="",$B$2="",$D$2=0),0,IF(BL$3&lt;0,0,N(INDEX('CURVA PREVISION'!$A$1:$KZ$3000,$C24,10+3*MIN(BL$3,$D$2-1)))))</f>
        <v/>
      </c>
      <c r="BM24" s="55">
        <f>IF(OR($C24="",$B$2="",$D$2=0),0,IF(BM$3&lt;0,0,N(INDEX('CURVA PREVISION'!$A$1:$KZ$3000,$C24,10+3*MIN(BM$3,$D$2-1)))))</f>
        <v/>
      </c>
      <c r="BN24" s="55">
        <f>IF(OR($C24="",$B$2="",$D$2=0),0,IF(BN$3&lt;0,0,N(INDEX('CURVA PREVISION'!$A$1:$KZ$3000,$C24,10+3*MIN(BN$3,$D$2-1)))))</f>
        <v/>
      </c>
      <c r="BO24" s="55">
        <f>IF(OR($C24="",$B$2="",$D$2=0),0,IF(BO$3&lt;0,0,N(INDEX('CURVA PREVISION'!$A$1:$KZ$3000,$C24,10+3*MIN(BO$3,$D$2-1)))))</f>
        <v/>
      </c>
      <c r="BP24" s="55">
        <f>IF(OR($C24="",$B$2="",$D$2=0),0,IF(BP$3&lt;0,0,N(INDEX('CURVA PREVISION'!$A$1:$KZ$3000,$C24,10+3*MIN(BP$3,$D$2-1)))))</f>
        <v/>
      </c>
      <c r="BQ24" s="55">
        <f>IF(OR($C24="",$B$2="",$D$2=0),0,IF(BQ$3&lt;0,0,N(INDEX('CURVA PREVISION'!$A$1:$KZ$3000,$C24,10+3*MIN(BQ$3,$D$2-1)))))</f>
        <v/>
      </c>
      <c r="BR24" s="55">
        <f>IF(OR($C24="",$B$2="",$D$2=0),0,IF(BR$3&lt;0,0,N(INDEX('CURVA PREVISION'!$A$1:$KZ$3000,$C24,10+3*MIN(BR$3,$D$2-1)))))</f>
        <v/>
      </c>
      <c r="BS24" s="55">
        <f>IF(OR($C24="",$B$2="",$D$2=0),0,IF(BS$3&lt;0,0,N(INDEX('CURVA PREVISION'!$A$1:$KZ$3000,$C24,10+3*MIN(BS$3,$D$2-1)))))</f>
        <v/>
      </c>
      <c r="BT24" s="55">
        <f>IF(OR($C24="",$B$2="",$D$2=0),0,IF(BT$3&lt;0,0,N(INDEX('CURVA PREVISION'!$A$1:$KZ$3000,$C24,10+3*MIN(BT$3,$D$2-1)))))</f>
        <v/>
      </c>
      <c r="BU24" s="55">
        <f>IF(OR($C24="",$B$2="",$D$2=0),0,IF(BU$3&lt;0,0,N(INDEX('CURVA PREVISION'!$A$1:$KZ$3000,$C24,10+3*MIN(BU$3,$D$2-1)))))</f>
        <v/>
      </c>
      <c r="BV24" s="55">
        <f>IF(OR($C24="",$B$2="",$D$2=0),0,IF(BV$3&lt;0,0,N(INDEX('CURVA PREVISION'!$A$1:$KZ$3000,$C24,10+3*MIN(BV$3,$D$2-1)))))</f>
        <v/>
      </c>
      <c r="BW24" s="55">
        <f>IF(OR($C24="",$B$2="",$D$2=0),0,IF(BW$3&lt;0,0,N(INDEX('CURVA PREVISION'!$A$1:$KZ$3000,$C24,10+3*MIN(BW$3,$D$2-1)))))</f>
        <v/>
      </c>
    </row>
    <row r="25">
      <c r="A25" s="34">
        <f>'VALOR POR PL'!C31</f>
        <v/>
      </c>
      <c r="B25" s="34">
        <f>'VALOR POR PL'!D31</f>
        <v/>
      </c>
      <c r="C25" s="28">
        <f>IFERROR(MATCH(A25,'CURVA PREVISION'!$B$1:$B$3000,0),"")</f>
        <v/>
      </c>
      <c r="D25" s="55">
        <f>IF(OR($C25="",$B$2="",$D$2=0),0,IF(D$3&lt;0,0,N(INDEX('CURVA PREVISION'!$A$1:$KZ$3000,$C25,10+3*MIN(D$3,$D$2-1)))))</f>
        <v/>
      </c>
      <c r="E25" s="55">
        <f>IF(OR($C25="",$B$2="",$D$2=0),0,IF(E$3&lt;0,0,N(INDEX('CURVA PREVISION'!$A$1:$KZ$3000,$C25,10+3*MIN(E$3,$D$2-1)))))</f>
        <v/>
      </c>
      <c r="F25" s="55">
        <f>IF(OR($C25="",$B$2="",$D$2=0),0,IF(F$3&lt;0,0,N(INDEX('CURVA PREVISION'!$A$1:$KZ$3000,$C25,10+3*MIN(F$3,$D$2-1)))))</f>
        <v/>
      </c>
      <c r="G25" s="55">
        <f>IF(OR($C25="",$B$2="",$D$2=0),0,IF(G$3&lt;0,0,N(INDEX('CURVA PREVISION'!$A$1:$KZ$3000,$C25,10+3*MIN(G$3,$D$2-1)))))</f>
        <v/>
      </c>
      <c r="H25" s="55">
        <f>IF(OR($C25="",$B$2="",$D$2=0),0,IF(H$3&lt;0,0,N(INDEX('CURVA PREVISION'!$A$1:$KZ$3000,$C25,10+3*MIN(H$3,$D$2-1)))))</f>
        <v/>
      </c>
      <c r="I25" s="55">
        <f>IF(OR($C25="",$B$2="",$D$2=0),0,IF(I$3&lt;0,0,N(INDEX('CURVA PREVISION'!$A$1:$KZ$3000,$C25,10+3*MIN(I$3,$D$2-1)))))</f>
        <v/>
      </c>
      <c r="J25" s="55">
        <f>IF(OR($C25="",$B$2="",$D$2=0),0,IF(J$3&lt;0,0,N(INDEX('CURVA PREVISION'!$A$1:$KZ$3000,$C25,10+3*MIN(J$3,$D$2-1)))))</f>
        <v/>
      </c>
      <c r="K25" s="55">
        <f>IF(OR($C25="",$B$2="",$D$2=0),0,IF(K$3&lt;0,0,N(INDEX('CURVA PREVISION'!$A$1:$KZ$3000,$C25,10+3*MIN(K$3,$D$2-1)))))</f>
        <v/>
      </c>
      <c r="L25" s="55">
        <f>IF(OR($C25="",$B$2="",$D$2=0),0,IF(L$3&lt;0,0,N(INDEX('CURVA PREVISION'!$A$1:$KZ$3000,$C25,10+3*MIN(L$3,$D$2-1)))))</f>
        <v/>
      </c>
      <c r="M25" s="55">
        <f>IF(OR($C25="",$B$2="",$D$2=0),0,IF(M$3&lt;0,0,N(INDEX('CURVA PREVISION'!$A$1:$KZ$3000,$C25,10+3*MIN(M$3,$D$2-1)))))</f>
        <v/>
      </c>
      <c r="N25" s="55">
        <f>IF(OR($C25="",$B$2="",$D$2=0),0,IF(N$3&lt;0,0,N(INDEX('CURVA PREVISION'!$A$1:$KZ$3000,$C25,10+3*MIN(N$3,$D$2-1)))))</f>
        <v/>
      </c>
      <c r="O25" s="55">
        <f>IF(OR($C25="",$B$2="",$D$2=0),0,IF(O$3&lt;0,0,N(INDEX('CURVA PREVISION'!$A$1:$KZ$3000,$C25,10+3*MIN(O$3,$D$2-1)))))</f>
        <v/>
      </c>
      <c r="P25" s="55">
        <f>IF(OR($C25="",$B$2="",$D$2=0),0,IF(P$3&lt;0,0,N(INDEX('CURVA PREVISION'!$A$1:$KZ$3000,$C25,10+3*MIN(P$3,$D$2-1)))))</f>
        <v/>
      </c>
      <c r="Q25" s="55">
        <f>IF(OR($C25="",$B$2="",$D$2=0),0,IF(Q$3&lt;0,0,N(INDEX('CURVA PREVISION'!$A$1:$KZ$3000,$C25,10+3*MIN(Q$3,$D$2-1)))))</f>
        <v/>
      </c>
      <c r="R25" s="55">
        <f>IF(OR($C25="",$B$2="",$D$2=0),0,IF(R$3&lt;0,0,N(INDEX('CURVA PREVISION'!$A$1:$KZ$3000,$C25,10+3*MIN(R$3,$D$2-1)))))</f>
        <v/>
      </c>
      <c r="S25" s="55">
        <f>IF(OR($C25="",$B$2="",$D$2=0),0,IF(S$3&lt;0,0,N(INDEX('CURVA PREVISION'!$A$1:$KZ$3000,$C25,10+3*MIN(S$3,$D$2-1)))))</f>
        <v/>
      </c>
      <c r="T25" s="55">
        <f>IF(OR($C25="",$B$2="",$D$2=0),0,IF(T$3&lt;0,0,N(INDEX('CURVA PREVISION'!$A$1:$KZ$3000,$C25,10+3*MIN(T$3,$D$2-1)))))</f>
        <v/>
      </c>
      <c r="U25" s="55">
        <f>IF(OR($C25="",$B$2="",$D$2=0),0,IF(U$3&lt;0,0,N(INDEX('CURVA PREVISION'!$A$1:$KZ$3000,$C25,10+3*MIN(U$3,$D$2-1)))))</f>
        <v/>
      </c>
      <c r="V25" s="55">
        <f>IF(OR($C25="",$B$2="",$D$2=0),0,IF(V$3&lt;0,0,N(INDEX('CURVA PREVISION'!$A$1:$KZ$3000,$C25,10+3*MIN(V$3,$D$2-1)))))</f>
        <v/>
      </c>
      <c r="W25" s="55">
        <f>IF(OR($C25="",$B$2="",$D$2=0),0,IF(W$3&lt;0,0,N(INDEX('CURVA PREVISION'!$A$1:$KZ$3000,$C25,10+3*MIN(W$3,$D$2-1)))))</f>
        <v/>
      </c>
      <c r="X25" s="55">
        <f>IF(OR($C25="",$B$2="",$D$2=0),0,IF(X$3&lt;0,0,N(INDEX('CURVA PREVISION'!$A$1:$KZ$3000,$C25,10+3*MIN(X$3,$D$2-1)))))</f>
        <v/>
      </c>
      <c r="Y25" s="55">
        <f>IF(OR($C25="",$B$2="",$D$2=0),0,IF(Y$3&lt;0,0,N(INDEX('CURVA PREVISION'!$A$1:$KZ$3000,$C25,10+3*MIN(Y$3,$D$2-1)))))</f>
        <v/>
      </c>
      <c r="Z25" s="55">
        <f>IF(OR($C25="",$B$2="",$D$2=0),0,IF(Z$3&lt;0,0,N(INDEX('CURVA PREVISION'!$A$1:$KZ$3000,$C25,10+3*MIN(Z$3,$D$2-1)))))</f>
        <v/>
      </c>
      <c r="AA25" s="55">
        <f>IF(OR($C25="",$B$2="",$D$2=0),0,IF(AA$3&lt;0,0,N(INDEX('CURVA PREVISION'!$A$1:$KZ$3000,$C25,10+3*MIN(AA$3,$D$2-1)))))</f>
        <v/>
      </c>
      <c r="AB25" s="55">
        <f>IF(OR($C25="",$B$2="",$D$2=0),0,IF(AB$3&lt;0,0,N(INDEX('CURVA PREVISION'!$A$1:$KZ$3000,$C25,10+3*MIN(AB$3,$D$2-1)))))</f>
        <v/>
      </c>
      <c r="AC25" s="55">
        <f>IF(OR($C25="",$B$2="",$D$2=0),0,IF(AC$3&lt;0,0,N(INDEX('CURVA PREVISION'!$A$1:$KZ$3000,$C25,10+3*MIN(AC$3,$D$2-1)))))</f>
        <v/>
      </c>
      <c r="AD25" s="55">
        <f>IF(OR($C25="",$B$2="",$D$2=0),0,IF(AD$3&lt;0,0,N(INDEX('CURVA PREVISION'!$A$1:$KZ$3000,$C25,10+3*MIN(AD$3,$D$2-1)))))</f>
        <v/>
      </c>
      <c r="AE25" s="55">
        <f>IF(OR($C25="",$B$2="",$D$2=0),0,IF(AE$3&lt;0,0,N(INDEX('CURVA PREVISION'!$A$1:$KZ$3000,$C25,10+3*MIN(AE$3,$D$2-1)))))</f>
        <v/>
      </c>
      <c r="AF25" s="55">
        <f>IF(OR($C25="",$B$2="",$D$2=0),0,IF(AF$3&lt;0,0,N(INDEX('CURVA PREVISION'!$A$1:$KZ$3000,$C25,10+3*MIN(AF$3,$D$2-1)))))</f>
        <v/>
      </c>
      <c r="AG25" s="55">
        <f>IF(OR($C25="",$B$2="",$D$2=0),0,IF(AG$3&lt;0,0,N(INDEX('CURVA PREVISION'!$A$1:$KZ$3000,$C25,10+3*MIN(AG$3,$D$2-1)))))</f>
        <v/>
      </c>
      <c r="AH25" s="55">
        <f>IF(OR($C25="",$B$2="",$D$2=0),0,IF(AH$3&lt;0,0,N(INDEX('CURVA PREVISION'!$A$1:$KZ$3000,$C25,10+3*MIN(AH$3,$D$2-1)))))</f>
        <v/>
      </c>
      <c r="AI25" s="55">
        <f>IF(OR($C25="",$B$2="",$D$2=0),0,IF(AI$3&lt;0,0,N(INDEX('CURVA PREVISION'!$A$1:$KZ$3000,$C25,10+3*MIN(AI$3,$D$2-1)))))</f>
        <v/>
      </c>
      <c r="AJ25" s="55">
        <f>IF(OR($C25="",$B$2="",$D$2=0),0,IF(AJ$3&lt;0,0,N(INDEX('CURVA PREVISION'!$A$1:$KZ$3000,$C25,10+3*MIN(AJ$3,$D$2-1)))))</f>
        <v/>
      </c>
      <c r="AK25" s="55">
        <f>IF(OR($C25="",$B$2="",$D$2=0),0,IF(AK$3&lt;0,0,N(INDEX('CURVA PREVISION'!$A$1:$KZ$3000,$C25,10+3*MIN(AK$3,$D$2-1)))))</f>
        <v/>
      </c>
      <c r="AL25" s="55">
        <f>IF(OR($C25="",$B$2="",$D$2=0),0,IF(AL$3&lt;0,0,N(INDEX('CURVA PREVISION'!$A$1:$KZ$3000,$C25,10+3*MIN(AL$3,$D$2-1)))))</f>
        <v/>
      </c>
      <c r="AM25" s="55">
        <f>IF(OR($C25="",$B$2="",$D$2=0),0,IF(AM$3&lt;0,0,N(INDEX('CURVA PREVISION'!$A$1:$KZ$3000,$C25,10+3*MIN(AM$3,$D$2-1)))))</f>
        <v/>
      </c>
      <c r="AN25" s="55">
        <f>IF(OR($C25="",$B$2="",$D$2=0),0,IF(AN$3&lt;0,0,N(INDEX('CURVA PREVISION'!$A$1:$KZ$3000,$C25,10+3*MIN(AN$3,$D$2-1)))))</f>
        <v/>
      </c>
      <c r="AO25" s="55">
        <f>IF(OR($C25="",$B$2="",$D$2=0),0,IF(AO$3&lt;0,0,N(INDEX('CURVA PREVISION'!$A$1:$KZ$3000,$C25,10+3*MIN(AO$3,$D$2-1)))))</f>
        <v/>
      </c>
      <c r="AP25" s="55">
        <f>IF(OR($C25="",$B$2="",$D$2=0),0,IF(AP$3&lt;0,0,N(INDEX('CURVA PREVISION'!$A$1:$KZ$3000,$C25,10+3*MIN(AP$3,$D$2-1)))))</f>
        <v/>
      </c>
      <c r="AQ25" s="55">
        <f>IF(OR($C25="",$B$2="",$D$2=0),0,IF(AQ$3&lt;0,0,N(INDEX('CURVA PREVISION'!$A$1:$KZ$3000,$C25,10+3*MIN(AQ$3,$D$2-1)))))</f>
        <v/>
      </c>
      <c r="AR25" s="55">
        <f>IF(OR($C25="",$B$2="",$D$2=0),0,IF(AR$3&lt;0,0,N(INDEX('CURVA PREVISION'!$A$1:$KZ$3000,$C25,10+3*MIN(AR$3,$D$2-1)))))</f>
        <v/>
      </c>
      <c r="AS25" s="55">
        <f>IF(OR($C25="",$B$2="",$D$2=0),0,IF(AS$3&lt;0,0,N(INDEX('CURVA PREVISION'!$A$1:$KZ$3000,$C25,10+3*MIN(AS$3,$D$2-1)))))</f>
        <v/>
      </c>
      <c r="AT25" s="55">
        <f>IF(OR($C25="",$B$2="",$D$2=0),0,IF(AT$3&lt;0,0,N(INDEX('CURVA PREVISION'!$A$1:$KZ$3000,$C25,10+3*MIN(AT$3,$D$2-1)))))</f>
        <v/>
      </c>
      <c r="AU25" s="55">
        <f>IF(OR($C25="",$B$2="",$D$2=0),0,IF(AU$3&lt;0,0,N(INDEX('CURVA PREVISION'!$A$1:$KZ$3000,$C25,10+3*MIN(AU$3,$D$2-1)))))</f>
        <v/>
      </c>
      <c r="AV25" s="55">
        <f>IF(OR($C25="",$B$2="",$D$2=0),0,IF(AV$3&lt;0,0,N(INDEX('CURVA PREVISION'!$A$1:$KZ$3000,$C25,10+3*MIN(AV$3,$D$2-1)))))</f>
        <v/>
      </c>
      <c r="AW25" s="55">
        <f>IF(OR($C25="",$B$2="",$D$2=0),0,IF(AW$3&lt;0,0,N(INDEX('CURVA PREVISION'!$A$1:$KZ$3000,$C25,10+3*MIN(AW$3,$D$2-1)))))</f>
        <v/>
      </c>
      <c r="AX25" s="55">
        <f>IF(OR($C25="",$B$2="",$D$2=0),0,IF(AX$3&lt;0,0,N(INDEX('CURVA PREVISION'!$A$1:$KZ$3000,$C25,10+3*MIN(AX$3,$D$2-1)))))</f>
        <v/>
      </c>
      <c r="AY25" s="55">
        <f>IF(OR($C25="",$B$2="",$D$2=0),0,IF(AY$3&lt;0,0,N(INDEX('CURVA PREVISION'!$A$1:$KZ$3000,$C25,10+3*MIN(AY$3,$D$2-1)))))</f>
        <v/>
      </c>
      <c r="AZ25" s="55">
        <f>IF(OR($C25="",$B$2="",$D$2=0),0,IF(AZ$3&lt;0,0,N(INDEX('CURVA PREVISION'!$A$1:$KZ$3000,$C25,10+3*MIN(AZ$3,$D$2-1)))))</f>
        <v/>
      </c>
      <c r="BA25" s="55">
        <f>IF(OR($C25="",$B$2="",$D$2=0),0,IF(BA$3&lt;0,0,N(INDEX('CURVA PREVISION'!$A$1:$KZ$3000,$C25,10+3*MIN(BA$3,$D$2-1)))))</f>
        <v/>
      </c>
      <c r="BB25" s="55">
        <f>IF(OR($C25="",$B$2="",$D$2=0),0,IF(BB$3&lt;0,0,N(INDEX('CURVA PREVISION'!$A$1:$KZ$3000,$C25,10+3*MIN(BB$3,$D$2-1)))))</f>
        <v/>
      </c>
      <c r="BC25" s="55">
        <f>IF(OR($C25="",$B$2="",$D$2=0),0,IF(BC$3&lt;0,0,N(INDEX('CURVA PREVISION'!$A$1:$KZ$3000,$C25,10+3*MIN(BC$3,$D$2-1)))))</f>
        <v/>
      </c>
      <c r="BD25" s="55">
        <f>IF(OR($C25="",$B$2="",$D$2=0),0,IF(BD$3&lt;0,0,N(INDEX('CURVA PREVISION'!$A$1:$KZ$3000,$C25,10+3*MIN(BD$3,$D$2-1)))))</f>
        <v/>
      </c>
      <c r="BE25" s="55">
        <f>IF(OR($C25="",$B$2="",$D$2=0),0,IF(BE$3&lt;0,0,N(INDEX('CURVA PREVISION'!$A$1:$KZ$3000,$C25,10+3*MIN(BE$3,$D$2-1)))))</f>
        <v/>
      </c>
      <c r="BF25" s="55">
        <f>IF(OR($C25="",$B$2="",$D$2=0),0,IF(BF$3&lt;0,0,N(INDEX('CURVA PREVISION'!$A$1:$KZ$3000,$C25,10+3*MIN(BF$3,$D$2-1)))))</f>
        <v/>
      </c>
      <c r="BG25" s="55">
        <f>IF(OR($C25="",$B$2="",$D$2=0),0,IF(BG$3&lt;0,0,N(INDEX('CURVA PREVISION'!$A$1:$KZ$3000,$C25,10+3*MIN(BG$3,$D$2-1)))))</f>
        <v/>
      </c>
      <c r="BH25" s="55">
        <f>IF(OR($C25="",$B$2="",$D$2=0),0,IF(BH$3&lt;0,0,N(INDEX('CURVA PREVISION'!$A$1:$KZ$3000,$C25,10+3*MIN(BH$3,$D$2-1)))))</f>
        <v/>
      </c>
      <c r="BI25" s="55">
        <f>IF(OR($C25="",$B$2="",$D$2=0),0,IF(BI$3&lt;0,0,N(INDEX('CURVA PREVISION'!$A$1:$KZ$3000,$C25,10+3*MIN(BI$3,$D$2-1)))))</f>
        <v/>
      </c>
      <c r="BJ25" s="55">
        <f>IF(OR($C25="",$B$2="",$D$2=0),0,IF(BJ$3&lt;0,0,N(INDEX('CURVA PREVISION'!$A$1:$KZ$3000,$C25,10+3*MIN(BJ$3,$D$2-1)))))</f>
        <v/>
      </c>
      <c r="BK25" s="55">
        <f>IF(OR($C25="",$B$2="",$D$2=0),0,IF(BK$3&lt;0,0,N(INDEX('CURVA PREVISION'!$A$1:$KZ$3000,$C25,10+3*MIN(BK$3,$D$2-1)))))</f>
        <v/>
      </c>
      <c r="BL25" s="55">
        <f>IF(OR($C25="",$B$2="",$D$2=0),0,IF(BL$3&lt;0,0,N(INDEX('CURVA PREVISION'!$A$1:$KZ$3000,$C25,10+3*MIN(BL$3,$D$2-1)))))</f>
        <v/>
      </c>
      <c r="BM25" s="55">
        <f>IF(OR($C25="",$B$2="",$D$2=0),0,IF(BM$3&lt;0,0,N(INDEX('CURVA PREVISION'!$A$1:$KZ$3000,$C25,10+3*MIN(BM$3,$D$2-1)))))</f>
        <v/>
      </c>
      <c r="BN25" s="55">
        <f>IF(OR($C25="",$B$2="",$D$2=0),0,IF(BN$3&lt;0,0,N(INDEX('CURVA PREVISION'!$A$1:$KZ$3000,$C25,10+3*MIN(BN$3,$D$2-1)))))</f>
        <v/>
      </c>
      <c r="BO25" s="55">
        <f>IF(OR($C25="",$B$2="",$D$2=0),0,IF(BO$3&lt;0,0,N(INDEX('CURVA PREVISION'!$A$1:$KZ$3000,$C25,10+3*MIN(BO$3,$D$2-1)))))</f>
        <v/>
      </c>
      <c r="BP25" s="55">
        <f>IF(OR($C25="",$B$2="",$D$2=0),0,IF(BP$3&lt;0,0,N(INDEX('CURVA PREVISION'!$A$1:$KZ$3000,$C25,10+3*MIN(BP$3,$D$2-1)))))</f>
        <v/>
      </c>
      <c r="BQ25" s="55">
        <f>IF(OR($C25="",$B$2="",$D$2=0),0,IF(BQ$3&lt;0,0,N(INDEX('CURVA PREVISION'!$A$1:$KZ$3000,$C25,10+3*MIN(BQ$3,$D$2-1)))))</f>
        <v/>
      </c>
      <c r="BR25" s="55">
        <f>IF(OR($C25="",$B$2="",$D$2=0),0,IF(BR$3&lt;0,0,N(INDEX('CURVA PREVISION'!$A$1:$KZ$3000,$C25,10+3*MIN(BR$3,$D$2-1)))))</f>
        <v/>
      </c>
      <c r="BS25" s="55">
        <f>IF(OR($C25="",$B$2="",$D$2=0),0,IF(BS$3&lt;0,0,N(INDEX('CURVA PREVISION'!$A$1:$KZ$3000,$C25,10+3*MIN(BS$3,$D$2-1)))))</f>
        <v/>
      </c>
      <c r="BT25" s="55">
        <f>IF(OR($C25="",$B$2="",$D$2=0),0,IF(BT$3&lt;0,0,N(INDEX('CURVA PREVISION'!$A$1:$KZ$3000,$C25,10+3*MIN(BT$3,$D$2-1)))))</f>
        <v/>
      </c>
      <c r="BU25" s="55">
        <f>IF(OR($C25="",$B$2="",$D$2=0),0,IF(BU$3&lt;0,0,N(INDEX('CURVA PREVISION'!$A$1:$KZ$3000,$C25,10+3*MIN(BU$3,$D$2-1)))))</f>
        <v/>
      </c>
      <c r="BV25" s="55">
        <f>IF(OR($C25="",$B$2="",$D$2=0),0,IF(BV$3&lt;0,0,N(INDEX('CURVA PREVISION'!$A$1:$KZ$3000,$C25,10+3*MIN(BV$3,$D$2-1)))))</f>
        <v/>
      </c>
      <c r="BW25" s="55">
        <f>IF(OR($C25="",$B$2="",$D$2=0),0,IF(BW$3&lt;0,0,N(INDEX('CURVA PREVISION'!$A$1:$KZ$3000,$C25,10+3*MIN(BW$3,$D$2-1)))))</f>
        <v/>
      </c>
    </row>
    <row r="26">
      <c r="A26" s="34">
        <f>'VALOR POR PL'!C32</f>
        <v/>
      </c>
      <c r="B26" s="34">
        <f>'VALOR POR PL'!D32</f>
        <v/>
      </c>
      <c r="C26" s="28">
        <f>IFERROR(MATCH(A26,'CURVA PREVISION'!$B$1:$B$3000,0),"")</f>
        <v/>
      </c>
      <c r="D26" s="55">
        <f>IF(OR($C26="",$B$2="",$D$2=0),0,IF(D$3&lt;0,0,N(INDEX('CURVA PREVISION'!$A$1:$KZ$3000,$C26,10+3*MIN(D$3,$D$2-1)))))</f>
        <v/>
      </c>
      <c r="E26" s="55">
        <f>IF(OR($C26="",$B$2="",$D$2=0),0,IF(E$3&lt;0,0,N(INDEX('CURVA PREVISION'!$A$1:$KZ$3000,$C26,10+3*MIN(E$3,$D$2-1)))))</f>
        <v/>
      </c>
      <c r="F26" s="55">
        <f>IF(OR($C26="",$B$2="",$D$2=0),0,IF(F$3&lt;0,0,N(INDEX('CURVA PREVISION'!$A$1:$KZ$3000,$C26,10+3*MIN(F$3,$D$2-1)))))</f>
        <v/>
      </c>
      <c r="G26" s="55">
        <f>IF(OR($C26="",$B$2="",$D$2=0),0,IF(G$3&lt;0,0,N(INDEX('CURVA PREVISION'!$A$1:$KZ$3000,$C26,10+3*MIN(G$3,$D$2-1)))))</f>
        <v/>
      </c>
      <c r="H26" s="55">
        <f>IF(OR($C26="",$B$2="",$D$2=0),0,IF(H$3&lt;0,0,N(INDEX('CURVA PREVISION'!$A$1:$KZ$3000,$C26,10+3*MIN(H$3,$D$2-1)))))</f>
        <v/>
      </c>
      <c r="I26" s="55">
        <f>IF(OR($C26="",$B$2="",$D$2=0),0,IF(I$3&lt;0,0,N(INDEX('CURVA PREVISION'!$A$1:$KZ$3000,$C26,10+3*MIN(I$3,$D$2-1)))))</f>
        <v/>
      </c>
      <c r="J26" s="55">
        <f>IF(OR($C26="",$B$2="",$D$2=0),0,IF(J$3&lt;0,0,N(INDEX('CURVA PREVISION'!$A$1:$KZ$3000,$C26,10+3*MIN(J$3,$D$2-1)))))</f>
        <v/>
      </c>
      <c r="K26" s="55">
        <f>IF(OR($C26="",$B$2="",$D$2=0),0,IF(K$3&lt;0,0,N(INDEX('CURVA PREVISION'!$A$1:$KZ$3000,$C26,10+3*MIN(K$3,$D$2-1)))))</f>
        <v/>
      </c>
      <c r="L26" s="55">
        <f>IF(OR($C26="",$B$2="",$D$2=0),0,IF(L$3&lt;0,0,N(INDEX('CURVA PREVISION'!$A$1:$KZ$3000,$C26,10+3*MIN(L$3,$D$2-1)))))</f>
        <v/>
      </c>
      <c r="M26" s="55">
        <f>IF(OR($C26="",$B$2="",$D$2=0),0,IF(M$3&lt;0,0,N(INDEX('CURVA PREVISION'!$A$1:$KZ$3000,$C26,10+3*MIN(M$3,$D$2-1)))))</f>
        <v/>
      </c>
      <c r="N26" s="55">
        <f>IF(OR($C26="",$B$2="",$D$2=0),0,IF(N$3&lt;0,0,N(INDEX('CURVA PREVISION'!$A$1:$KZ$3000,$C26,10+3*MIN(N$3,$D$2-1)))))</f>
        <v/>
      </c>
      <c r="O26" s="55">
        <f>IF(OR($C26="",$B$2="",$D$2=0),0,IF(O$3&lt;0,0,N(INDEX('CURVA PREVISION'!$A$1:$KZ$3000,$C26,10+3*MIN(O$3,$D$2-1)))))</f>
        <v/>
      </c>
      <c r="P26" s="55">
        <f>IF(OR($C26="",$B$2="",$D$2=0),0,IF(P$3&lt;0,0,N(INDEX('CURVA PREVISION'!$A$1:$KZ$3000,$C26,10+3*MIN(P$3,$D$2-1)))))</f>
        <v/>
      </c>
      <c r="Q26" s="55">
        <f>IF(OR($C26="",$B$2="",$D$2=0),0,IF(Q$3&lt;0,0,N(INDEX('CURVA PREVISION'!$A$1:$KZ$3000,$C26,10+3*MIN(Q$3,$D$2-1)))))</f>
        <v/>
      </c>
      <c r="R26" s="55">
        <f>IF(OR($C26="",$B$2="",$D$2=0),0,IF(R$3&lt;0,0,N(INDEX('CURVA PREVISION'!$A$1:$KZ$3000,$C26,10+3*MIN(R$3,$D$2-1)))))</f>
        <v/>
      </c>
      <c r="S26" s="55">
        <f>IF(OR($C26="",$B$2="",$D$2=0),0,IF(S$3&lt;0,0,N(INDEX('CURVA PREVISION'!$A$1:$KZ$3000,$C26,10+3*MIN(S$3,$D$2-1)))))</f>
        <v/>
      </c>
      <c r="T26" s="55">
        <f>IF(OR($C26="",$B$2="",$D$2=0),0,IF(T$3&lt;0,0,N(INDEX('CURVA PREVISION'!$A$1:$KZ$3000,$C26,10+3*MIN(T$3,$D$2-1)))))</f>
        <v/>
      </c>
      <c r="U26" s="55">
        <f>IF(OR($C26="",$B$2="",$D$2=0),0,IF(U$3&lt;0,0,N(INDEX('CURVA PREVISION'!$A$1:$KZ$3000,$C26,10+3*MIN(U$3,$D$2-1)))))</f>
        <v/>
      </c>
      <c r="V26" s="55">
        <f>IF(OR($C26="",$B$2="",$D$2=0),0,IF(V$3&lt;0,0,N(INDEX('CURVA PREVISION'!$A$1:$KZ$3000,$C26,10+3*MIN(V$3,$D$2-1)))))</f>
        <v/>
      </c>
      <c r="W26" s="55">
        <f>IF(OR($C26="",$B$2="",$D$2=0),0,IF(W$3&lt;0,0,N(INDEX('CURVA PREVISION'!$A$1:$KZ$3000,$C26,10+3*MIN(W$3,$D$2-1)))))</f>
        <v/>
      </c>
      <c r="X26" s="55">
        <f>IF(OR($C26="",$B$2="",$D$2=0),0,IF(X$3&lt;0,0,N(INDEX('CURVA PREVISION'!$A$1:$KZ$3000,$C26,10+3*MIN(X$3,$D$2-1)))))</f>
        <v/>
      </c>
      <c r="Y26" s="55">
        <f>IF(OR($C26="",$B$2="",$D$2=0),0,IF(Y$3&lt;0,0,N(INDEX('CURVA PREVISION'!$A$1:$KZ$3000,$C26,10+3*MIN(Y$3,$D$2-1)))))</f>
        <v/>
      </c>
      <c r="Z26" s="55">
        <f>IF(OR($C26="",$B$2="",$D$2=0),0,IF(Z$3&lt;0,0,N(INDEX('CURVA PREVISION'!$A$1:$KZ$3000,$C26,10+3*MIN(Z$3,$D$2-1)))))</f>
        <v/>
      </c>
      <c r="AA26" s="55">
        <f>IF(OR($C26="",$B$2="",$D$2=0),0,IF(AA$3&lt;0,0,N(INDEX('CURVA PREVISION'!$A$1:$KZ$3000,$C26,10+3*MIN(AA$3,$D$2-1)))))</f>
        <v/>
      </c>
      <c r="AB26" s="55">
        <f>IF(OR($C26="",$B$2="",$D$2=0),0,IF(AB$3&lt;0,0,N(INDEX('CURVA PREVISION'!$A$1:$KZ$3000,$C26,10+3*MIN(AB$3,$D$2-1)))))</f>
        <v/>
      </c>
      <c r="AC26" s="55">
        <f>IF(OR($C26="",$B$2="",$D$2=0),0,IF(AC$3&lt;0,0,N(INDEX('CURVA PREVISION'!$A$1:$KZ$3000,$C26,10+3*MIN(AC$3,$D$2-1)))))</f>
        <v/>
      </c>
      <c r="AD26" s="55">
        <f>IF(OR($C26="",$B$2="",$D$2=0),0,IF(AD$3&lt;0,0,N(INDEX('CURVA PREVISION'!$A$1:$KZ$3000,$C26,10+3*MIN(AD$3,$D$2-1)))))</f>
        <v/>
      </c>
      <c r="AE26" s="55">
        <f>IF(OR($C26="",$B$2="",$D$2=0),0,IF(AE$3&lt;0,0,N(INDEX('CURVA PREVISION'!$A$1:$KZ$3000,$C26,10+3*MIN(AE$3,$D$2-1)))))</f>
        <v/>
      </c>
      <c r="AF26" s="55">
        <f>IF(OR($C26="",$B$2="",$D$2=0),0,IF(AF$3&lt;0,0,N(INDEX('CURVA PREVISION'!$A$1:$KZ$3000,$C26,10+3*MIN(AF$3,$D$2-1)))))</f>
        <v/>
      </c>
      <c r="AG26" s="55">
        <f>IF(OR($C26="",$B$2="",$D$2=0),0,IF(AG$3&lt;0,0,N(INDEX('CURVA PREVISION'!$A$1:$KZ$3000,$C26,10+3*MIN(AG$3,$D$2-1)))))</f>
        <v/>
      </c>
      <c r="AH26" s="55">
        <f>IF(OR($C26="",$B$2="",$D$2=0),0,IF(AH$3&lt;0,0,N(INDEX('CURVA PREVISION'!$A$1:$KZ$3000,$C26,10+3*MIN(AH$3,$D$2-1)))))</f>
        <v/>
      </c>
      <c r="AI26" s="55">
        <f>IF(OR($C26="",$B$2="",$D$2=0),0,IF(AI$3&lt;0,0,N(INDEX('CURVA PREVISION'!$A$1:$KZ$3000,$C26,10+3*MIN(AI$3,$D$2-1)))))</f>
        <v/>
      </c>
      <c r="AJ26" s="55">
        <f>IF(OR($C26="",$B$2="",$D$2=0),0,IF(AJ$3&lt;0,0,N(INDEX('CURVA PREVISION'!$A$1:$KZ$3000,$C26,10+3*MIN(AJ$3,$D$2-1)))))</f>
        <v/>
      </c>
      <c r="AK26" s="55">
        <f>IF(OR($C26="",$B$2="",$D$2=0),0,IF(AK$3&lt;0,0,N(INDEX('CURVA PREVISION'!$A$1:$KZ$3000,$C26,10+3*MIN(AK$3,$D$2-1)))))</f>
        <v/>
      </c>
      <c r="AL26" s="55">
        <f>IF(OR($C26="",$B$2="",$D$2=0),0,IF(AL$3&lt;0,0,N(INDEX('CURVA PREVISION'!$A$1:$KZ$3000,$C26,10+3*MIN(AL$3,$D$2-1)))))</f>
        <v/>
      </c>
      <c r="AM26" s="55">
        <f>IF(OR($C26="",$B$2="",$D$2=0),0,IF(AM$3&lt;0,0,N(INDEX('CURVA PREVISION'!$A$1:$KZ$3000,$C26,10+3*MIN(AM$3,$D$2-1)))))</f>
        <v/>
      </c>
      <c r="AN26" s="55">
        <f>IF(OR($C26="",$B$2="",$D$2=0),0,IF(AN$3&lt;0,0,N(INDEX('CURVA PREVISION'!$A$1:$KZ$3000,$C26,10+3*MIN(AN$3,$D$2-1)))))</f>
        <v/>
      </c>
      <c r="AO26" s="55">
        <f>IF(OR($C26="",$B$2="",$D$2=0),0,IF(AO$3&lt;0,0,N(INDEX('CURVA PREVISION'!$A$1:$KZ$3000,$C26,10+3*MIN(AO$3,$D$2-1)))))</f>
        <v/>
      </c>
      <c r="AP26" s="55">
        <f>IF(OR($C26="",$B$2="",$D$2=0),0,IF(AP$3&lt;0,0,N(INDEX('CURVA PREVISION'!$A$1:$KZ$3000,$C26,10+3*MIN(AP$3,$D$2-1)))))</f>
        <v/>
      </c>
      <c r="AQ26" s="55">
        <f>IF(OR($C26="",$B$2="",$D$2=0),0,IF(AQ$3&lt;0,0,N(INDEX('CURVA PREVISION'!$A$1:$KZ$3000,$C26,10+3*MIN(AQ$3,$D$2-1)))))</f>
        <v/>
      </c>
      <c r="AR26" s="55">
        <f>IF(OR($C26="",$B$2="",$D$2=0),0,IF(AR$3&lt;0,0,N(INDEX('CURVA PREVISION'!$A$1:$KZ$3000,$C26,10+3*MIN(AR$3,$D$2-1)))))</f>
        <v/>
      </c>
      <c r="AS26" s="55">
        <f>IF(OR($C26="",$B$2="",$D$2=0),0,IF(AS$3&lt;0,0,N(INDEX('CURVA PREVISION'!$A$1:$KZ$3000,$C26,10+3*MIN(AS$3,$D$2-1)))))</f>
        <v/>
      </c>
      <c r="AT26" s="55">
        <f>IF(OR($C26="",$B$2="",$D$2=0),0,IF(AT$3&lt;0,0,N(INDEX('CURVA PREVISION'!$A$1:$KZ$3000,$C26,10+3*MIN(AT$3,$D$2-1)))))</f>
        <v/>
      </c>
      <c r="AU26" s="55">
        <f>IF(OR($C26="",$B$2="",$D$2=0),0,IF(AU$3&lt;0,0,N(INDEX('CURVA PREVISION'!$A$1:$KZ$3000,$C26,10+3*MIN(AU$3,$D$2-1)))))</f>
        <v/>
      </c>
      <c r="AV26" s="55">
        <f>IF(OR($C26="",$B$2="",$D$2=0),0,IF(AV$3&lt;0,0,N(INDEX('CURVA PREVISION'!$A$1:$KZ$3000,$C26,10+3*MIN(AV$3,$D$2-1)))))</f>
        <v/>
      </c>
      <c r="AW26" s="55">
        <f>IF(OR($C26="",$B$2="",$D$2=0),0,IF(AW$3&lt;0,0,N(INDEX('CURVA PREVISION'!$A$1:$KZ$3000,$C26,10+3*MIN(AW$3,$D$2-1)))))</f>
        <v/>
      </c>
      <c r="AX26" s="55">
        <f>IF(OR($C26="",$B$2="",$D$2=0),0,IF(AX$3&lt;0,0,N(INDEX('CURVA PREVISION'!$A$1:$KZ$3000,$C26,10+3*MIN(AX$3,$D$2-1)))))</f>
        <v/>
      </c>
      <c r="AY26" s="55">
        <f>IF(OR($C26="",$B$2="",$D$2=0),0,IF(AY$3&lt;0,0,N(INDEX('CURVA PREVISION'!$A$1:$KZ$3000,$C26,10+3*MIN(AY$3,$D$2-1)))))</f>
        <v/>
      </c>
      <c r="AZ26" s="55">
        <f>IF(OR($C26="",$B$2="",$D$2=0),0,IF(AZ$3&lt;0,0,N(INDEX('CURVA PREVISION'!$A$1:$KZ$3000,$C26,10+3*MIN(AZ$3,$D$2-1)))))</f>
        <v/>
      </c>
      <c r="BA26" s="55">
        <f>IF(OR($C26="",$B$2="",$D$2=0),0,IF(BA$3&lt;0,0,N(INDEX('CURVA PREVISION'!$A$1:$KZ$3000,$C26,10+3*MIN(BA$3,$D$2-1)))))</f>
        <v/>
      </c>
      <c r="BB26" s="55">
        <f>IF(OR($C26="",$B$2="",$D$2=0),0,IF(BB$3&lt;0,0,N(INDEX('CURVA PREVISION'!$A$1:$KZ$3000,$C26,10+3*MIN(BB$3,$D$2-1)))))</f>
        <v/>
      </c>
      <c r="BC26" s="55">
        <f>IF(OR($C26="",$B$2="",$D$2=0),0,IF(BC$3&lt;0,0,N(INDEX('CURVA PREVISION'!$A$1:$KZ$3000,$C26,10+3*MIN(BC$3,$D$2-1)))))</f>
        <v/>
      </c>
      <c r="BD26" s="55">
        <f>IF(OR($C26="",$B$2="",$D$2=0),0,IF(BD$3&lt;0,0,N(INDEX('CURVA PREVISION'!$A$1:$KZ$3000,$C26,10+3*MIN(BD$3,$D$2-1)))))</f>
        <v/>
      </c>
      <c r="BE26" s="55">
        <f>IF(OR($C26="",$B$2="",$D$2=0),0,IF(BE$3&lt;0,0,N(INDEX('CURVA PREVISION'!$A$1:$KZ$3000,$C26,10+3*MIN(BE$3,$D$2-1)))))</f>
        <v/>
      </c>
      <c r="BF26" s="55">
        <f>IF(OR($C26="",$B$2="",$D$2=0),0,IF(BF$3&lt;0,0,N(INDEX('CURVA PREVISION'!$A$1:$KZ$3000,$C26,10+3*MIN(BF$3,$D$2-1)))))</f>
        <v/>
      </c>
      <c r="BG26" s="55">
        <f>IF(OR($C26="",$B$2="",$D$2=0),0,IF(BG$3&lt;0,0,N(INDEX('CURVA PREVISION'!$A$1:$KZ$3000,$C26,10+3*MIN(BG$3,$D$2-1)))))</f>
        <v/>
      </c>
      <c r="BH26" s="55">
        <f>IF(OR($C26="",$B$2="",$D$2=0),0,IF(BH$3&lt;0,0,N(INDEX('CURVA PREVISION'!$A$1:$KZ$3000,$C26,10+3*MIN(BH$3,$D$2-1)))))</f>
        <v/>
      </c>
      <c r="BI26" s="55">
        <f>IF(OR($C26="",$B$2="",$D$2=0),0,IF(BI$3&lt;0,0,N(INDEX('CURVA PREVISION'!$A$1:$KZ$3000,$C26,10+3*MIN(BI$3,$D$2-1)))))</f>
        <v/>
      </c>
      <c r="BJ26" s="55">
        <f>IF(OR($C26="",$B$2="",$D$2=0),0,IF(BJ$3&lt;0,0,N(INDEX('CURVA PREVISION'!$A$1:$KZ$3000,$C26,10+3*MIN(BJ$3,$D$2-1)))))</f>
        <v/>
      </c>
      <c r="BK26" s="55">
        <f>IF(OR($C26="",$B$2="",$D$2=0),0,IF(BK$3&lt;0,0,N(INDEX('CURVA PREVISION'!$A$1:$KZ$3000,$C26,10+3*MIN(BK$3,$D$2-1)))))</f>
        <v/>
      </c>
      <c r="BL26" s="55">
        <f>IF(OR($C26="",$B$2="",$D$2=0),0,IF(BL$3&lt;0,0,N(INDEX('CURVA PREVISION'!$A$1:$KZ$3000,$C26,10+3*MIN(BL$3,$D$2-1)))))</f>
        <v/>
      </c>
      <c r="BM26" s="55">
        <f>IF(OR($C26="",$B$2="",$D$2=0),0,IF(BM$3&lt;0,0,N(INDEX('CURVA PREVISION'!$A$1:$KZ$3000,$C26,10+3*MIN(BM$3,$D$2-1)))))</f>
        <v/>
      </c>
      <c r="BN26" s="55">
        <f>IF(OR($C26="",$B$2="",$D$2=0),0,IF(BN$3&lt;0,0,N(INDEX('CURVA PREVISION'!$A$1:$KZ$3000,$C26,10+3*MIN(BN$3,$D$2-1)))))</f>
        <v/>
      </c>
      <c r="BO26" s="55">
        <f>IF(OR($C26="",$B$2="",$D$2=0),0,IF(BO$3&lt;0,0,N(INDEX('CURVA PREVISION'!$A$1:$KZ$3000,$C26,10+3*MIN(BO$3,$D$2-1)))))</f>
        <v/>
      </c>
      <c r="BP26" s="55">
        <f>IF(OR($C26="",$B$2="",$D$2=0),0,IF(BP$3&lt;0,0,N(INDEX('CURVA PREVISION'!$A$1:$KZ$3000,$C26,10+3*MIN(BP$3,$D$2-1)))))</f>
        <v/>
      </c>
      <c r="BQ26" s="55">
        <f>IF(OR($C26="",$B$2="",$D$2=0),0,IF(BQ$3&lt;0,0,N(INDEX('CURVA PREVISION'!$A$1:$KZ$3000,$C26,10+3*MIN(BQ$3,$D$2-1)))))</f>
        <v/>
      </c>
      <c r="BR26" s="55">
        <f>IF(OR($C26="",$B$2="",$D$2=0),0,IF(BR$3&lt;0,0,N(INDEX('CURVA PREVISION'!$A$1:$KZ$3000,$C26,10+3*MIN(BR$3,$D$2-1)))))</f>
        <v/>
      </c>
      <c r="BS26" s="55">
        <f>IF(OR($C26="",$B$2="",$D$2=0),0,IF(BS$3&lt;0,0,N(INDEX('CURVA PREVISION'!$A$1:$KZ$3000,$C26,10+3*MIN(BS$3,$D$2-1)))))</f>
        <v/>
      </c>
      <c r="BT26" s="55">
        <f>IF(OR($C26="",$B$2="",$D$2=0),0,IF(BT$3&lt;0,0,N(INDEX('CURVA PREVISION'!$A$1:$KZ$3000,$C26,10+3*MIN(BT$3,$D$2-1)))))</f>
        <v/>
      </c>
      <c r="BU26" s="55">
        <f>IF(OR($C26="",$B$2="",$D$2=0),0,IF(BU$3&lt;0,0,N(INDEX('CURVA PREVISION'!$A$1:$KZ$3000,$C26,10+3*MIN(BU$3,$D$2-1)))))</f>
        <v/>
      </c>
      <c r="BV26" s="55">
        <f>IF(OR($C26="",$B$2="",$D$2=0),0,IF(BV$3&lt;0,0,N(INDEX('CURVA PREVISION'!$A$1:$KZ$3000,$C26,10+3*MIN(BV$3,$D$2-1)))))</f>
        <v/>
      </c>
      <c r="BW26" s="55">
        <f>IF(OR($C26="",$B$2="",$D$2=0),0,IF(BW$3&lt;0,0,N(INDEX('CURVA PREVISION'!$A$1:$KZ$3000,$C26,10+3*MIN(BW$3,$D$2-1)))))</f>
        <v/>
      </c>
    </row>
    <row r="27">
      <c r="A27" s="34">
        <f>'VALOR POR PL'!C33</f>
        <v/>
      </c>
      <c r="B27" s="34">
        <f>'VALOR POR PL'!D33</f>
        <v/>
      </c>
      <c r="C27" s="28">
        <f>IFERROR(MATCH(A27,'CURVA PREVISION'!$B$1:$B$3000,0),"")</f>
        <v/>
      </c>
      <c r="D27" s="55">
        <f>IF(OR($C27="",$B$2="",$D$2=0),0,IF(D$3&lt;0,0,N(INDEX('CURVA PREVISION'!$A$1:$KZ$3000,$C27,10+3*MIN(D$3,$D$2-1)))))</f>
        <v/>
      </c>
      <c r="E27" s="55">
        <f>IF(OR($C27="",$B$2="",$D$2=0),0,IF(E$3&lt;0,0,N(INDEX('CURVA PREVISION'!$A$1:$KZ$3000,$C27,10+3*MIN(E$3,$D$2-1)))))</f>
        <v/>
      </c>
      <c r="F27" s="55">
        <f>IF(OR($C27="",$B$2="",$D$2=0),0,IF(F$3&lt;0,0,N(INDEX('CURVA PREVISION'!$A$1:$KZ$3000,$C27,10+3*MIN(F$3,$D$2-1)))))</f>
        <v/>
      </c>
      <c r="G27" s="55">
        <f>IF(OR($C27="",$B$2="",$D$2=0),0,IF(G$3&lt;0,0,N(INDEX('CURVA PREVISION'!$A$1:$KZ$3000,$C27,10+3*MIN(G$3,$D$2-1)))))</f>
        <v/>
      </c>
      <c r="H27" s="55">
        <f>IF(OR($C27="",$B$2="",$D$2=0),0,IF(H$3&lt;0,0,N(INDEX('CURVA PREVISION'!$A$1:$KZ$3000,$C27,10+3*MIN(H$3,$D$2-1)))))</f>
        <v/>
      </c>
      <c r="I27" s="55">
        <f>IF(OR($C27="",$B$2="",$D$2=0),0,IF(I$3&lt;0,0,N(INDEX('CURVA PREVISION'!$A$1:$KZ$3000,$C27,10+3*MIN(I$3,$D$2-1)))))</f>
        <v/>
      </c>
      <c r="J27" s="55">
        <f>IF(OR($C27="",$B$2="",$D$2=0),0,IF(J$3&lt;0,0,N(INDEX('CURVA PREVISION'!$A$1:$KZ$3000,$C27,10+3*MIN(J$3,$D$2-1)))))</f>
        <v/>
      </c>
      <c r="K27" s="55">
        <f>IF(OR($C27="",$B$2="",$D$2=0),0,IF(K$3&lt;0,0,N(INDEX('CURVA PREVISION'!$A$1:$KZ$3000,$C27,10+3*MIN(K$3,$D$2-1)))))</f>
        <v/>
      </c>
      <c r="L27" s="55">
        <f>IF(OR($C27="",$B$2="",$D$2=0),0,IF(L$3&lt;0,0,N(INDEX('CURVA PREVISION'!$A$1:$KZ$3000,$C27,10+3*MIN(L$3,$D$2-1)))))</f>
        <v/>
      </c>
      <c r="M27" s="55">
        <f>IF(OR($C27="",$B$2="",$D$2=0),0,IF(M$3&lt;0,0,N(INDEX('CURVA PREVISION'!$A$1:$KZ$3000,$C27,10+3*MIN(M$3,$D$2-1)))))</f>
        <v/>
      </c>
      <c r="N27" s="55">
        <f>IF(OR($C27="",$B$2="",$D$2=0),0,IF(N$3&lt;0,0,N(INDEX('CURVA PREVISION'!$A$1:$KZ$3000,$C27,10+3*MIN(N$3,$D$2-1)))))</f>
        <v/>
      </c>
      <c r="O27" s="55">
        <f>IF(OR($C27="",$B$2="",$D$2=0),0,IF(O$3&lt;0,0,N(INDEX('CURVA PREVISION'!$A$1:$KZ$3000,$C27,10+3*MIN(O$3,$D$2-1)))))</f>
        <v/>
      </c>
      <c r="P27" s="55">
        <f>IF(OR($C27="",$B$2="",$D$2=0),0,IF(P$3&lt;0,0,N(INDEX('CURVA PREVISION'!$A$1:$KZ$3000,$C27,10+3*MIN(P$3,$D$2-1)))))</f>
        <v/>
      </c>
      <c r="Q27" s="55">
        <f>IF(OR($C27="",$B$2="",$D$2=0),0,IF(Q$3&lt;0,0,N(INDEX('CURVA PREVISION'!$A$1:$KZ$3000,$C27,10+3*MIN(Q$3,$D$2-1)))))</f>
        <v/>
      </c>
      <c r="R27" s="55">
        <f>IF(OR($C27="",$B$2="",$D$2=0),0,IF(R$3&lt;0,0,N(INDEX('CURVA PREVISION'!$A$1:$KZ$3000,$C27,10+3*MIN(R$3,$D$2-1)))))</f>
        <v/>
      </c>
      <c r="S27" s="55">
        <f>IF(OR($C27="",$B$2="",$D$2=0),0,IF(S$3&lt;0,0,N(INDEX('CURVA PREVISION'!$A$1:$KZ$3000,$C27,10+3*MIN(S$3,$D$2-1)))))</f>
        <v/>
      </c>
      <c r="T27" s="55">
        <f>IF(OR($C27="",$B$2="",$D$2=0),0,IF(T$3&lt;0,0,N(INDEX('CURVA PREVISION'!$A$1:$KZ$3000,$C27,10+3*MIN(T$3,$D$2-1)))))</f>
        <v/>
      </c>
      <c r="U27" s="55">
        <f>IF(OR($C27="",$B$2="",$D$2=0),0,IF(U$3&lt;0,0,N(INDEX('CURVA PREVISION'!$A$1:$KZ$3000,$C27,10+3*MIN(U$3,$D$2-1)))))</f>
        <v/>
      </c>
      <c r="V27" s="55">
        <f>IF(OR($C27="",$B$2="",$D$2=0),0,IF(V$3&lt;0,0,N(INDEX('CURVA PREVISION'!$A$1:$KZ$3000,$C27,10+3*MIN(V$3,$D$2-1)))))</f>
        <v/>
      </c>
      <c r="W27" s="55">
        <f>IF(OR($C27="",$B$2="",$D$2=0),0,IF(W$3&lt;0,0,N(INDEX('CURVA PREVISION'!$A$1:$KZ$3000,$C27,10+3*MIN(W$3,$D$2-1)))))</f>
        <v/>
      </c>
      <c r="X27" s="55">
        <f>IF(OR($C27="",$B$2="",$D$2=0),0,IF(X$3&lt;0,0,N(INDEX('CURVA PREVISION'!$A$1:$KZ$3000,$C27,10+3*MIN(X$3,$D$2-1)))))</f>
        <v/>
      </c>
      <c r="Y27" s="55">
        <f>IF(OR($C27="",$B$2="",$D$2=0),0,IF(Y$3&lt;0,0,N(INDEX('CURVA PREVISION'!$A$1:$KZ$3000,$C27,10+3*MIN(Y$3,$D$2-1)))))</f>
        <v/>
      </c>
      <c r="Z27" s="55">
        <f>IF(OR($C27="",$B$2="",$D$2=0),0,IF(Z$3&lt;0,0,N(INDEX('CURVA PREVISION'!$A$1:$KZ$3000,$C27,10+3*MIN(Z$3,$D$2-1)))))</f>
        <v/>
      </c>
      <c r="AA27" s="55">
        <f>IF(OR($C27="",$B$2="",$D$2=0),0,IF(AA$3&lt;0,0,N(INDEX('CURVA PREVISION'!$A$1:$KZ$3000,$C27,10+3*MIN(AA$3,$D$2-1)))))</f>
        <v/>
      </c>
      <c r="AB27" s="55">
        <f>IF(OR($C27="",$B$2="",$D$2=0),0,IF(AB$3&lt;0,0,N(INDEX('CURVA PREVISION'!$A$1:$KZ$3000,$C27,10+3*MIN(AB$3,$D$2-1)))))</f>
        <v/>
      </c>
      <c r="AC27" s="55">
        <f>IF(OR($C27="",$B$2="",$D$2=0),0,IF(AC$3&lt;0,0,N(INDEX('CURVA PREVISION'!$A$1:$KZ$3000,$C27,10+3*MIN(AC$3,$D$2-1)))))</f>
        <v/>
      </c>
      <c r="AD27" s="55">
        <f>IF(OR($C27="",$B$2="",$D$2=0),0,IF(AD$3&lt;0,0,N(INDEX('CURVA PREVISION'!$A$1:$KZ$3000,$C27,10+3*MIN(AD$3,$D$2-1)))))</f>
        <v/>
      </c>
      <c r="AE27" s="55">
        <f>IF(OR($C27="",$B$2="",$D$2=0),0,IF(AE$3&lt;0,0,N(INDEX('CURVA PREVISION'!$A$1:$KZ$3000,$C27,10+3*MIN(AE$3,$D$2-1)))))</f>
        <v/>
      </c>
      <c r="AF27" s="55">
        <f>IF(OR($C27="",$B$2="",$D$2=0),0,IF(AF$3&lt;0,0,N(INDEX('CURVA PREVISION'!$A$1:$KZ$3000,$C27,10+3*MIN(AF$3,$D$2-1)))))</f>
        <v/>
      </c>
      <c r="AG27" s="55">
        <f>IF(OR($C27="",$B$2="",$D$2=0),0,IF(AG$3&lt;0,0,N(INDEX('CURVA PREVISION'!$A$1:$KZ$3000,$C27,10+3*MIN(AG$3,$D$2-1)))))</f>
        <v/>
      </c>
      <c r="AH27" s="55">
        <f>IF(OR($C27="",$B$2="",$D$2=0),0,IF(AH$3&lt;0,0,N(INDEX('CURVA PREVISION'!$A$1:$KZ$3000,$C27,10+3*MIN(AH$3,$D$2-1)))))</f>
        <v/>
      </c>
      <c r="AI27" s="55">
        <f>IF(OR($C27="",$B$2="",$D$2=0),0,IF(AI$3&lt;0,0,N(INDEX('CURVA PREVISION'!$A$1:$KZ$3000,$C27,10+3*MIN(AI$3,$D$2-1)))))</f>
        <v/>
      </c>
      <c r="AJ27" s="55">
        <f>IF(OR($C27="",$B$2="",$D$2=0),0,IF(AJ$3&lt;0,0,N(INDEX('CURVA PREVISION'!$A$1:$KZ$3000,$C27,10+3*MIN(AJ$3,$D$2-1)))))</f>
        <v/>
      </c>
      <c r="AK27" s="55">
        <f>IF(OR($C27="",$B$2="",$D$2=0),0,IF(AK$3&lt;0,0,N(INDEX('CURVA PREVISION'!$A$1:$KZ$3000,$C27,10+3*MIN(AK$3,$D$2-1)))))</f>
        <v/>
      </c>
      <c r="AL27" s="55">
        <f>IF(OR($C27="",$B$2="",$D$2=0),0,IF(AL$3&lt;0,0,N(INDEX('CURVA PREVISION'!$A$1:$KZ$3000,$C27,10+3*MIN(AL$3,$D$2-1)))))</f>
        <v/>
      </c>
      <c r="AM27" s="55">
        <f>IF(OR($C27="",$B$2="",$D$2=0),0,IF(AM$3&lt;0,0,N(INDEX('CURVA PREVISION'!$A$1:$KZ$3000,$C27,10+3*MIN(AM$3,$D$2-1)))))</f>
        <v/>
      </c>
      <c r="AN27" s="55">
        <f>IF(OR($C27="",$B$2="",$D$2=0),0,IF(AN$3&lt;0,0,N(INDEX('CURVA PREVISION'!$A$1:$KZ$3000,$C27,10+3*MIN(AN$3,$D$2-1)))))</f>
        <v/>
      </c>
      <c r="AO27" s="55">
        <f>IF(OR($C27="",$B$2="",$D$2=0),0,IF(AO$3&lt;0,0,N(INDEX('CURVA PREVISION'!$A$1:$KZ$3000,$C27,10+3*MIN(AO$3,$D$2-1)))))</f>
        <v/>
      </c>
      <c r="AP27" s="55">
        <f>IF(OR($C27="",$B$2="",$D$2=0),0,IF(AP$3&lt;0,0,N(INDEX('CURVA PREVISION'!$A$1:$KZ$3000,$C27,10+3*MIN(AP$3,$D$2-1)))))</f>
        <v/>
      </c>
      <c r="AQ27" s="55">
        <f>IF(OR($C27="",$B$2="",$D$2=0),0,IF(AQ$3&lt;0,0,N(INDEX('CURVA PREVISION'!$A$1:$KZ$3000,$C27,10+3*MIN(AQ$3,$D$2-1)))))</f>
        <v/>
      </c>
      <c r="AR27" s="55">
        <f>IF(OR($C27="",$B$2="",$D$2=0),0,IF(AR$3&lt;0,0,N(INDEX('CURVA PREVISION'!$A$1:$KZ$3000,$C27,10+3*MIN(AR$3,$D$2-1)))))</f>
        <v/>
      </c>
      <c r="AS27" s="55">
        <f>IF(OR($C27="",$B$2="",$D$2=0),0,IF(AS$3&lt;0,0,N(INDEX('CURVA PREVISION'!$A$1:$KZ$3000,$C27,10+3*MIN(AS$3,$D$2-1)))))</f>
        <v/>
      </c>
      <c r="AT27" s="55">
        <f>IF(OR($C27="",$B$2="",$D$2=0),0,IF(AT$3&lt;0,0,N(INDEX('CURVA PREVISION'!$A$1:$KZ$3000,$C27,10+3*MIN(AT$3,$D$2-1)))))</f>
        <v/>
      </c>
      <c r="AU27" s="55">
        <f>IF(OR($C27="",$B$2="",$D$2=0),0,IF(AU$3&lt;0,0,N(INDEX('CURVA PREVISION'!$A$1:$KZ$3000,$C27,10+3*MIN(AU$3,$D$2-1)))))</f>
        <v/>
      </c>
      <c r="AV27" s="55">
        <f>IF(OR($C27="",$B$2="",$D$2=0),0,IF(AV$3&lt;0,0,N(INDEX('CURVA PREVISION'!$A$1:$KZ$3000,$C27,10+3*MIN(AV$3,$D$2-1)))))</f>
        <v/>
      </c>
      <c r="AW27" s="55">
        <f>IF(OR($C27="",$B$2="",$D$2=0),0,IF(AW$3&lt;0,0,N(INDEX('CURVA PREVISION'!$A$1:$KZ$3000,$C27,10+3*MIN(AW$3,$D$2-1)))))</f>
        <v/>
      </c>
      <c r="AX27" s="55">
        <f>IF(OR($C27="",$B$2="",$D$2=0),0,IF(AX$3&lt;0,0,N(INDEX('CURVA PREVISION'!$A$1:$KZ$3000,$C27,10+3*MIN(AX$3,$D$2-1)))))</f>
        <v/>
      </c>
      <c r="AY27" s="55">
        <f>IF(OR($C27="",$B$2="",$D$2=0),0,IF(AY$3&lt;0,0,N(INDEX('CURVA PREVISION'!$A$1:$KZ$3000,$C27,10+3*MIN(AY$3,$D$2-1)))))</f>
        <v/>
      </c>
      <c r="AZ27" s="55">
        <f>IF(OR($C27="",$B$2="",$D$2=0),0,IF(AZ$3&lt;0,0,N(INDEX('CURVA PREVISION'!$A$1:$KZ$3000,$C27,10+3*MIN(AZ$3,$D$2-1)))))</f>
        <v/>
      </c>
      <c r="BA27" s="55">
        <f>IF(OR($C27="",$B$2="",$D$2=0),0,IF(BA$3&lt;0,0,N(INDEX('CURVA PREVISION'!$A$1:$KZ$3000,$C27,10+3*MIN(BA$3,$D$2-1)))))</f>
        <v/>
      </c>
      <c r="BB27" s="55">
        <f>IF(OR($C27="",$B$2="",$D$2=0),0,IF(BB$3&lt;0,0,N(INDEX('CURVA PREVISION'!$A$1:$KZ$3000,$C27,10+3*MIN(BB$3,$D$2-1)))))</f>
        <v/>
      </c>
      <c r="BC27" s="55">
        <f>IF(OR($C27="",$B$2="",$D$2=0),0,IF(BC$3&lt;0,0,N(INDEX('CURVA PREVISION'!$A$1:$KZ$3000,$C27,10+3*MIN(BC$3,$D$2-1)))))</f>
        <v/>
      </c>
      <c r="BD27" s="55">
        <f>IF(OR($C27="",$B$2="",$D$2=0),0,IF(BD$3&lt;0,0,N(INDEX('CURVA PREVISION'!$A$1:$KZ$3000,$C27,10+3*MIN(BD$3,$D$2-1)))))</f>
        <v/>
      </c>
      <c r="BE27" s="55">
        <f>IF(OR($C27="",$B$2="",$D$2=0),0,IF(BE$3&lt;0,0,N(INDEX('CURVA PREVISION'!$A$1:$KZ$3000,$C27,10+3*MIN(BE$3,$D$2-1)))))</f>
        <v/>
      </c>
      <c r="BF27" s="55">
        <f>IF(OR($C27="",$B$2="",$D$2=0),0,IF(BF$3&lt;0,0,N(INDEX('CURVA PREVISION'!$A$1:$KZ$3000,$C27,10+3*MIN(BF$3,$D$2-1)))))</f>
        <v/>
      </c>
      <c r="BG27" s="55">
        <f>IF(OR($C27="",$B$2="",$D$2=0),0,IF(BG$3&lt;0,0,N(INDEX('CURVA PREVISION'!$A$1:$KZ$3000,$C27,10+3*MIN(BG$3,$D$2-1)))))</f>
        <v/>
      </c>
      <c r="BH27" s="55">
        <f>IF(OR($C27="",$B$2="",$D$2=0),0,IF(BH$3&lt;0,0,N(INDEX('CURVA PREVISION'!$A$1:$KZ$3000,$C27,10+3*MIN(BH$3,$D$2-1)))))</f>
        <v/>
      </c>
      <c r="BI27" s="55">
        <f>IF(OR($C27="",$B$2="",$D$2=0),0,IF(BI$3&lt;0,0,N(INDEX('CURVA PREVISION'!$A$1:$KZ$3000,$C27,10+3*MIN(BI$3,$D$2-1)))))</f>
        <v/>
      </c>
      <c r="BJ27" s="55">
        <f>IF(OR($C27="",$B$2="",$D$2=0),0,IF(BJ$3&lt;0,0,N(INDEX('CURVA PREVISION'!$A$1:$KZ$3000,$C27,10+3*MIN(BJ$3,$D$2-1)))))</f>
        <v/>
      </c>
      <c r="BK27" s="55">
        <f>IF(OR($C27="",$B$2="",$D$2=0),0,IF(BK$3&lt;0,0,N(INDEX('CURVA PREVISION'!$A$1:$KZ$3000,$C27,10+3*MIN(BK$3,$D$2-1)))))</f>
        <v/>
      </c>
      <c r="BL27" s="55">
        <f>IF(OR($C27="",$B$2="",$D$2=0),0,IF(BL$3&lt;0,0,N(INDEX('CURVA PREVISION'!$A$1:$KZ$3000,$C27,10+3*MIN(BL$3,$D$2-1)))))</f>
        <v/>
      </c>
      <c r="BM27" s="55">
        <f>IF(OR($C27="",$B$2="",$D$2=0),0,IF(BM$3&lt;0,0,N(INDEX('CURVA PREVISION'!$A$1:$KZ$3000,$C27,10+3*MIN(BM$3,$D$2-1)))))</f>
        <v/>
      </c>
      <c r="BN27" s="55">
        <f>IF(OR($C27="",$B$2="",$D$2=0),0,IF(BN$3&lt;0,0,N(INDEX('CURVA PREVISION'!$A$1:$KZ$3000,$C27,10+3*MIN(BN$3,$D$2-1)))))</f>
        <v/>
      </c>
      <c r="BO27" s="55">
        <f>IF(OR($C27="",$B$2="",$D$2=0),0,IF(BO$3&lt;0,0,N(INDEX('CURVA PREVISION'!$A$1:$KZ$3000,$C27,10+3*MIN(BO$3,$D$2-1)))))</f>
        <v/>
      </c>
      <c r="BP27" s="55">
        <f>IF(OR($C27="",$B$2="",$D$2=0),0,IF(BP$3&lt;0,0,N(INDEX('CURVA PREVISION'!$A$1:$KZ$3000,$C27,10+3*MIN(BP$3,$D$2-1)))))</f>
        <v/>
      </c>
      <c r="BQ27" s="55">
        <f>IF(OR($C27="",$B$2="",$D$2=0),0,IF(BQ$3&lt;0,0,N(INDEX('CURVA PREVISION'!$A$1:$KZ$3000,$C27,10+3*MIN(BQ$3,$D$2-1)))))</f>
        <v/>
      </c>
      <c r="BR27" s="55">
        <f>IF(OR($C27="",$B$2="",$D$2=0),0,IF(BR$3&lt;0,0,N(INDEX('CURVA PREVISION'!$A$1:$KZ$3000,$C27,10+3*MIN(BR$3,$D$2-1)))))</f>
        <v/>
      </c>
      <c r="BS27" s="55">
        <f>IF(OR($C27="",$B$2="",$D$2=0),0,IF(BS$3&lt;0,0,N(INDEX('CURVA PREVISION'!$A$1:$KZ$3000,$C27,10+3*MIN(BS$3,$D$2-1)))))</f>
        <v/>
      </c>
      <c r="BT27" s="55">
        <f>IF(OR($C27="",$B$2="",$D$2=0),0,IF(BT$3&lt;0,0,N(INDEX('CURVA PREVISION'!$A$1:$KZ$3000,$C27,10+3*MIN(BT$3,$D$2-1)))))</f>
        <v/>
      </c>
      <c r="BU27" s="55">
        <f>IF(OR($C27="",$B$2="",$D$2=0),0,IF(BU$3&lt;0,0,N(INDEX('CURVA PREVISION'!$A$1:$KZ$3000,$C27,10+3*MIN(BU$3,$D$2-1)))))</f>
        <v/>
      </c>
      <c r="BV27" s="55">
        <f>IF(OR($C27="",$B$2="",$D$2=0),0,IF(BV$3&lt;0,0,N(INDEX('CURVA PREVISION'!$A$1:$KZ$3000,$C27,10+3*MIN(BV$3,$D$2-1)))))</f>
        <v/>
      </c>
      <c r="BW27" s="55">
        <f>IF(OR($C27="",$B$2="",$D$2=0),0,IF(BW$3&lt;0,0,N(INDEX('CURVA PREVISION'!$A$1:$KZ$3000,$C27,10+3*MIN(BW$3,$D$2-1)))))</f>
        <v/>
      </c>
    </row>
    <row r="28">
      <c r="A28" s="34">
        <f>'VALOR POR PL'!C34</f>
        <v/>
      </c>
      <c r="B28" s="34">
        <f>'VALOR POR PL'!D34</f>
        <v/>
      </c>
      <c r="C28" s="28">
        <f>IFERROR(MATCH(A28,'CURVA PREVISION'!$B$1:$B$3000,0),"")</f>
        <v/>
      </c>
      <c r="D28" s="55">
        <f>IF(OR($C28="",$B$2="",$D$2=0),0,IF(D$3&lt;0,0,N(INDEX('CURVA PREVISION'!$A$1:$KZ$3000,$C28,10+3*MIN(D$3,$D$2-1)))))</f>
        <v/>
      </c>
      <c r="E28" s="55">
        <f>IF(OR($C28="",$B$2="",$D$2=0),0,IF(E$3&lt;0,0,N(INDEX('CURVA PREVISION'!$A$1:$KZ$3000,$C28,10+3*MIN(E$3,$D$2-1)))))</f>
        <v/>
      </c>
      <c r="F28" s="55">
        <f>IF(OR($C28="",$B$2="",$D$2=0),0,IF(F$3&lt;0,0,N(INDEX('CURVA PREVISION'!$A$1:$KZ$3000,$C28,10+3*MIN(F$3,$D$2-1)))))</f>
        <v/>
      </c>
      <c r="G28" s="55">
        <f>IF(OR($C28="",$B$2="",$D$2=0),0,IF(G$3&lt;0,0,N(INDEX('CURVA PREVISION'!$A$1:$KZ$3000,$C28,10+3*MIN(G$3,$D$2-1)))))</f>
        <v/>
      </c>
      <c r="H28" s="55">
        <f>IF(OR($C28="",$B$2="",$D$2=0),0,IF(H$3&lt;0,0,N(INDEX('CURVA PREVISION'!$A$1:$KZ$3000,$C28,10+3*MIN(H$3,$D$2-1)))))</f>
        <v/>
      </c>
      <c r="I28" s="55">
        <f>IF(OR($C28="",$B$2="",$D$2=0),0,IF(I$3&lt;0,0,N(INDEX('CURVA PREVISION'!$A$1:$KZ$3000,$C28,10+3*MIN(I$3,$D$2-1)))))</f>
        <v/>
      </c>
      <c r="J28" s="55">
        <f>IF(OR($C28="",$B$2="",$D$2=0),0,IF(J$3&lt;0,0,N(INDEX('CURVA PREVISION'!$A$1:$KZ$3000,$C28,10+3*MIN(J$3,$D$2-1)))))</f>
        <v/>
      </c>
      <c r="K28" s="55">
        <f>IF(OR($C28="",$B$2="",$D$2=0),0,IF(K$3&lt;0,0,N(INDEX('CURVA PREVISION'!$A$1:$KZ$3000,$C28,10+3*MIN(K$3,$D$2-1)))))</f>
        <v/>
      </c>
      <c r="L28" s="55">
        <f>IF(OR($C28="",$B$2="",$D$2=0),0,IF(L$3&lt;0,0,N(INDEX('CURVA PREVISION'!$A$1:$KZ$3000,$C28,10+3*MIN(L$3,$D$2-1)))))</f>
        <v/>
      </c>
      <c r="M28" s="55">
        <f>IF(OR($C28="",$B$2="",$D$2=0),0,IF(M$3&lt;0,0,N(INDEX('CURVA PREVISION'!$A$1:$KZ$3000,$C28,10+3*MIN(M$3,$D$2-1)))))</f>
        <v/>
      </c>
      <c r="N28" s="55">
        <f>IF(OR($C28="",$B$2="",$D$2=0),0,IF(N$3&lt;0,0,N(INDEX('CURVA PREVISION'!$A$1:$KZ$3000,$C28,10+3*MIN(N$3,$D$2-1)))))</f>
        <v/>
      </c>
      <c r="O28" s="55">
        <f>IF(OR($C28="",$B$2="",$D$2=0),0,IF(O$3&lt;0,0,N(INDEX('CURVA PREVISION'!$A$1:$KZ$3000,$C28,10+3*MIN(O$3,$D$2-1)))))</f>
        <v/>
      </c>
      <c r="P28" s="55">
        <f>IF(OR($C28="",$B$2="",$D$2=0),0,IF(P$3&lt;0,0,N(INDEX('CURVA PREVISION'!$A$1:$KZ$3000,$C28,10+3*MIN(P$3,$D$2-1)))))</f>
        <v/>
      </c>
      <c r="Q28" s="55">
        <f>IF(OR($C28="",$B$2="",$D$2=0),0,IF(Q$3&lt;0,0,N(INDEX('CURVA PREVISION'!$A$1:$KZ$3000,$C28,10+3*MIN(Q$3,$D$2-1)))))</f>
        <v/>
      </c>
      <c r="R28" s="55">
        <f>IF(OR($C28="",$B$2="",$D$2=0),0,IF(R$3&lt;0,0,N(INDEX('CURVA PREVISION'!$A$1:$KZ$3000,$C28,10+3*MIN(R$3,$D$2-1)))))</f>
        <v/>
      </c>
      <c r="S28" s="55">
        <f>IF(OR($C28="",$B$2="",$D$2=0),0,IF(S$3&lt;0,0,N(INDEX('CURVA PREVISION'!$A$1:$KZ$3000,$C28,10+3*MIN(S$3,$D$2-1)))))</f>
        <v/>
      </c>
      <c r="T28" s="55">
        <f>IF(OR($C28="",$B$2="",$D$2=0),0,IF(T$3&lt;0,0,N(INDEX('CURVA PREVISION'!$A$1:$KZ$3000,$C28,10+3*MIN(T$3,$D$2-1)))))</f>
        <v/>
      </c>
      <c r="U28" s="55">
        <f>IF(OR($C28="",$B$2="",$D$2=0),0,IF(U$3&lt;0,0,N(INDEX('CURVA PREVISION'!$A$1:$KZ$3000,$C28,10+3*MIN(U$3,$D$2-1)))))</f>
        <v/>
      </c>
      <c r="V28" s="55">
        <f>IF(OR($C28="",$B$2="",$D$2=0),0,IF(V$3&lt;0,0,N(INDEX('CURVA PREVISION'!$A$1:$KZ$3000,$C28,10+3*MIN(V$3,$D$2-1)))))</f>
        <v/>
      </c>
      <c r="W28" s="55">
        <f>IF(OR($C28="",$B$2="",$D$2=0),0,IF(W$3&lt;0,0,N(INDEX('CURVA PREVISION'!$A$1:$KZ$3000,$C28,10+3*MIN(W$3,$D$2-1)))))</f>
        <v/>
      </c>
      <c r="X28" s="55">
        <f>IF(OR($C28="",$B$2="",$D$2=0),0,IF(X$3&lt;0,0,N(INDEX('CURVA PREVISION'!$A$1:$KZ$3000,$C28,10+3*MIN(X$3,$D$2-1)))))</f>
        <v/>
      </c>
      <c r="Y28" s="55">
        <f>IF(OR($C28="",$B$2="",$D$2=0),0,IF(Y$3&lt;0,0,N(INDEX('CURVA PREVISION'!$A$1:$KZ$3000,$C28,10+3*MIN(Y$3,$D$2-1)))))</f>
        <v/>
      </c>
      <c r="Z28" s="55">
        <f>IF(OR($C28="",$B$2="",$D$2=0),0,IF(Z$3&lt;0,0,N(INDEX('CURVA PREVISION'!$A$1:$KZ$3000,$C28,10+3*MIN(Z$3,$D$2-1)))))</f>
        <v/>
      </c>
      <c r="AA28" s="55">
        <f>IF(OR($C28="",$B$2="",$D$2=0),0,IF(AA$3&lt;0,0,N(INDEX('CURVA PREVISION'!$A$1:$KZ$3000,$C28,10+3*MIN(AA$3,$D$2-1)))))</f>
        <v/>
      </c>
      <c r="AB28" s="55">
        <f>IF(OR($C28="",$B$2="",$D$2=0),0,IF(AB$3&lt;0,0,N(INDEX('CURVA PREVISION'!$A$1:$KZ$3000,$C28,10+3*MIN(AB$3,$D$2-1)))))</f>
        <v/>
      </c>
      <c r="AC28" s="55">
        <f>IF(OR($C28="",$B$2="",$D$2=0),0,IF(AC$3&lt;0,0,N(INDEX('CURVA PREVISION'!$A$1:$KZ$3000,$C28,10+3*MIN(AC$3,$D$2-1)))))</f>
        <v/>
      </c>
      <c r="AD28" s="55">
        <f>IF(OR($C28="",$B$2="",$D$2=0),0,IF(AD$3&lt;0,0,N(INDEX('CURVA PREVISION'!$A$1:$KZ$3000,$C28,10+3*MIN(AD$3,$D$2-1)))))</f>
        <v/>
      </c>
      <c r="AE28" s="55">
        <f>IF(OR($C28="",$B$2="",$D$2=0),0,IF(AE$3&lt;0,0,N(INDEX('CURVA PREVISION'!$A$1:$KZ$3000,$C28,10+3*MIN(AE$3,$D$2-1)))))</f>
        <v/>
      </c>
      <c r="AF28" s="55">
        <f>IF(OR($C28="",$B$2="",$D$2=0),0,IF(AF$3&lt;0,0,N(INDEX('CURVA PREVISION'!$A$1:$KZ$3000,$C28,10+3*MIN(AF$3,$D$2-1)))))</f>
        <v/>
      </c>
      <c r="AG28" s="55">
        <f>IF(OR($C28="",$B$2="",$D$2=0),0,IF(AG$3&lt;0,0,N(INDEX('CURVA PREVISION'!$A$1:$KZ$3000,$C28,10+3*MIN(AG$3,$D$2-1)))))</f>
        <v/>
      </c>
      <c r="AH28" s="55">
        <f>IF(OR($C28="",$B$2="",$D$2=0),0,IF(AH$3&lt;0,0,N(INDEX('CURVA PREVISION'!$A$1:$KZ$3000,$C28,10+3*MIN(AH$3,$D$2-1)))))</f>
        <v/>
      </c>
      <c r="AI28" s="55">
        <f>IF(OR($C28="",$B$2="",$D$2=0),0,IF(AI$3&lt;0,0,N(INDEX('CURVA PREVISION'!$A$1:$KZ$3000,$C28,10+3*MIN(AI$3,$D$2-1)))))</f>
        <v/>
      </c>
      <c r="AJ28" s="55">
        <f>IF(OR($C28="",$B$2="",$D$2=0),0,IF(AJ$3&lt;0,0,N(INDEX('CURVA PREVISION'!$A$1:$KZ$3000,$C28,10+3*MIN(AJ$3,$D$2-1)))))</f>
        <v/>
      </c>
      <c r="AK28" s="55">
        <f>IF(OR($C28="",$B$2="",$D$2=0),0,IF(AK$3&lt;0,0,N(INDEX('CURVA PREVISION'!$A$1:$KZ$3000,$C28,10+3*MIN(AK$3,$D$2-1)))))</f>
        <v/>
      </c>
      <c r="AL28" s="55">
        <f>IF(OR($C28="",$B$2="",$D$2=0),0,IF(AL$3&lt;0,0,N(INDEX('CURVA PREVISION'!$A$1:$KZ$3000,$C28,10+3*MIN(AL$3,$D$2-1)))))</f>
        <v/>
      </c>
      <c r="AM28" s="55">
        <f>IF(OR($C28="",$B$2="",$D$2=0),0,IF(AM$3&lt;0,0,N(INDEX('CURVA PREVISION'!$A$1:$KZ$3000,$C28,10+3*MIN(AM$3,$D$2-1)))))</f>
        <v/>
      </c>
      <c r="AN28" s="55">
        <f>IF(OR($C28="",$B$2="",$D$2=0),0,IF(AN$3&lt;0,0,N(INDEX('CURVA PREVISION'!$A$1:$KZ$3000,$C28,10+3*MIN(AN$3,$D$2-1)))))</f>
        <v/>
      </c>
      <c r="AO28" s="55">
        <f>IF(OR($C28="",$B$2="",$D$2=0),0,IF(AO$3&lt;0,0,N(INDEX('CURVA PREVISION'!$A$1:$KZ$3000,$C28,10+3*MIN(AO$3,$D$2-1)))))</f>
        <v/>
      </c>
      <c r="AP28" s="55">
        <f>IF(OR($C28="",$B$2="",$D$2=0),0,IF(AP$3&lt;0,0,N(INDEX('CURVA PREVISION'!$A$1:$KZ$3000,$C28,10+3*MIN(AP$3,$D$2-1)))))</f>
        <v/>
      </c>
      <c r="AQ28" s="55">
        <f>IF(OR($C28="",$B$2="",$D$2=0),0,IF(AQ$3&lt;0,0,N(INDEX('CURVA PREVISION'!$A$1:$KZ$3000,$C28,10+3*MIN(AQ$3,$D$2-1)))))</f>
        <v/>
      </c>
      <c r="AR28" s="55">
        <f>IF(OR($C28="",$B$2="",$D$2=0),0,IF(AR$3&lt;0,0,N(INDEX('CURVA PREVISION'!$A$1:$KZ$3000,$C28,10+3*MIN(AR$3,$D$2-1)))))</f>
        <v/>
      </c>
      <c r="AS28" s="55">
        <f>IF(OR($C28="",$B$2="",$D$2=0),0,IF(AS$3&lt;0,0,N(INDEX('CURVA PREVISION'!$A$1:$KZ$3000,$C28,10+3*MIN(AS$3,$D$2-1)))))</f>
        <v/>
      </c>
      <c r="AT28" s="55">
        <f>IF(OR($C28="",$B$2="",$D$2=0),0,IF(AT$3&lt;0,0,N(INDEX('CURVA PREVISION'!$A$1:$KZ$3000,$C28,10+3*MIN(AT$3,$D$2-1)))))</f>
        <v/>
      </c>
      <c r="AU28" s="55">
        <f>IF(OR($C28="",$B$2="",$D$2=0),0,IF(AU$3&lt;0,0,N(INDEX('CURVA PREVISION'!$A$1:$KZ$3000,$C28,10+3*MIN(AU$3,$D$2-1)))))</f>
        <v/>
      </c>
      <c r="AV28" s="55">
        <f>IF(OR($C28="",$B$2="",$D$2=0),0,IF(AV$3&lt;0,0,N(INDEX('CURVA PREVISION'!$A$1:$KZ$3000,$C28,10+3*MIN(AV$3,$D$2-1)))))</f>
        <v/>
      </c>
      <c r="AW28" s="55">
        <f>IF(OR($C28="",$B$2="",$D$2=0),0,IF(AW$3&lt;0,0,N(INDEX('CURVA PREVISION'!$A$1:$KZ$3000,$C28,10+3*MIN(AW$3,$D$2-1)))))</f>
        <v/>
      </c>
      <c r="AX28" s="55">
        <f>IF(OR($C28="",$B$2="",$D$2=0),0,IF(AX$3&lt;0,0,N(INDEX('CURVA PREVISION'!$A$1:$KZ$3000,$C28,10+3*MIN(AX$3,$D$2-1)))))</f>
        <v/>
      </c>
      <c r="AY28" s="55">
        <f>IF(OR($C28="",$B$2="",$D$2=0),0,IF(AY$3&lt;0,0,N(INDEX('CURVA PREVISION'!$A$1:$KZ$3000,$C28,10+3*MIN(AY$3,$D$2-1)))))</f>
        <v/>
      </c>
      <c r="AZ28" s="55">
        <f>IF(OR($C28="",$B$2="",$D$2=0),0,IF(AZ$3&lt;0,0,N(INDEX('CURVA PREVISION'!$A$1:$KZ$3000,$C28,10+3*MIN(AZ$3,$D$2-1)))))</f>
        <v/>
      </c>
      <c r="BA28" s="55">
        <f>IF(OR($C28="",$B$2="",$D$2=0),0,IF(BA$3&lt;0,0,N(INDEX('CURVA PREVISION'!$A$1:$KZ$3000,$C28,10+3*MIN(BA$3,$D$2-1)))))</f>
        <v/>
      </c>
      <c r="BB28" s="55">
        <f>IF(OR($C28="",$B$2="",$D$2=0),0,IF(BB$3&lt;0,0,N(INDEX('CURVA PREVISION'!$A$1:$KZ$3000,$C28,10+3*MIN(BB$3,$D$2-1)))))</f>
        <v/>
      </c>
      <c r="BC28" s="55">
        <f>IF(OR($C28="",$B$2="",$D$2=0),0,IF(BC$3&lt;0,0,N(INDEX('CURVA PREVISION'!$A$1:$KZ$3000,$C28,10+3*MIN(BC$3,$D$2-1)))))</f>
        <v/>
      </c>
      <c r="BD28" s="55">
        <f>IF(OR($C28="",$B$2="",$D$2=0),0,IF(BD$3&lt;0,0,N(INDEX('CURVA PREVISION'!$A$1:$KZ$3000,$C28,10+3*MIN(BD$3,$D$2-1)))))</f>
        <v/>
      </c>
      <c r="BE28" s="55">
        <f>IF(OR($C28="",$B$2="",$D$2=0),0,IF(BE$3&lt;0,0,N(INDEX('CURVA PREVISION'!$A$1:$KZ$3000,$C28,10+3*MIN(BE$3,$D$2-1)))))</f>
        <v/>
      </c>
      <c r="BF28" s="55">
        <f>IF(OR($C28="",$B$2="",$D$2=0),0,IF(BF$3&lt;0,0,N(INDEX('CURVA PREVISION'!$A$1:$KZ$3000,$C28,10+3*MIN(BF$3,$D$2-1)))))</f>
        <v/>
      </c>
      <c r="BG28" s="55">
        <f>IF(OR($C28="",$B$2="",$D$2=0),0,IF(BG$3&lt;0,0,N(INDEX('CURVA PREVISION'!$A$1:$KZ$3000,$C28,10+3*MIN(BG$3,$D$2-1)))))</f>
        <v/>
      </c>
      <c r="BH28" s="55">
        <f>IF(OR($C28="",$B$2="",$D$2=0),0,IF(BH$3&lt;0,0,N(INDEX('CURVA PREVISION'!$A$1:$KZ$3000,$C28,10+3*MIN(BH$3,$D$2-1)))))</f>
        <v/>
      </c>
      <c r="BI28" s="55">
        <f>IF(OR($C28="",$B$2="",$D$2=0),0,IF(BI$3&lt;0,0,N(INDEX('CURVA PREVISION'!$A$1:$KZ$3000,$C28,10+3*MIN(BI$3,$D$2-1)))))</f>
        <v/>
      </c>
      <c r="BJ28" s="55">
        <f>IF(OR($C28="",$B$2="",$D$2=0),0,IF(BJ$3&lt;0,0,N(INDEX('CURVA PREVISION'!$A$1:$KZ$3000,$C28,10+3*MIN(BJ$3,$D$2-1)))))</f>
        <v/>
      </c>
      <c r="BK28" s="55">
        <f>IF(OR($C28="",$B$2="",$D$2=0),0,IF(BK$3&lt;0,0,N(INDEX('CURVA PREVISION'!$A$1:$KZ$3000,$C28,10+3*MIN(BK$3,$D$2-1)))))</f>
        <v/>
      </c>
      <c r="BL28" s="55">
        <f>IF(OR($C28="",$B$2="",$D$2=0),0,IF(BL$3&lt;0,0,N(INDEX('CURVA PREVISION'!$A$1:$KZ$3000,$C28,10+3*MIN(BL$3,$D$2-1)))))</f>
        <v/>
      </c>
      <c r="BM28" s="55">
        <f>IF(OR($C28="",$B$2="",$D$2=0),0,IF(BM$3&lt;0,0,N(INDEX('CURVA PREVISION'!$A$1:$KZ$3000,$C28,10+3*MIN(BM$3,$D$2-1)))))</f>
        <v/>
      </c>
      <c r="BN28" s="55">
        <f>IF(OR($C28="",$B$2="",$D$2=0),0,IF(BN$3&lt;0,0,N(INDEX('CURVA PREVISION'!$A$1:$KZ$3000,$C28,10+3*MIN(BN$3,$D$2-1)))))</f>
        <v/>
      </c>
      <c r="BO28" s="55">
        <f>IF(OR($C28="",$B$2="",$D$2=0),0,IF(BO$3&lt;0,0,N(INDEX('CURVA PREVISION'!$A$1:$KZ$3000,$C28,10+3*MIN(BO$3,$D$2-1)))))</f>
        <v/>
      </c>
      <c r="BP28" s="55">
        <f>IF(OR($C28="",$B$2="",$D$2=0),0,IF(BP$3&lt;0,0,N(INDEX('CURVA PREVISION'!$A$1:$KZ$3000,$C28,10+3*MIN(BP$3,$D$2-1)))))</f>
        <v/>
      </c>
      <c r="BQ28" s="55">
        <f>IF(OR($C28="",$B$2="",$D$2=0),0,IF(BQ$3&lt;0,0,N(INDEX('CURVA PREVISION'!$A$1:$KZ$3000,$C28,10+3*MIN(BQ$3,$D$2-1)))))</f>
        <v/>
      </c>
      <c r="BR28" s="55">
        <f>IF(OR($C28="",$B$2="",$D$2=0),0,IF(BR$3&lt;0,0,N(INDEX('CURVA PREVISION'!$A$1:$KZ$3000,$C28,10+3*MIN(BR$3,$D$2-1)))))</f>
        <v/>
      </c>
      <c r="BS28" s="55">
        <f>IF(OR($C28="",$B$2="",$D$2=0),0,IF(BS$3&lt;0,0,N(INDEX('CURVA PREVISION'!$A$1:$KZ$3000,$C28,10+3*MIN(BS$3,$D$2-1)))))</f>
        <v/>
      </c>
      <c r="BT28" s="55">
        <f>IF(OR($C28="",$B$2="",$D$2=0),0,IF(BT$3&lt;0,0,N(INDEX('CURVA PREVISION'!$A$1:$KZ$3000,$C28,10+3*MIN(BT$3,$D$2-1)))))</f>
        <v/>
      </c>
      <c r="BU28" s="55">
        <f>IF(OR($C28="",$B$2="",$D$2=0),0,IF(BU$3&lt;0,0,N(INDEX('CURVA PREVISION'!$A$1:$KZ$3000,$C28,10+3*MIN(BU$3,$D$2-1)))))</f>
        <v/>
      </c>
      <c r="BV28" s="55">
        <f>IF(OR($C28="",$B$2="",$D$2=0),0,IF(BV$3&lt;0,0,N(INDEX('CURVA PREVISION'!$A$1:$KZ$3000,$C28,10+3*MIN(BV$3,$D$2-1)))))</f>
        <v/>
      </c>
      <c r="BW28" s="55">
        <f>IF(OR($C28="",$B$2="",$D$2=0),0,IF(BW$3&lt;0,0,N(INDEX('CURVA PREVISION'!$A$1:$KZ$3000,$C28,10+3*MIN(BW$3,$D$2-1)))))</f>
        <v/>
      </c>
    </row>
    <row r="29">
      <c r="A29" s="34">
        <f>'VALOR POR PL'!C35</f>
        <v/>
      </c>
      <c r="B29" s="34">
        <f>'VALOR POR PL'!D35</f>
        <v/>
      </c>
      <c r="C29" s="28">
        <f>IFERROR(MATCH(A29,'CURVA PREVISION'!$B$1:$B$3000,0),"")</f>
        <v/>
      </c>
      <c r="D29" s="55">
        <f>IF(OR($C29="",$B$2="",$D$2=0),0,IF(D$3&lt;0,0,N(INDEX('CURVA PREVISION'!$A$1:$KZ$3000,$C29,10+3*MIN(D$3,$D$2-1)))))</f>
        <v/>
      </c>
      <c r="E29" s="55">
        <f>IF(OR($C29="",$B$2="",$D$2=0),0,IF(E$3&lt;0,0,N(INDEX('CURVA PREVISION'!$A$1:$KZ$3000,$C29,10+3*MIN(E$3,$D$2-1)))))</f>
        <v/>
      </c>
      <c r="F29" s="55">
        <f>IF(OR($C29="",$B$2="",$D$2=0),0,IF(F$3&lt;0,0,N(INDEX('CURVA PREVISION'!$A$1:$KZ$3000,$C29,10+3*MIN(F$3,$D$2-1)))))</f>
        <v/>
      </c>
      <c r="G29" s="55">
        <f>IF(OR($C29="",$B$2="",$D$2=0),0,IF(G$3&lt;0,0,N(INDEX('CURVA PREVISION'!$A$1:$KZ$3000,$C29,10+3*MIN(G$3,$D$2-1)))))</f>
        <v/>
      </c>
      <c r="H29" s="55">
        <f>IF(OR($C29="",$B$2="",$D$2=0),0,IF(H$3&lt;0,0,N(INDEX('CURVA PREVISION'!$A$1:$KZ$3000,$C29,10+3*MIN(H$3,$D$2-1)))))</f>
        <v/>
      </c>
      <c r="I29" s="55">
        <f>IF(OR($C29="",$B$2="",$D$2=0),0,IF(I$3&lt;0,0,N(INDEX('CURVA PREVISION'!$A$1:$KZ$3000,$C29,10+3*MIN(I$3,$D$2-1)))))</f>
        <v/>
      </c>
      <c r="J29" s="55">
        <f>IF(OR($C29="",$B$2="",$D$2=0),0,IF(J$3&lt;0,0,N(INDEX('CURVA PREVISION'!$A$1:$KZ$3000,$C29,10+3*MIN(J$3,$D$2-1)))))</f>
        <v/>
      </c>
      <c r="K29" s="55">
        <f>IF(OR($C29="",$B$2="",$D$2=0),0,IF(K$3&lt;0,0,N(INDEX('CURVA PREVISION'!$A$1:$KZ$3000,$C29,10+3*MIN(K$3,$D$2-1)))))</f>
        <v/>
      </c>
      <c r="L29" s="55">
        <f>IF(OR($C29="",$B$2="",$D$2=0),0,IF(L$3&lt;0,0,N(INDEX('CURVA PREVISION'!$A$1:$KZ$3000,$C29,10+3*MIN(L$3,$D$2-1)))))</f>
        <v/>
      </c>
      <c r="M29" s="55">
        <f>IF(OR($C29="",$B$2="",$D$2=0),0,IF(M$3&lt;0,0,N(INDEX('CURVA PREVISION'!$A$1:$KZ$3000,$C29,10+3*MIN(M$3,$D$2-1)))))</f>
        <v/>
      </c>
      <c r="N29" s="55">
        <f>IF(OR($C29="",$B$2="",$D$2=0),0,IF(N$3&lt;0,0,N(INDEX('CURVA PREVISION'!$A$1:$KZ$3000,$C29,10+3*MIN(N$3,$D$2-1)))))</f>
        <v/>
      </c>
      <c r="O29" s="55">
        <f>IF(OR($C29="",$B$2="",$D$2=0),0,IF(O$3&lt;0,0,N(INDEX('CURVA PREVISION'!$A$1:$KZ$3000,$C29,10+3*MIN(O$3,$D$2-1)))))</f>
        <v/>
      </c>
      <c r="P29" s="55">
        <f>IF(OR($C29="",$B$2="",$D$2=0),0,IF(P$3&lt;0,0,N(INDEX('CURVA PREVISION'!$A$1:$KZ$3000,$C29,10+3*MIN(P$3,$D$2-1)))))</f>
        <v/>
      </c>
      <c r="Q29" s="55">
        <f>IF(OR($C29="",$B$2="",$D$2=0),0,IF(Q$3&lt;0,0,N(INDEX('CURVA PREVISION'!$A$1:$KZ$3000,$C29,10+3*MIN(Q$3,$D$2-1)))))</f>
        <v/>
      </c>
      <c r="R29" s="55">
        <f>IF(OR($C29="",$B$2="",$D$2=0),0,IF(R$3&lt;0,0,N(INDEX('CURVA PREVISION'!$A$1:$KZ$3000,$C29,10+3*MIN(R$3,$D$2-1)))))</f>
        <v/>
      </c>
      <c r="S29" s="55">
        <f>IF(OR($C29="",$B$2="",$D$2=0),0,IF(S$3&lt;0,0,N(INDEX('CURVA PREVISION'!$A$1:$KZ$3000,$C29,10+3*MIN(S$3,$D$2-1)))))</f>
        <v/>
      </c>
      <c r="T29" s="55">
        <f>IF(OR($C29="",$B$2="",$D$2=0),0,IF(T$3&lt;0,0,N(INDEX('CURVA PREVISION'!$A$1:$KZ$3000,$C29,10+3*MIN(T$3,$D$2-1)))))</f>
        <v/>
      </c>
      <c r="U29" s="55">
        <f>IF(OR($C29="",$B$2="",$D$2=0),0,IF(U$3&lt;0,0,N(INDEX('CURVA PREVISION'!$A$1:$KZ$3000,$C29,10+3*MIN(U$3,$D$2-1)))))</f>
        <v/>
      </c>
      <c r="V29" s="55">
        <f>IF(OR($C29="",$B$2="",$D$2=0),0,IF(V$3&lt;0,0,N(INDEX('CURVA PREVISION'!$A$1:$KZ$3000,$C29,10+3*MIN(V$3,$D$2-1)))))</f>
        <v/>
      </c>
      <c r="W29" s="55">
        <f>IF(OR($C29="",$B$2="",$D$2=0),0,IF(W$3&lt;0,0,N(INDEX('CURVA PREVISION'!$A$1:$KZ$3000,$C29,10+3*MIN(W$3,$D$2-1)))))</f>
        <v/>
      </c>
      <c r="X29" s="55">
        <f>IF(OR($C29="",$B$2="",$D$2=0),0,IF(X$3&lt;0,0,N(INDEX('CURVA PREVISION'!$A$1:$KZ$3000,$C29,10+3*MIN(X$3,$D$2-1)))))</f>
        <v/>
      </c>
      <c r="Y29" s="55">
        <f>IF(OR($C29="",$B$2="",$D$2=0),0,IF(Y$3&lt;0,0,N(INDEX('CURVA PREVISION'!$A$1:$KZ$3000,$C29,10+3*MIN(Y$3,$D$2-1)))))</f>
        <v/>
      </c>
      <c r="Z29" s="55">
        <f>IF(OR($C29="",$B$2="",$D$2=0),0,IF(Z$3&lt;0,0,N(INDEX('CURVA PREVISION'!$A$1:$KZ$3000,$C29,10+3*MIN(Z$3,$D$2-1)))))</f>
        <v/>
      </c>
      <c r="AA29" s="55">
        <f>IF(OR($C29="",$B$2="",$D$2=0),0,IF(AA$3&lt;0,0,N(INDEX('CURVA PREVISION'!$A$1:$KZ$3000,$C29,10+3*MIN(AA$3,$D$2-1)))))</f>
        <v/>
      </c>
      <c r="AB29" s="55">
        <f>IF(OR($C29="",$B$2="",$D$2=0),0,IF(AB$3&lt;0,0,N(INDEX('CURVA PREVISION'!$A$1:$KZ$3000,$C29,10+3*MIN(AB$3,$D$2-1)))))</f>
        <v/>
      </c>
      <c r="AC29" s="55">
        <f>IF(OR($C29="",$B$2="",$D$2=0),0,IF(AC$3&lt;0,0,N(INDEX('CURVA PREVISION'!$A$1:$KZ$3000,$C29,10+3*MIN(AC$3,$D$2-1)))))</f>
        <v/>
      </c>
      <c r="AD29" s="55">
        <f>IF(OR($C29="",$B$2="",$D$2=0),0,IF(AD$3&lt;0,0,N(INDEX('CURVA PREVISION'!$A$1:$KZ$3000,$C29,10+3*MIN(AD$3,$D$2-1)))))</f>
        <v/>
      </c>
      <c r="AE29" s="55">
        <f>IF(OR($C29="",$B$2="",$D$2=0),0,IF(AE$3&lt;0,0,N(INDEX('CURVA PREVISION'!$A$1:$KZ$3000,$C29,10+3*MIN(AE$3,$D$2-1)))))</f>
        <v/>
      </c>
      <c r="AF29" s="55">
        <f>IF(OR($C29="",$B$2="",$D$2=0),0,IF(AF$3&lt;0,0,N(INDEX('CURVA PREVISION'!$A$1:$KZ$3000,$C29,10+3*MIN(AF$3,$D$2-1)))))</f>
        <v/>
      </c>
      <c r="AG29" s="55">
        <f>IF(OR($C29="",$B$2="",$D$2=0),0,IF(AG$3&lt;0,0,N(INDEX('CURVA PREVISION'!$A$1:$KZ$3000,$C29,10+3*MIN(AG$3,$D$2-1)))))</f>
        <v/>
      </c>
      <c r="AH29" s="55">
        <f>IF(OR($C29="",$B$2="",$D$2=0),0,IF(AH$3&lt;0,0,N(INDEX('CURVA PREVISION'!$A$1:$KZ$3000,$C29,10+3*MIN(AH$3,$D$2-1)))))</f>
        <v/>
      </c>
      <c r="AI29" s="55">
        <f>IF(OR($C29="",$B$2="",$D$2=0),0,IF(AI$3&lt;0,0,N(INDEX('CURVA PREVISION'!$A$1:$KZ$3000,$C29,10+3*MIN(AI$3,$D$2-1)))))</f>
        <v/>
      </c>
      <c r="AJ29" s="55">
        <f>IF(OR($C29="",$B$2="",$D$2=0),0,IF(AJ$3&lt;0,0,N(INDEX('CURVA PREVISION'!$A$1:$KZ$3000,$C29,10+3*MIN(AJ$3,$D$2-1)))))</f>
        <v/>
      </c>
      <c r="AK29" s="55">
        <f>IF(OR($C29="",$B$2="",$D$2=0),0,IF(AK$3&lt;0,0,N(INDEX('CURVA PREVISION'!$A$1:$KZ$3000,$C29,10+3*MIN(AK$3,$D$2-1)))))</f>
        <v/>
      </c>
      <c r="AL29" s="55">
        <f>IF(OR($C29="",$B$2="",$D$2=0),0,IF(AL$3&lt;0,0,N(INDEX('CURVA PREVISION'!$A$1:$KZ$3000,$C29,10+3*MIN(AL$3,$D$2-1)))))</f>
        <v/>
      </c>
      <c r="AM29" s="55">
        <f>IF(OR($C29="",$B$2="",$D$2=0),0,IF(AM$3&lt;0,0,N(INDEX('CURVA PREVISION'!$A$1:$KZ$3000,$C29,10+3*MIN(AM$3,$D$2-1)))))</f>
        <v/>
      </c>
      <c r="AN29" s="55">
        <f>IF(OR($C29="",$B$2="",$D$2=0),0,IF(AN$3&lt;0,0,N(INDEX('CURVA PREVISION'!$A$1:$KZ$3000,$C29,10+3*MIN(AN$3,$D$2-1)))))</f>
        <v/>
      </c>
      <c r="AO29" s="55">
        <f>IF(OR($C29="",$B$2="",$D$2=0),0,IF(AO$3&lt;0,0,N(INDEX('CURVA PREVISION'!$A$1:$KZ$3000,$C29,10+3*MIN(AO$3,$D$2-1)))))</f>
        <v/>
      </c>
      <c r="AP29" s="55">
        <f>IF(OR($C29="",$B$2="",$D$2=0),0,IF(AP$3&lt;0,0,N(INDEX('CURVA PREVISION'!$A$1:$KZ$3000,$C29,10+3*MIN(AP$3,$D$2-1)))))</f>
        <v/>
      </c>
      <c r="AQ29" s="55">
        <f>IF(OR($C29="",$B$2="",$D$2=0),0,IF(AQ$3&lt;0,0,N(INDEX('CURVA PREVISION'!$A$1:$KZ$3000,$C29,10+3*MIN(AQ$3,$D$2-1)))))</f>
        <v/>
      </c>
      <c r="AR29" s="55">
        <f>IF(OR($C29="",$B$2="",$D$2=0),0,IF(AR$3&lt;0,0,N(INDEX('CURVA PREVISION'!$A$1:$KZ$3000,$C29,10+3*MIN(AR$3,$D$2-1)))))</f>
        <v/>
      </c>
      <c r="AS29" s="55">
        <f>IF(OR($C29="",$B$2="",$D$2=0),0,IF(AS$3&lt;0,0,N(INDEX('CURVA PREVISION'!$A$1:$KZ$3000,$C29,10+3*MIN(AS$3,$D$2-1)))))</f>
        <v/>
      </c>
      <c r="AT29" s="55">
        <f>IF(OR($C29="",$B$2="",$D$2=0),0,IF(AT$3&lt;0,0,N(INDEX('CURVA PREVISION'!$A$1:$KZ$3000,$C29,10+3*MIN(AT$3,$D$2-1)))))</f>
        <v/>
      </c>
      <c r="AU29" s="55">
        <f>IF(OR($C29="",$B$2="",$D$2=0),0,IF(AU$3&lt;0,0,N(INDEX('CURVA PREVISION'!$A$1:$KZ$3000,$C29,10+3*MIN(AU$3,$D$2-1)))))</f>
        <v/>
      </c>
      <c r="AV29" s="55">
        <f>IF(OR($C29="",$B$2="",$D$2=0),0,IF(AV$3&lt;0,0,N(INDEX('CURVA PREVISION'!$A$1:$KZ$3000,$C29,10+3*MIN(AV$3,$D$2-1)))))</f>
        <v/>
      </c>
      <c r="AW29" s="55">
        <f>IF(OR($C29="",$B$2="",$D$2=0),0,IF(AW$3&lt;0,0,N(INDEX('CURVA PREVISION'!$A$1:$KZ$3000,$C29,10+3*MIN(AW$3,$D$2-1)))))</f>
        <v/>
      </c>
      <c r="AX29" s="55">
        <f>IF(OR($C29="",$B$2="",$D$2=0),0,IF(AX$3&lt;0,0,N(INDEX('CURVA PREVISION'!$A$1:$KZ$3000,$C29,10+3*MIN(AX$3,$D$2-1)))))</f>
        <v/>
      </c>
      <c r="AY29" s="55">
        <f>IF(OR($C29="",$B$2="",$D$2=0),0,IF(AY$3&lt;0,0,N(INDEX('CURVA PREVISION'!$A$1:$KZ$3000,$C29,10+3*MIN(AY$3,$D$2-1)))))</f>
        <v/>
      </c>
      <c r="AZ29" s="55">
        <f>IF(OR($C29="",$B$2="",$D$2=0),0,IF(AZ$3&lt;0,0,N(INDEX('CURVA PREVISION'!$A$1:$KZ$3000,$C29,10+3*MIN(AZ$3,$D$2-1)))))</f>
        <v/>
      </c>
      <c r="BA29" s="55">
        <f>IF(OR($C29="",$B$2="",$D$2=0),0,IF(BA$3&lt;0,0,N(INDEX('CURVA PREVISION'!$A$1:$KZ$3000,$C29,10+3*MIN(BA$3,$D$2-1)))))</f>
        <v/>
      </c>
      <c r="BB29" s="55">
        <f>IF(OR($C29="",$B$2="",$D$2=0),0,IF(BB$3&lt;0,0,N(INDEX('CURVA PREVISION'!$A$1:$KZ$3000,$C29,10+3*MIN(BB$3,$D$2-1)))))</f>
        <v/>
      </c>
      <c r="BC29" s="55">
        <f>IF(OR($C29="",$B$2="",$D$2=0),0,IF(BC$3&lt;0,0,N(INDEX('CURVA PREVISION'!$A$1:$KZ$3000,$C29,10+3*MIN(BC$3,$D$2-1)))))</f>
        <v/>
      </c>
      <c r="BD29" s="55">
        <f>IF(OR($C29="",$B$2="",$D$2=0),0,IF(BD$3&lt;0,0,N(INDEX('CURVA PREVISION'!$A$1:$KZ$3000,$C29,10+3*MIN(BD$3,$D$2-1)))))</f>
        <v/>
      </c>
      <c r="BE29" s="55">
        <f>IF(OR($C29="",$B$2="",$D$2=0),0,IF(BE$3&lt;0,0,N(INDEX('CURVA PREVISION'!$A$1:$KZ$3000,$C29,10+3*MIN(BE$3,$D$2-1)))))</f>
        <v/>
      </c>
      <c r="BF29" s="55">
        <f>IF(OR($C29="",$B$2="",$D$2=0),0,IF(BF$3&lt;0,0,N(INDEX('CURVA PREVISION'!$A$1:$KZ$3000,$C29,10+3*MIN(BF$3,$D$2-1)))))</f>
        <v/>
      </c>
      <c r="BG29" s="55">
        <f>IF(OR($C29="",$B$2="",$D$2=0),0,IF(BG$3&lt;0,0,N(INDEX('CURVA PREVISION'!$A$1:$KZ$3000,$C29,10+3*MIN(BG$3,$D$2-1)))))</f>
        <v/>
      </c>
      <c r="BH29" s="55">
        <f>IF(OR($C29="",$B$2="",$D$2=0),0,IF(BH$3&lt;0,0,N(INDEX('CURVA PREVISION'!$A$1:$KZ$3000,$C29,10+3*MIN(BH$3,$D$2-1)))))</f>
        <v/>
      </c>
      <c r="BI29" s="55">
        <f>IF(OR($C29="",$B$2="",$D$2=0),0,IF(BI$3&lt;0,0,N(INDEX('CURVA PREVISION'!$A$1:$KZ$3000,$C29,10+3*MIN(BI$3,$D$2-1)))))</f>
        <v/>
      </c>
      <c r="BJ29" s="55">
        <f>IF(OR($C29="",$B$2="",$D$2=0),0,IF(BJ$3&lt;0,0,N(INDEX('CURVA PREVISION'!$A$1:$KZ$3000,$C29,10+3*MIN(BJ$3,$D$2-1)))))</f>
        <v/>
      </c>
      <c r="BK29" s="55">
        <f>IF(OR($C29="",$B$2="",$D$2=0),0,IF(BK$3&lt;0,0,N(INDEX('CURVA PREVISION'!$A$1:$KZ$3000,$C29,10+3*MIN(BK$3,$D$2-1)))))</f>
        <v/>
      </c>
      <c r="BL29" s="55">
        <f>IF(OR($C29="",$B$2="",$D$2=0),0,IF(BL$3&lt;0,0,N(INDEX('CURVA PREVISION'!$A$1:$KZ$3000,$C29,10+3*MIN(BL$3,$D$2-1)))))</f>
        <v/>
      </c>
      <c r="BM29" s="55">
        <f>IF(OR($C29="",$B$2="",$D$2=0),0,IF(BM$3&lt;0,0,N(INDEX('CURVA PREVISION'!$A$1:$KZ$3000,$C29,10+3*MIN(BM$3,$D$2-1)))))</f>
        <v/>
      </c>
      <c r="BN29" s="55">
        <f>IF(OR($C29="",$B$2="",$D$2=0),0,IF(BN$3&lt;0,0,N(INDEX('CURVA PREVISION'!$A$1:$KZ$3000,$C29,10+3*MIN(BN$3,$D$2-1)))))</f>
        <v/>
      </c>
      <c r="BO29" s="55">
        <f>IF(OR($C29="",$B$2="",$D$2=0),0,IF(BO$3&lt;0,0,N(INDEX('CURVA PREVISION'!$A$1:$KZ$3000,$C29,10+3*MIN(BO$3,$D$2-1)))))</f>
        <v/>
      </c>
      <c r="BP29" s="55">
        <f>IF(OR($C29="",$B$2="",$D$2=0),0,IF(BP$3&lt;0,0,N(INDEX('CURVA PREVISION'!$A$1:$KZ$3000,$C29,10+3*MIN(BP$3,$D$2-1)))))</f>
        <v/>
      </c>
      <c r="BQ29" s="55">
        <f>IF(OR($C29="",$B$2="",$D$2=0),0,IF(BQ$3&lt;0,0,N(INDEX('CURVA PREVISION'!$A$1:$KZ$3000,$C29,10+3*MIN(BQ$3,$D$2-1)))))</f>
        <v/>
      </c>
      <c r="BR29" s="55">
        <f>IF(OR($C29="",$B$2="",$D$2=0),0,IF(BR$3&lt;0,0,N(INDEX('CURVA PREVISION'!$A$1:$KZ$3000,$C29,10+3*MIN(BR$3,$D$2-1)))))</f>
        <v/>
      </c>
      <c r="BS29" s="55">
        <f>IF(OR($C29="",$B$2="",$D$2=0),0,IF(BS$3&lt;0,0,N(INDEX('CURVA PREVISION'!$A$1:$KZ$3000,$C29,10+3*MIN(BS$3,$D$2-1)))))</f>
        <v/>
      </c>
      <c r="BT29" s="55">
        <f>IF(OR($C29="",$B$2="",$D$2=0),0,IF(BT$3&lt;0,0,N(INDEX('CURVA PREVISION'!$A$1:$KZ$3000,$C29,10+3*MIN(BT$3,$D$2-1)))))</f>
        <v/>
      </c>
      <c r="BU29" s="55">
        <f>IF(OR($C29="",$B$2="",$D$2=0),0,IF(BU$3&lt;0,0,N(INDEX('CURVA PREVISION'!$A$1:$KZ$3000,$C29,10+3*MIN(BU$3,$D$2-1)))))</f>
        <v/>
      </c>
      <c r="BV29" s="55">
        <f>IF(OR($C29="",$B$2="",$D$2=0),0,IF(BV$3&lt;0,0,N(INDEX('CURVA PREVISION'!$A$1:$KZ$3000,$C29,10+3*MIN(BV$3,$D$2-1)))))</f>
        <v/>
      </c>
      <c r="BW29" s="55">
        <f>IF(OR($C29="",$B$2="",$D$2=0),0,IF(BW$3&lt;0,0,N(INDEX('CURVA PREVISION'!$A$1:$KZ$3000,$C29,10+3*MIN(BW$3,$D$2-1)))))</f>
        <v/>
      </c>
    </row>
    <row r="30">
      <c r="A30" s="34">
        <f>'VALOR POR PL'!C36</f>
        <v/>
      </c>
      <c r="B30" s="34">
        <f>'VALOR POR PL'!D36</f>
        <v/>
      </c>
      <c r="C30" s="28">
        <f>IFERROR(MATCH(A30,'CURVA PREVISION'!$B$1:$B$3000,0),"")</f>
        <v/>
      </c>
      <c r="D30" s="55">
        <f>IF(OR($C30="",$B$2="",$D$2=0),0,IF(D$3&lt;0,0,N(INDEX('CURVA PREVISION'!$A$1:$KZ$3000,$C30,10+3*MIN(D$3,$D$2-1)))))</f>
        <v/>
      </c>
      <c r="E30" s="55">
        <f>IF(OR($C30="",$B$2="",$D$2=0),0,IF(E$3&lt;0,0,N(INDEX('CURVA PREVISION'!$A$1:$KZ$3000,$C30,10+3*MIN(E$3,$D$2-1)))))</f>
        <v/>
      </c>
      <c r="F30" s="55">
        <f>IF(OR($C30="",$B$2="",$D$2=0),0,IF(F$3&lt;0,0,N(INDEX('CURVA PREVISION'!$A$1:$KZ$3000,$C30,10+3*MIN(F$3,$D$2-1)))))</f>
        <v/>
      </c>
      <c r="G30" s="55">
        <f>IF(OR($C30="",$B$2="",$D$2=0),0,IF(G$3&lt;0,0,N(INDEX('CURVA PREVISION'!$A$1:$KZ$3000,$C30,10+3*MIN(G$3,$D$2-1)))))</f>
        <v/>
      </c>
      <c r="H30" s="55">
        <f>IF(OR($C30="",$B$2="",$D$2=0),0,IF(H$3&lt;0,0,N(INDEX('CURVA PREVISION'!$A$1:$KZ$3000,$C30,10+3*MIN(H$3,$D$2-1)))))</f>
        <v/>
      </c>
      <c r="I30" s="55">
        <f>IF(OR($C30="",$B$2="",$D$2=0),0,IF(I$3&lt;0,0,N(INDEX('CURVA PREVISION'!$A$1:$KZ$3000,$C30,10+3*MIN(I$3,$D$2-1)))))</f>
        <v/>
      </c>
      <c r="J30" s="55">
        <f>IF(OR($C30="",$B$2="",$D$2=0),0,IF(J$3&lt;0,0,N(INDEX('CURVA PREVISION'!$A$1:$KZ$3000,$C30,10+3*MIN(J$3,$D$2-1)))))</f>
        <v/>
      </c>
      <c r="K30" s="55">
        <f>IF(OR($C30="",$B$2="",$D$2=0),0,IF(K$3&lt;0,0,N(INDEX('CURVA PREVISION'!$A$1:$KZ$3000,$C30,10+3*MIN(K$3,$D$2-1)))))</f>
        <v/>
      </c>
      <c r="L30" s="55">
        <f>IF(OR($C30="",$B$2="",$D$2=0),0,IF(L$3&lt;0,0,N(INDEX('CURVA PREVISION'!$A$1:$KZ$3000,$C30,10+3*MIN(L$3,$D$2-1)))))</f>
        <v/>
      </c>
      <c r="M30" s="55">
        <f>IF(OR($C30="",$B$2="",$D$2=0),0,IF(M$3&lt;0,0,N(INDEX('CURVA PREVISION'!$A$1:$KZ$3000,$C30,10+3*MIN(M$3,$D$2-1)))))</f>
        <v/>
      </c>
      <c r="N30" s="55">
        <f>IF(OR($C30="",$B$2="",$D$2=0),0,IF(N$3&lt;0,0,N(INDEX('CURVA PREVISION'!$A$1:$KZ$3000,$C30,10+3*MIN(N$3,$D$2-1)))))</f>
        <v/>
      </c>
      <c r="O30" s="55">
        <f>IF(OR($C30="",$B$2="",$D$2=0),0,IF(O$3&lt;0,0,N(INDEX('CURVA PREVISION'!$A$1:$KZ$3000,$C30,10+3*MIN(O$3,$D$2-1)))))</f>
        <v/>
      </c>
      <c r="P30" s="55">
        <f>IF(OR($C30="",$B$2="",$D$2=0),0,IF(P$3&lt;0,0,N(INDEX('CURVA PREVISION'!$A$1:$KZ$3000,$C30,10+3*MIN(P$3,$D$2-1)))))</f>
        <v/>
      </c>
      <c r="Q30" s="55">
        <f>IF(OR($C30="",$B$2="",$D$2=0),0,IF(Q$3&lt;0,0,N(INDEX('CURVA PREVISION'!$A$1:$KZ$3000,$C30,10+3*MIN(Q$3,$D$2-1)))))</f>
        <v/>
      </c>
      <c r="R30" s="55">
        <f>IF(OR($C30="",$B$2="",$D$2=0),0,IF(R$3&lt;0,0,N(INDEX('CURVA PREVISION'!$A$1:$KZ$3000,$C30,10+3*MIN(R$3,$D$2-1)))))</f>
        <v/>
      </c>
      <c r="S30" s="55">
        <f>IF(OR($C30="",$B$2="",$D$2=0),0,IF(S$3&lt;0,0,N(INDEX('CURVA PREVISION'!$A$1:$KZ$3000,$C30,10+3*MIN(S$3,$D$2-1)))))</f>
        <v/>
      </c>
      <c r="T30" s="55">
        <f>IF(OR($C30="",$B$2="",$D$2=0),0,IF(T$3&lt;0,0,N(INDEX('CURVA PREVISION'!$A$1:$KZ$3000,$C30,10+3*MIN(T$3,$D$2-1)))))</f>
        <v/>
      </c>
      <c r="U30" s="55">
        <f>IF(OR($C30="",$B$2="",$D$2=0),0,IF(U$3&lt;0,0,N(INDEX('CURVA PREVISION'!$A$1:$KZ$3000,$C30,10+3*MIN(U$3,$D$2-1)))))</f>
        <v/>
      </c>
      <c r="V30" s="55">
        <f>IF(OR($C30="",$B$2="",$D$2=0),0,IF(V$3&lt;0,0,N(INDEX('CURVA PREVISION'!$A$1:$KZ$3000,$C30,10+3*MIN(V$3,$D$2-1)))))</f>
        <v/>
      </c>
      <c r="W30" s="55">
        <f>IF(OR($C30="",$B$2="",$D$2=0),0,IF(W$3&lt;0,0,N(INDEX('CURVA PREVISION'!$A$1:$KZ$3000,$C30,10+3*MIN(W$3,$D$2-1)))))</f>
        <v/>
      </c>
      <c r="X30" s="55">
        <f>IF(OR($C30="",$B$2="",$D$2=0),0,IF(X$3&lt;0,0,N(INDEX('CURVA PREVISION'!$A$1:$KZ$3000,$C30,10+3*MIN(X$3,$D$2-1)))))</f>
        <v/>
      </c>
      <c r="Y30" s="55">
        <f>IF(OR($C30="",$B$2="",$D$2=0),0,IF(Y$3&lt;0,0,N(INDEX('CURVA PREVISION'!$A$1:$KZ$3000,$C30,10+3*MIN(Y$3,$D$2-1)))))</f>
        <v/>
      </c>
      <c r="Z30" s="55">
        <f>IF(OR($C30="",$B$2="",$D$2=0),0,IF(Z$3&lt;0,0,N(INDEX('CURVA PREVISION'!$A$1:$KZ$3000,$C30,10+3*MIN(Z$3,$D$2-1)))))</f>
        <v/>
      </c>
      <c r="AA30" s="55">
        <f>IF(OR($C30="",$B$2="",$D$2=0),0,IF(AA$3&lt;0,0,N(INDEX('CURVA PREVISION'!$A$1:$KZ$3000,$C30,10+3*MIN(AA$3,$D$2-1)))))</f>
        <v/>
      </c>
      <c r="AB30" s="55">
        <f>IF(OR($C30="",$B$2="",$D$2=0),0,IF(AB$3&lt;0,0,N(INDEX('CURVA PREVISION'!$A$1:$KZ$3000,$C30,10+3*MIN(AB$3,$D$2-1)))))</f>
        <v/>
      </c>
      <c r="AC30" s="55">
        <f>IF(OR($C30="",$B$2="",$D$2=0),0,IF(AC$3&lt;0,0,N(INDEX('CURVA PREVISION'!$A$1:$KZ$3000,$C30,10+3*MIN(AC$3,$D$2-1)))))</f>
        <v/>
      </c>
      <c r="AD30" s="55">
        <f>IF(OR($C30="",$B$2="",$D$2=0),0,IF(AD$3&lt;0,0,N(INDEX('CURVA PREVISION'!$A$1:$KZ$3000,$C30,10+3*MIN(AD$3,$D$2-1)))))</f>
        <v/>
      </c>
      <c r="AE30" s="55">
        <f>IF(OR($C30="",$B$2="",$D$2=0),0,IF(AE$3&lt;0,0,N(INDEX('CURVA PREVISION'!$A$1:$KZ$3000,$C30,10+3*MIN(AE$3,$D$2-1)))))</f>
        <v/>
      </c>
      <c r="AF30" s="55">
        <f>IF(OR($C30="",$B$2="",$D$2=0),0,IF(AF$3&lt;0,0,N(INDEX('CURVA PREVISION'!$A$1:$KZ$3000,$C30,10+3*MIN(AF$3,$D$2-1)))))</f>
        <v/>
      </c>
      <c r="AG30" s="55">
        <f>IF(OR($C30="",$B$2="",$D$2=0),0,IF(AG$3&lt;0,0,N(INDEX('CURVA PREVISION'!$A$1:$KZ$3000,$C30,10+3*MIN(AG$3,$D$2-1)))))</f>
        <v/>
      </c>
      <c r="AH30" s="55">
        <f>IF(OR($C30="",$B$2="",$D$2=0),0,IF(AH$3&lt;0,0,N(INDEX('CURVA PREVISION'!$A$1:$KZ$3000,$C30,10+3*MIN(AH$3,$D$2-1)))))</f>
        <v/>
      </c>
      <c r="AI30" s="55">
        <f>IF(OR($C30="",$B$2="",$D$2=0),0,IF(AI$3&lt;0,0,N(INDEX('CURVA PREVISION'!$A$1:$KZ$3000,$C30,10+3*MIN(AI$3,$D$2-1)))))</f>
        <v/>
      </c>
      <c r="AJ30" s="55">
        <f>IF(OR($C30="",$B$2="",$D$2=0),0,IF(AJ$3&lt;0,0,N(INDEX('CURVA PREVISION'!$A$1:$KZ$3000,$C30,10+3*MIN(AJ$3,$D$2-1)))))</f>
        <v/>
      </c>
      <c r="AK30" s="55">
        <f>IF(OR($C30="",$B$2="",$D$2=0),0,IF(AK$3&lt;0,0,N(INDEX('CURVA PREVISION'!$A$1:$KZ$3000,$C30,10+3*MIN(AK$3,$D$2-1)))))</f>
        <v/>
      </c>
      <c r="AL30" s="55">
        <f>IF(OR($C30="",$B$2="",$D$2=0),0,IF(AL$3&lt;0,0,N(INDEX('CURVA PREVISION'!$A$1:$KZ$3000,$C30,10+3*MIN(AL$3,$D$2-1)))))</f>
        <v/>
      </c>
      <c r="AM30" s="55">
        <f>IF(OR($C30="",$B$2="",$D$2=0),0,IF(AM$3&lt;0,0,N(INDEX('CURVA PREVISION'!$A$1:$KZ$3000,$C30,10+3*MIN(AM$3,$D$2-1)))))</f>
        <v/>
      </c>
      <c r="AN30" s="55">
        <f>IF(OR($C30="",$B$2="",$D$2=0),0,IF(AN$3&lt;0,0,N(INDEX('CURVA PREVISION'!$A$1:$KZ$3000,$C30,10+3*MIN(AN$3,$D$2-1)))))</f>
        <v/>
      </c>
      <c r="AO30" s="55">
        <f>IF(OR($C30="",$B$2="",$D$2=0),0,IF(AO$3&lt;0,0,N(INDEX('CURVA PREVISION'!$A$1:$KZ$3000,$C30,10+3*MIN(AO$3,$D$2-1)))))</f>
        <v/>
      </c>
      <c r="AP30" s="55">
        <f>IF(OR($C30="",$B$2="",$D$2=0),0,IF(AP$3&lt;0,0,N(INDEX('CURVA PREVISION'!$A$1:$KZ$3000,$C30,10+3*MIN(AP$3,$D$2-1)))))</f>
        <v/>
      </c>
      <c r="AQ30" s="55">
        <f>IF(OR($C30="",$B$2="",$D$2=0),0,IF(AQ$3&lt;0,0,N(INDEX('CURVA PREVISION'!$A$1:$KZ$3000,$C30,10+3*MIN(AQ$3,$D$2-1)))))</f>
        <v/>
      </c>
      <c r="AR30" s="55">
        <f>IF(OR($C30="",$B$2="",$D$2=0),0,IF(AR$3&lt;0,0,N(INDEX('CURVA PREVISION'!$A$1:$KZ$3000,$C30,10+3*MIN(AR$3,$D$2-1)))))</f>
        <v/>
      </c>
      <c r="AS30" s="55">
        <f>IF(OR($C30="",$B$2="",$D$2=0),0,IF(AS$3&lt;0,0,N(INDEX('CURVA PREVISION'!$A$1:$KZ$3000,$C30,10+3*MIN(AS$3,$D$2-1)))))</f>
        <v/>
      </c>
      <c r="AT30" s="55">
        <f>IF(OR($C30="",$B$2="",$D$2=0),0,IF(AT$3&lt;0,0,N(INDEX('CURVA PREVISION'!$A$1:$KZ$3000,$C30,10+3*MIN(AT$3,$D$2-1)))))</f>
        <v/>
      </c>
      <c r="AU30" s="55">
        <f>IF(OR($C30="",$B$2="",$D$2=0),0,IF(AU$3&lt;0,0,N(INDEX('CURVA PREVISION'!$A$1:$KZ$3000,$C30,10+3*MIN(AU$3,$D$2-1)))))</f>
        <v/>
      </c>
      <c r="AV30" s="55">
        <f>IF(OR($C30="",$B$2="",$D$2=0),0,IF(AV$3&lt;0,0,N(INDEX('CURVA PREVISION'!$A$1:$KZ$3000,$C30,10+3*MIN(AV$3,$D$2-1)))))</f>
        <v/>
      </c>
      <c r="AW30" s="55">
        <f>IF(OR($C30="",$B$2="",$D$2=0),0,IF(AW$3&lt;0,0,N(INDEX('CURVA PREVISION'!$A$1:$KZ$3000,$C30,10+3*MIN(AW$3,$D$2-1)))))</f>
        <v/>
      </c>
      <c r="AX30" s="55">
        <f>IF(OR($C30="",$B$2="",$D$2=0),0,IF(AX$3&lt;0,0,N(INDEX('CURVA PREVISION'!$A$1:$KZ$3000,$C30,10+3*MIN(AX$3,$D$2-1)))))</f>
        <v/>
      </c>
      <c r="AY30" s="55">
        <f>IF(OR($C30="",$B$2="",$D$2=0),0,IF(AY$3&lt;0,0,N(INDEX('CURVA PREVISION'!$A$1:$KZ$3000,$C30,10+3*MIN(AY$3,$D$2-1)))))</f>
        <v/>
      </c>
      <c r="AZ30" s="55">
        <f>IF(OR($C30="",$B$2="",$D$2=0),0,IF(AZ$3&lt;0,0,N(INDEX('CURVA PREVISION'!$A$1:$KZ$3000,$C30,10+3*MIN(AZ$3,$D$2-1)))))</f>
        <v/>
      </c>
      <c r="BA30" s="55">
        <f>IF(OR($C30="",$B$2="",$D$2=0),0,IF(BA$3&lt;0,0,N(INDEX('CURVA PREVISION'!$A$1:$KZ$3000,$C30,10+3*MIN(BA$3,$D$2-1)))))</f>
        <v/>
      </c>
      <c r="BB30" s="55">
        <f>IF(OR($C30="",$B$2="",$D$2=0),0,IF(BB$3&lt;0,0,N(INDEX('CURVA PREVISION'!$A$1:$KZ$3000,$C30,10+3*MIN(BB$3,$D$2-1)))))</f>
        <v/>
      </c>
      <c r="BC30" s="55">
        <f>IF(OR($C30="",$B$2="",$D$2=0),0,IF(BC$3&lt;0,0,N(INDEX('CURVA PREVISION'!$A$1:$KZ$3000,$C30,10+3*MIN(BC$3,$D$2-1)))))</f>
        <v/>
      </c>
      <c r="BD30" s="55">
        <f>IF(OR($C30="",$B$2="",$D$2=0),0,IF(BD$3&lt;0,0,N(INDEX('CURVA PREVISION'!$A$1:$KZ$3000,$C30,10+3*MIN(BD$3,$D$2-1)))))</f>
        <v/>
      </c>
      <c r="BE30" s="55">
        <f>IF(OR($C30="",$B$2="",$D$2=0),0,IF(BE$3&lt;0,0,N(INDEX('CURVA PREVISION'!$A$1:$KZ$3000,$C30,10+3*MIN(BE$3,$D$2-1)))))</f>
        <v/>
      </c>
      <c r="BF30" s="55">
        <f>IF(OR($C30="",$B$2="",$D$2=0),0,IF(BF$3&lt;0,0,N(INDEX('CURVA PREVISION'!$A$1:$KZ$3000,$C30,10+3*MIN(BF$3,$D$2-1)))))</f>
        <v/>
      </c>
      <c r="BG30" s="55">
        <f>IF(OR($C30="",$B$2="",$D$2=0),0,IF(BG$3&lt;0,0,N(INDEX('CURVA PREVISION'!$A$1:$KZ$3000,$C30,10+3*MIN(BG$3,$D$2-1)))))</f>
        <v/>
      </c>
      <c r="BH30" s="55">
        <f>IF(OR($C30="",$B$2="",$D$2=0),0,IF(BH$3&lt;0,0,N(INDEX('CURVA PREVISION'!$A$1:$KZ$3000,$C30,10+3*MIN(BH$3,$D$2-1)))))</f>
        <v/>
      </c>
      <c r="BI30" s="55">
        <f>IF(OR($C30="",$B$2="",$D$2=0),0,IF(BI$3&lt;0,0,N(INDEX('CURVA PREVISION'!$A$1:$KZ$3000,$C30,10+3*MIN(BI$3,$D$2-1)))))</f>
        <v/>
      </c>
      <c r="BJ30" s="55">
        <f>IF(OR($C30="",$B$2="",$D$2=0),0,IF(BJ$3&lt;0,0,N(INDEX('CURVA PREVISION'!$A$1:$KZ$3000,$C30,10+3*MIN(BJ$3,$D$2-1)))))</f>
        <v/>
      </c>
      <c r="BK30" s="55">
        <f>IF(OR($C30="",$B$2="",$D$2=0),0,IF(BK$3&lt;0,0,N(INDEX('CURVA PREVISION'!$A$1:$KZ$3000,$C30,10+3*MIN(BK$3,$D$2-1)))))</f>
        <v/>
      </c>
      <c r="BL30" s="55">
        <f>IF(OR($C30="",$B$2="",$D$2=0),0,IF(BL$3&lt;0,0,N(INDEX('CURVA PREVISION'!$A$1:$KZ$3000,$C30,10+3*MIN(BL$3,$D$2-1)))))</f>
        <v/>
      </c>
      <c r="BM30" s="55">
        <f>IF(OR($C30="",$B$2="",$D$2=0),0,IF(BM$3&lt;0,0,N(INDEX('CURVA PREVISION'!$A$1:$KZ$3000,$C30,10+3*MIN(BM$3,$D$2-1)))))</f>
        <v/>
      </c>
      <c r="BN30" s="55">
        <f>IF(OR($C30="",$B$2="",$D$2=0),0,IF(BN$3&lt;0,0,N(INDEX('CURVA PREVISION'!$A$1:$KZ$3000,$C30,10+3*MIN(BN$3,$D$2-1)))))</f>
        <v/>
      </c>
      <c r="BO30" s="55">
        <f>IF(OR($C30="",$B$2="",$D$2=0),0,IF(BO$3&lt;0,0,N(INDEX('CURVA PREVISION'!$A$1:$KZ$3000,$C30,10+3*MIN(BO$3,$D$2-1)))))</f>
        <v/>
      </c>
      <c r="BP30" s="55">
        <f>IF(OR($C30="",$B$2="",$D$2=0),0,IF(BP$3&lt;0,0,N(INDEX('CURVA PREVISION'!$A$1:$KZ$3000,$C30,10+3*MIN(BP$3,$D$2-1)))))</f>
        <v/>
      </c>
      <c r="BQ30" s="55">
        <f>IF(OR($C30="",$B$2="",$D$2=0),0,IF(BQ$3&lt;0,0,N(INDEX('CURVA PREVISION'!$A$1:$KZ$3000,$C30,10+3*MIN(BQ$3,$D$2-1)))))</f>
        <v/>
      </c>
      <c r="BR30" s="55">
        <f>IF(OR($C30="",$B$2="",$D$2=0),0,IF(BR$3&lt;0,0,N(INDEX('CURVA PREVISION'!$A$1:$KZ$3000,$C30,10+3*MIN(BR$3,$D$2-1)))))</f>
        <v/>
      </c>
      <c r="BS30" s="55">
        <f>IF(OR($C30="",$B$2="",$D$2=0),0,IF(BS$3&lt;0,0,N(INDEX('CURVA PREVISION'!$A$1:$KZ$3000,$C30,10+3*MIN(BS$3,$D$2-1)))))</f>
        <v/>
      </c>
      <c r="BT30" s="55">
        <f>IF(OR($C30="",$B$2="",$D$2=0),0,IF(BT$3&lt;0,0,N(INDEX('CURVA PREVISION'!$A$1:$KZ$3000,$C30,10+3*MIN(BT$3,$D$2-1)))))</f>
        <v/>
      </c>
      <c r="BU30" s="55">
        <f>IF(OR($C30="",$B$2="",$D$2=0),0,IF(BU$3&lt;0,0,N(INDEX('CURVA PREVISION'!$A$1:$KZ$3000,$C30,10+3*MIN(BU$3,$D$2-1)))))</f>
        <v/>
      </c>
      <c r="BV30" s="55">
        <f>IF(OR($C30="",$B$2="",$D$2=0),0,IF(BV$3&lt;0,0,N(INDEX('CURVA PREVISION'!$A$1:$KZ$3000,$C30,10+3*MIN(BV$3,$D$2-1)))))</f>
        <v/>
      </c>
      <c r="BW30" s="55">
        <f>IF(OR($C30="",$B$2="",$D$2=0),0,IF(BW$3&lt;0,0,N(INDEX('CURVA PREVISION'!$A$1:$KZ$3000,$C30,10+3*MIN(BW$3,$D$2-1)))))</f>
        <v/>
      </c>
    </row>
    <row r="31">
      <c r="A31" s="34">
        <f>'VALOR POR PL'!C37</f>
        <v/>
      </c>
      <c r="B31" s="34">
        <f>'VALOR POR PL'!D37</f>
        <v/>
      </c>
      <c r="C31" s="28">
        <f>IFERROR(MATCH(A31,'CURVA PREVISION'!$B$1:$B$3000,0),"")</f>
        <v/>
      </c>
      <c r="D31" s="55">
        <f>IF(OR($C31="",$B$2="",$D$2=0),0,IF(D$3&lt;0,0,N(INDEX('CURVA PREVISION'!$A$1:$KZ$3000,$C31,10+3*MIN(D$3,$D$2-1)))))</f>
        <v/>
      </c>
      <c r="E31" s="55">
        <f>IF(OR($C31="",$B$2="",$D$2=0),0,IF(E$3&lt;0,0,N(INDEX('CURVA PREVISION'!$A$1:$KZ$3000,$C31,10+3*MIN(E$3,$D$2-1)))))</f>
        <v/>
      </c>
      <c r="F31" s="55">
        <f>IF(OR($C31="",$B$2="",$D$2=0),0,IF(F$3&lt;0,0,N(INDEX('CURVA PREVISION'!$A$1:$KZ$3000,$C31,10+3*MIN(F$3,$D$2-1)))))</f>
        <v/>
      </c>
      <c r="G31" s="55">
        <f>IF(OR($C31="",$B$2="",$D$2=0),0,IF(G$3&lt;0,0,N(INDEX('CURVA PREVISION'!$A$1:$KZ$3000,$C31,10+3*MIN(G$3,$D$2-1)))))</f>
        <v/>
      </c>
      <c r="H31" s="55">
        <f>IF(OR($C31="",$B$2="",$D$2=0),0,IF(H$3&lt;0,0,N(INDEX('CURVA PREVISION'!$A$1:$KZ$3000,$C31,10+3*MIN(H$3,$D$2-1)))))</f>
        <v/>
      </c>
      <c r="I31" s="55">
        <f>IF(OR($C31="",$B$2="",$D$2=0),0,IF(I$3&lt;0,0,N(INDEX('CURVA PREVISION'!$A$1:$KZ$3000,$C31,10+3*MIN(I$3,$D$2-1)))))</f>
        <v/>
      </c>
      <c r="J31" s="55">
        <f>IF(OR($C31="",$B$2="",$D$2=0),0,IF(J$3&lt;0,0,N(INDEX('CURVA PREVISION'!$A$1:$KZ$3000,$C31,10+3*MIN(J$3,$D$2-1)))))</f>
        <v/>
      </c>
      <c r="K31" s="55">
        <f>IF(OR($C31="",$B$2="",$D$2=0),0,IF(K$3&lt;0,0,N(INDEX('CURVA PREVISION'!$A$1:$KZ$3000,$C31,10+3*MIN(K$3,$D$2-1)))))</f>
        <v/>
      </c>
      <c r="L31" s="55">
        <f>IF(OR($C31="",$B$2="",$D$2=0),0,IF(L$3&lt;0,0,N(INDEX('CURVA PREVISION'!$A$1:$KZ$3000,$C31,10+3*MIN(L$3,$D$2-1)))))</f>
        <v/>
      </c>
      <c r="M31" s="55">
        <f>IF(OR($C31="",$B$2="",$D$2=0),0,IF(M$3&lt;0,0,N(INDEX('CURVA PREVISION'!$A$1:$KZ$3000,$C31,10+3*MIN(M$3,$D$2-1)))))</f>
        <v/>
      </c>
      <c r="N31" s="55">
        <f>IF(OR($C31="",$B$2="",$D$2=0),0,IF(N$3&lt;0,0,N(INDEX('CURVA PREVISION'!$A$1:$KZ$3000,$C31,10+3*MIN(N$3,$D$2-1)))))</f>
        <v/>
      </c>
      <c r="O31" s="55">
        <f>IF(OR($C31="",$B$2="",$D$2=0),0,IF(O$3&lt;0,0,N(INDEX('CURVA PREVISION'!$A$1:$KZ$3000,$C31,10+3*MIN(O$3,$D$2-1)))))</f>
        <v/>
      </c>
      <c r="P31" s="55">
        <f>IF(OR($C31="",$B$2="",$D$2=0),0,IF(P$3&lt;0,0,N(INDEX('CURVA PREVISION'!$A$1:$KZ$3000,$C31,10+3*MIN(P$3,$D$2-1)))))</f>
        <v/>
      </c>
      <c r="Q31" s="55">
        <f>IF(OR($C31="",$B$2="",$D$2=0),0,IF(Q$3&lt;0,0,N(INDEX('CURVA PREVISION'!$A$1:$KZ$3000,$C31,10+3*MIN(Q$3,$D$2-1)))))</f>
        <v/>
      </c>
      <c r="R31" s="55">
        <f>IF(OR($C31="",$B$2="",$D$2=0),0,IF(R$3&lt;0,0,N(INDEX('CURVA PREVISION'!$A$1:$KZ$3000,$C31,10+3*MIN(R$3,$D$2-1)))))</f>
        <v/>
      </c>
      <c r="S31" s="55">
        <f>IF(OR($C31="",$B$2="",$D$2=0),0,IF(S$3&lt;0,0,N(INDEX('CURVA PREVISION'!$A$1:$KZ$3000,$C31,10+3*MIN(S$3,$D$2-1)))))</f>
        <v/>
      </c>
      <c r="T31" s="55">
        <f>IF(OR($C31="",$B$2="",$D$2=0),0,IF(T$3&lt;0,0,N(INDEX('CURVA PREVISION'!$A$1:$KZ$3000,$C31,10+3*MIN(T$3,$D$2-1)))))</f>
        <v/>
      </c>
      <c r="U31" s="55">
        <f>IF(OR($C31="",$B$2="",$D$2=0),0,IF(U$3&lt;0,0,N(INDEX('CURVA PREVISION'!$A$1:$KZ$3000,$C31,10+3*MIN(U$3,$D$2-1)))))</f>
        <v/>
      </c>
      <c r="V31" s="55">
        <f>IF(OR($C31="",$B$2="",$D$2=0),0,IF(V$3&lt;0,0,N(INDEX('CURVA PREVISION'!$A$1:$KZ$3000,$C31,10+3*MIN(V$3,$D$2-1)))))</f>
        <v/>
      </c>
      <c r="W31" s="55">
        <f>IF(OR($C31="",$B$2="",$D$2=0),0,IF(W$3&lt;0,0,N(INDEX('CURVA PREVISION'!$A$1:$KZ$3000,$C31,10+3*MIN(W$3,$D$2-1)))))</f>
        <v/>
      </c>
      <c r="X31" s="55">
        <f>IF(OR($C31="",$B$2="",$D$2=0),0,IF(X$3&lt;0,0,N(INDEX('CURVA PREVISION'!$A$1:$KZ$3000,$C31,10+3*MIN(X$3,$D$2-1)))))</f>
        <v/>
      </c>
      <c r="Y31" s="55">
        <f>IF(OR($C31="",$B$2="",$D$2=0),0,IF(Y$3&lt;0,0,N(INDEX('CURVA PREVISION'!$A$1:$KZ$3000,$C31,10+3*MIN(Y$3,$D$2-1)))))</f>
        <v/>
      </c>
      <c r="Z31" s="55">
        <f>IF(OR($C31="",$B$2="",$D$2=0),0,IF(Z$3&lt;0,0,N(INDEX('CURVA PREVISION'!$A$1:$KZ$3000,$C31,10+3*MIN(Z$3,$D$2-1)))))</f>
        <v/>
      </c>
      <c r="AA31" s="55">
        <f>IF(OR($C31="",$B$2="",$D$2=0),0,IF(AA$3&lt;0,0,N(INDEX('CURVA PREVISION'!$A$1:$KZ$3000,$C31,10+3*MIN(AA$3,$D$2-1)))))</f>
        <v/>
      </c>
      <c r="AB31" s="55">
        <f>IF(OR($C31="",$B$2="",$D$2=0),0,IF(AB$3&lt;0,0,N(INDEX('CURVA PREVISION'!$A$1:$KZ$3000,$C31,10+3*MIN(AB$3,$D$2-1)))))</f>
        <v/>
      </c>
      <c r="AC31" s="55">
        <f>IF(OR($C31="",$B$2="",$D$2=0),0,IF(AC$3&lt;0,0,N(INDEX('CURVA PREVISION'!$A$1:$KZ$3000,$C31,10+3*MIN(AC$3,$D$2-1)))))</f>
        <v/>
      </c>
      <c r="AD31" s="55">
        <f>IF(OR($C31="",$B$2="",$D$2=0),0,IF(AD$3&lt;0,0,N(INDEX('CURVA PREVISION'!$A$1:$KZ$3000,$C31,10+3*MIN(AD$3,$D$2-1)))))</f>
        <v/>
      </c>
      <c r="AE31" s="55">
        <f>IF(OR($C31="",$B$2="",$D$2=0),0,IF(AE$3&lt;0,0,N(INDEX('CURVA PREVISION'!$A$1:$KZ$3000,$C31,10+3*MIN(AE$3,$D$2-1)))))</f>
        <v/>
      </c>
      <c r="AF31" s="55">
        <f>IF(OR($C31="",$B$2="",$D$2=0),0,IF(AF$3&lt;0,0,N(INDEX('CURVA PREVISION'!$A$1:$KZ$3000,$C31,10+3*MIN(AF$3,$D$2-1)))))</f>
        <v/>
      </c>
      <c r="AG31" s="55">
        <f>IF(OR($C31="",$B$2="",$D$2=0),0,IF(AG$3&lt;0,0,N(INDEX('CURVA PREVISION'!$A$1:$KZ$3000,$C31,10+3*MIN(AG$3,$D$2-1)))))</f>
        <v/>
      </c>
      <c r="AH31" s="55">
        <f>IF(OR($C31="",$B$2="",$D$2=0),0,IF(AH$3&lt;0,0,N(INDEX('CURVA PREVISION'!$A$1:$KZ$3000,$C31,10+3*MIN(AH$3,$D$2-1)))))</f>
        <v/>
      </c>
      <c r="AI31" s="55">
        <f>IF(OR($C31="",$B$2="",$D$2=0),0,IF(AI$3&lt;0,0,N(INDEX('CURVA PREVISION'!$A$1:$KZ$3000,$C31,10+3*MIN(AI$3,$D$2-1)))))</f>
        <v/>
      </c>
      <c r="AJ31" s="55">
        <f>IF(OR($C31="",$B$2="",$D$2=0),0,IF(AJ$3&lt;0,0,N(INDEX('CURVA PREVISION'!$A$1:$KZ$3000,$C31,10+3*MIN(AJ$3,$D$2-1)))))</f>
        <v/>
      </c>
      <c r="AK31" s="55">
        <f>IF(OR($C31="",$B$2="",$D$2=0),0,IF(AK$3&lt;0,0,N(INDEX('CURVA PREVISION'!$A$1:$KZ$3000,$C31,10+3*MIN(AK$3,$D$2-1)))))</f>
        <v/>
      </c>
      <c r="AL31" s="55">
        <f>IF(OR($C31="",$B$2="",$D$2=0),0,IF(AL$3&lt;0,0,N(INDEX('CURVA PREVISION'!$A$1:$KZ$3000,$C31,10+3*MIN(AL$3,$D$2-1)))))</f>
        <v/>
      </c>
      <c r="AM31" s="55">
        <f>IF(OR($C31="",$B$2="",$D$2=0),0,IF(AM$3&lt;0,0,N(INDEX('CURVA PREVISION'!$A$1:$KZ$3000,$C31,10+3*MIN(AM$3,$D$2-1)))))</f>
        <v/>
      </c>
      <c r="AN31" s="55">
        <f>IF(OR($C31="",$B$2="",$D$2=0),0,IF(AN$3&lt;0,0,N(INDEX('CURVA PREVISION'!$A$1:$KZ$3000,$C31,10+3*MIN(AN$3,$D$2-1)))))</f>
        <v/>
      </c>
      <c r="AO31" s="55">
        <f>IF(OR($C31="",$B$2="",$D$2=0),0,IF(AO$3&lt;0,0,N(INDEX('CURVA PREVISION'!$A$1:$KZ$3000,$C31,10+3*MIN(AO$3,$D$2-1)))))</f>
        <v/>
      </c>
      <c r="AP31" s="55">
        <f>IF(OR($C31="",$B$2="",$D$2=0),0,IF(AP$3&lt;0,0,N(INDEX('CURVA PREVISION'!$A$1:$KZ$3000,$C31,10+3*MIN(AP$3,$D$2-1)))))</f>
        <v/>
      </c>
      <c r="AQ31" s="55">
        <f>IF(OR($C31="",$B$2="",$D$2=0),0,IF(AQ$3&lt;0,0,N(INDEX('CURVA PREVISION'!$A$1:$KZ$3000,$C31,10+3*MIN(AQ$3,$D$2-1)))))</f>
        <v/>
      </c>
      <c r="AR31" s="55">
        <f>IF(OR($C31="",$B$2="",$D$2=0),0,IF(AR$3&lt;0,0,N(INDEX('CURVA PREVISION'!$A$1:$KZ$3000,$C31,10+3*MIN(AR$3,$D$2-1)))))</f>
        <v/>
      </c>
      <c r="AS31" s="55">
        <f>IF(OR($C31="",$B$2="",$D$2=0),0,IF(AS$3&lt;0,0,N(INDEX('CURVA PREVISION'!$A$1:$KZ$3000,$C31,10+3*MIN(AS$3,$D$2-1)))))</f>
        <v/>
      </c>
      <c r="AT31" s="55">
        <f>IF(OR($C31="",$B$2="",$D$2=0),0,IF(AT$3&lt;0,0,N(INDEX('CURVA PREVISION'!$A$1:$KZ$3000,$C31,10+3*MIN(AT$3,$D$2-1)))))</f>
        <v/>
      </c>
      <c r="AU31" s="55">
        <f>IF(OR($C31="",$B$2="",$D$2=0),0,IF(AU$3&lt;0,0,N(INDEX('CURVA PREVISION'!$A$1:$KZ$3000,$C31,10+3*MIN(AU$3,$D$2-1)))))</f>
        <v/>
      </c>
      <c r="AV31" s="55">
        <f>IF(OR($C31="",$B$2="",$D$2=0),0,IF(AV$3&lt;0,0,N(INDEX('CURVA PREVISION'!$A$1:$KZ$3000,$C31,10+3*MIN(AV$3,$D$2-1)))))</f>
        <v/>
      </c>
      <c r="AW31" s="55">
        <f>IF(OR($C31="",$B$2="",$D$2=0),0,IF(AW$3&lt;0,0,N(INDEX('CURVA PREVISION'!$A$1:$KZ$3000,$C31,10+3*MIN(AW$3,$D$2-1)))))</f>
        <v/>
      </c>
      <c r="AX31" s="55">
        <f>IF(OR($C31="",$B$2="",$D$2=0),0,IF(AX$3&lt;0,0,N(INDEX('CURVA PREVISION'!$A$1:$KZ$3000,$C31,10+3*MIN(AX$3,$D$2-1)))))</f>
        <v/>
      </c>
      <c r="AY31" s="55">
        <f>IF(OR($C31="",$B$2="",$D$2=0),0,IF(AY$3&lt;0,0,N(INDEX('CURVA PREVISION'!$A$1:$KZ$3000,$C31,10+3*MIN(AY$3,$D$2-1)))))</f>
        <v/>
      </c>
      <c r="AZ31" s="55">
        <f>IF(OR($C31="",$B$2="",$D$2=0),0,IF(AZ$3&lt;0,0,N(INDEX('CURVA PREVISION'!$A$1:$KZ$3000,$C31,10+3*MIN(AZ$3,$D$2-1)))))</f>
        <v/>
      </c>
      <c r="BA31" s="55">
        <f>IF(OR($C31="",$B$2="",$D$2=0),0,IF(BA$3&lt;0,0,N(INDEX('CURVA PREVISION'!$A$1:$KZ$3000,$C31,10+3*MIN(BA$3,$D$2-1)))))</f>
        <v/>
      </c>
      <c r="BB31" s="55">
        <f>IF(OR($C31="",$B$2="",$D$2=0),0,IF(BB$3&lt;0,0,N(INDEX('CURVA PREVISION'!$A$1:$KZ$3000,$C31,10+3*MIN(BB$3,$D$2-1)))))</f>
        <v/>
      </c>
      <c r="BC31" s="55">
        <f>IF(OR($C31="",$B$2="",$D$2=0),0,IF(BC$3&lt;0,0,N(INDEX('CURVA PREVISION'!$A$1:$KZ$3000,$C31,10+3*MIN(BC$3,$D$2-1)))))</f>
        <v/>
      </c>
      <c r="BD31" s="55">
        <f>IF(OR($C31="",$B$2="",$D$2=0),0,IF(BD$3&lt;0,0,N(INDEX('CURVA PREVISION'!$A$1:$KZ$3000,$C31,10+3*MIN(BD$3,$D$2-1)))))</f>
        <v/>
      </c>
      <c r="BE31" s="55">
        <f>IF(OR($C31="",$B$2="",$D$2=0),0,IF(BE$3&lt;0,0,N(INDEX('CURVA PREVISION'!$A$1:$KZ$3000,$C31,10+3*MIN(BE$3,$D$2-1)))))</f>
        <v/>
      </c>
      <c r="BF31" s="55">
        <f>IF(OR($C31="",$B$2="",$D$2=0),0,IF(BF$3&lt;0,0,N(INDEX('CURVA PREVISION'!$A$1:$KZ$3000,$C31,10+3*MIN(BF$3,$D$2-1)))))</f>
        <v/>
      </c>
      <c r="BG31" s="55">
        <f>IF(OR($C31="",$B$2="",$D$2=0),0,IF(BG$3&lt;0,0,N(INDEX('CURVA PREVISION'!$A$1:$KZ$3000,$C31,10+3*MIN(BG$3,$D$2-1)))))</f>
        <v/>
      </c>
      <c r="BH31" s="55">
        <f>IF(OR($C31="",$B$2="",$D$2=0),0,IF(BH$3&lt;0,0,N(INDEX('CURVA PREVISION'!$A$1:$KZ$3000,$C31,10+3*MIN(BH$3,$D$2-1)))))</f>
        <v/>
      </c>
      <c r="BI31" s="55">
        <f>IF(OR($C31="",$B$2="",$D$2=0),0,IF(BI$3&lt;0,0,N(INDEX('CURVA PREVISION'!$A$1:$KZ$3000,$C31,10+3*MIN(BI$3,$D$2-1)))))</f>
        <v/>
      </c>
      <c r="BJ31" s="55">
        <f>IF(OR($C31="",$B$2="",$D$2=0),0,IF(BJ$3&lt;0,0,N(INDEX('CURVA PREVISION'!$A$1:$KZ$3000,$C31,10+3*MIN(BJ$3,$D$2-1)))))</f>
        <v/>
      </c>
      <c r="BK31" s="55">
        <f>IF(OR($C31="",$B$2="",$D$2=0),0,IF(BK$3&lt;0,0,N(INDEX('CURVA PREVISION'!$A$1:$KZ$3000,$C31,10+3*MIN(BK$3,$D$2-1)))))</f>
        <v/>
      </c>
      <c r="BL31" s="55">
        <f>IF(OR($C31="",$B$2="",$D$2=0),0,IF(BL$3&lt;0,0,N(INDEX('CURVA PREVISION'!$A$1:$KZ$3000,$C31,10+3*MIN(BL$3,$D$2-1)))))</f>
        <v/>
      </c>
      <c r="BM31" s="55">
        <f>IF(OR($C31="",$B$2="",$D$2=0),0,IF(BM$3&lt;0,0,N(INDEX('CURVA PREVISION'!$A$1:$KZ$3000,$C31,10+3*MIN(BM$3,$D$2-1)))))</f>
        <v/>
      </c>
      <c r="BN31" s="55">
        <f>IF(OR($C31="",$B$2="",$D$2=0),0,IF(BN$3&lt;0,0,N(INDEX('CURVA PREVISION'!$A$1:$KZ$3000,$C31,10+3*MIN(BN$3,$D$2-1)))))</f>
        <v/>
      </c>
      <c r="BO31" s="55">
        <f>IF(OR($C31="",$B$2="",$D$2=0),0,IF(BO$3&lt;0,0,N(INDEX('CURVA PREVISION'!$A$1:$KZ$3000,$C31,10+3*MIN(BO$3,$D$2-1)))))</f>
        <v/>
      </c>
      <c r="BP31" s="55">
        <f>IF(OR($C31="",$B$2="",$D$2=0),0,IF(BP$3&lt;0,0,N(INDEX('CURVA PREVISION'!$A$1:$KZ$3000,$C31,10+3*MIN(BP$3,$D$2-1)))))</f>
        <v/>
      </c>
      <c r="BQ31" s="55">
        <f>IF(OR($C31="",$B$2="",$D$2=0),0,IF(BQ$3&lt;0,0,N(INDEX('CURVA PREVISION'!$A$1:$KZ$3000,$C31,10+3*MIN(BQ$3,$D$2-1)))))</f>
        <v/>
      </c>
      <c r="BR31" s="55">
        <f>IF(OR($C31="",$B$2="",$D$2=0),0,IF(BR$3&lt;0,0,N(INDEX('CURVA PREVISION'!$A$1:$KZ$3000,$C31,10+3*MIN(BR$3,$D$2-1)))))</f>
        <v/>
      </c>
      <c r="BS31" s="55">
        <f>IF(OR($C31="",$B$2="",$D$2=0),0,IF(BS$3&lt;0,0,N(INDEX('CURVA PREVISION'!$A$1:$KZ$3000,$C31,10+3*MIN(BS$3,$D$2-1)))))</f>
        <v/>
      </c>
      <c r="BT31" s="55">
        <f>IF(OR($C31="",$B$2="",$D$2=0),0,IF(BT$3&lt;0,0,N(INDEX('CURVA PREVISION'!$A$1:$KZ$3000,$C31,10+3*MIN(BT$3,$D$2-1)))))</f>
        <v/>
      </c>
      <c r="BU31" s="55">
        <f>IF(OR($C31="",$B$2="",$D$2=0),0,IF(BU$3&lt;0,0,N(INDEX('CURVA PREVISION'!$A$1:$KZ$3000,$C31,10+3*MIN(BU$3,$D$2-1)))))</f>
        <v/>
      </c>
      <c r="BV31" s="55">
        <f>IF(OR($C31="",$B$2="",$D$2=0),0,IF(BV$3&lt;0,0,N(INDEX('CURVA PREVISION'!$A$1:$KZ$3000,$C31,10+3*MIN(BV$3,$D$2-1)))))</f>
        <v/>
      </c>
      <c r="BW31" s="55">
        <f>IF(OR($C31="",$B$2="",$D$2=0),0,IF(BW$3&lt;0,0,N(INDEX('CURVA PREVISION'!$A$1:$KZ$3000,$C31,10+3*MIN(BW$3,$D$2-1)))))</f>
        <v/>
      </c>
    </row>
    <row r="32">
      <c r="A32" s="34">
        <f>'VALOR POR PL'!C38</f>
        <v/>
      </c>
      <c r="B32" s="34">
        <f>'VALOR POR PL'!D38</f>
        <v/>
      </c>
      <c r="C32" s="28">
        <f>IFERROR(MATCH(A32,'CURVA PREVISION'!$B$1:$B$3000,0),"")</f>
        <v/>
      </c>
      <c r="D32" s="55">
        <f>IF(OR($C32="",$B$2="",$D$2=0),0,IF(D$3&lt;0,0,N(INDEX('CURVA PREVISION'!$A$1:$KZ$3000,$C32,10+3*MIN(D$3,$D$2-1)))))</f>
        <v/>
      </c>
      <c r="E32" s="55">
        <f>IF(OR($C32="",$B$2="",$D$2=0),0,IF(E$3&lt;0,0,N(INDEX('CURVA PREVISION'!$A$1:$KZ$3000,$C32,10+3*MIN(E$3,$D$2-1)))))</f>
        <v/>
      </c>
      <c r="F32" s="55">
        <f>IF(OR($C32="",$B$2="",$D$2=0),0,IF(F$3&lt;0,0,N(INDEX('CURVA PREVISION'!$A$1:$KZ$3000,$C32,10+3*MIN(F$3,$D$2-1)))))</f>
        <v/>
      </c>
      <c r="G32" s="55">
        <f>IF(OR($C32="",$B$2="",$D$2=0),0,IF(G$3&lt;0,0,N(INDEX('CURVA PREVISION'!$A$1:$KZ$3000,$C32,10+3*MIN(G$3,$D$2-1)))))</f>
        <v/>
      </c>
      <c r="H32" s="55">
        <f>IF(OR($C32="",$B$2="",$D$2=0),0,IF(H$3&lt;0,0,N(INDEX('CURVA PREVISION'!$A$1:$KZ$3000,$C32,10+3*MIN(H$3,$D$2-1)))))</f>
        <v/>
      </c>
      <c r="I32" s="55">
        <f>IF(OR($C32="",$B$2="",$D$2=0),0,IF(I$3&lt;0,0,N(INDEX('CURVA PREVISION'!$A$1:$KZ$3000,$C32,10+3*MIN(I$3,$D$2-1)))))</f>
        <v/>
      </c>
      <c r="J32" s="55">
        <f>IF(OR($C32="",$B$2="",$D$2=0),0,IF(J$3&lt;0,0,N(INDEX('CURVA PREVISION'!$A$1:$KZ$3000,$C32,10+3*MIN(J$3,$D$2-1)))))</f>
        <v/>
      </c>
      <c r="K32" s="55">
        <f>IF(OR($C32="",$B$2="",$D$2=0),0,IF(K$3&lt;0,0,N(INDEX('CURVA PREVISION'!$A$1:$KZ$3000,$C32,10+3*MIN(K$3,$D$2-1)))))</f>
        <v/>
      </c>
      <c r="L32" s="55">
        <f>IF(OR($C32="",$B$2="",$D$2=0),0,IF(L$3&lt;0,0,N(INDEX('CURVA PREVISION'!$A$1:$KZ$3000,$C32,10+3*MIN(L$3,$D$2-1)))))</f>
        <v/>
      </c>
      <c r="M32" s="55">
        <f>IF(OR($C32="",$B$2="",$D$2=0),0,IF(M$3&lt;0,0,N(INDEX('CURVA PREVISION'!$A$1:$KZ$3000,$C32,10+3*MIN(M$3,$D$2-1)))))</f>
        <v/>
      </c>
      <c r="N32" s="55">
        <f>IF(OR($C32="",$B$2="",$D$2=0),0,IF(N$3&lt;0,0,N(INDEX('CURVA PREVISION'!$A$1:$KZ$3000,$C32,10+3*MIN(N$3,$D$2-1)))))</f>
        <v/>
      </c>
      <c r="O32" s="55">
        <f>IF(OR($C32="",$B$2="",$D$2=0),0,IF(O$3&lt;0,0,N(INDEX('CURVA PREVISION'!$A$1:$KZ$3000,$C32,10+3*MIN(O$3,$D$2-1)))))</f>
        <v/>
      </c>
      <c r="P32" s="55">
        <f>IF(OR($C32="",$B$2="",$D$2=0),0,IF(P$3&lt;0,0,N(INDEX('CURVA PREVISION'!$A$1:$KZ$3000,$C32,10+3*MIN(P$3,$D$2-1)))))</f>
        <v/>
      </c>
      <c r="Q32" s="55">
        <f>IF(OR($C32="",$B$2="",$D$2=0),0,IF(Q$3&lt;0,0,N(INDEX('CURVA PREVISION'!$A$1:$KZ$3000,$C32,10+3*MIN(Q$3,$D$2-1)))))</f>
        <v/>
      </c>
      <c r="R32" s="55">
        <f>IF(OR($C32="",$B$2="",$D$2=0),0,IF(R$3&lt;0,0,N(INDEX('CURVA PREVISION'!$A$1:$KZ$3000,$C32,10+3*MIN(R$3,$D$2-1)))))</f>
        <v/>
      </c>
      <c r="S32" s="55">
        <f>IF(OR($C32="",$B$2="",$D$2=0),0,IF(S$3&lt;0,0,N(INDEX('CURVA PREVISION'!$A$1:$KZ$3000,$C32,10+3*MIN(S$3,$D$2-1)))))</f>
        <v/>
      </c>
      <c r="T32" s="55">
        <f>IF(OR($C32="",$B$2="",$D$2=0),0,IF(T$3&lt;0,0,N(INDEX('CURVA PREVISION'!$A$1:$KZ$3000,$C32,10+3*MIN(T$3,$D$2-1)))))</f>
        <v/>
      </c>
      <c r="U32" s="55">
        <f>IF(OR($C32="",$B$2="",$D$2=0),0,IF(U$3&lt;0,0,N(INDEX('CURVA PREVISION'!$A$1:$KZ$3000,$C32,10+3*MIN(U$3,$D$2-1)))))</f>
        <v/>
      </c>
      <c r="V32" s="55">
        <f>IF(OR($C32="",$B$2="",$D$2=0),0,IF(V$3&lt;0,0,N(INDEX('CURVA PREVISION'!$A$1:$KZ$3000,$C32,10+3*MIN(V$3,$D$2-1)))))</f>
        <v/>
      </c>
      <c r="W32" s="55">
        <f>IF(OR($C32="",$B$2="",$D$2=0),0,IF(W$3&lt;0,0,N(INDEX('CURVA PREVISION'!$A$1:$KZ$3000,$C32,10+3*MIN(W$3,$D$2-1)))))</f>
        <v/>
      </c>
      <c r="X32" s="55">
        <f>IF(OR($C32="",$B$2="",$D$2=0),0,IF(X$3&lt;0,0,N(INDEX('CURVA PREVISION'!$A$1:$KZ$3000,$C32,10+3*MIN(X$3,$D$2-1)))))</f>
        <v/>
      </c>
      <c r="Y32" s="55">
        <f>IF(OR($C32="",$B$2="",$D$2=0),0,IF(Y$3&lt;0,0,N(INDEX('CURVA PREVISION'!$A$1:$KZ$3000,$C32,10+3*MIN(Y$3,$D$2-1)))))</f>
        <v/>
      </c>
      <c r="Z32" s="55">
        <f>IF(OR($C32="",$B$2="",$D$2=0),0,IF(Z$3&lt;0,0,N(INDEX('CURVA PREVISION'!$A$1:$KZ$3000,$C32,10+3*MIN(Z$3,$D$2-1)))))</f>
        <v/>
      </c>
      <c r="AA32" s="55">
        <f>IF(OR($C32="",$B$2="",$D$2=0),0,IF(AA$3&lt;0,0,N(INDEX('CURVA PREVISION'!$A$1:$KZ$3000,$C32,10+3*MIN(AA$3,$D$2-1)))))</f>
        <v/>
      </c>
      <c r="AB32" s="55">
        <f>IF(OR($C32="",$B$2="",$D$2=0),0,IF(AB$3&lt;0,0,N(INDEX('CURVA PREVISION'!$A$1:$KZ$3000,$C32,10+3*MIN(AB$3,$D$2-1)))))</f>
        <v/>
      </c>
      <c r="AC32" s="55">
        <f>IF(OR($C32="",$B$2="",$D$2=0),0,IF(AC$3&lt;0,0,N(INDEX('CURVA PREVISION'!$A$1:$KZ$3000,$C32,10+3*MIN(AC$3,$D$2-1)))))</f>
        <v/>
      </c>
      <c r="AD32" s="55">
        <f>IF(OR($C32="",$B$2="",$D$2=0),0,IF(AD$3&lt;0,0,N(INDEX('CURVA PREVISION'!$A$1:$KZ$3000,$C32,10+3*MIN(AD$3,$D$2-1)))))</f>
        <v/>
      </c>
      <c r="AE32" s="55">
        <f>IF(OR($C32="",$B$2="",$D$2=0),0,IF(AE$3&lt;0,0,N(INDEX('CURVA PREVISION'!$A$1:$KZ$3000,$C32,10+3*MIN(AE$3,$D$2-1)))))</f>
        <v/>
      </c>
      <c r="AF32" s="55">
        <f>IF(OR($C32="",$B$2="",$D$2=0),0,IF(AF$3&lt;0,0,N(INDEX('CURVA PREVISION'!$A$1:$KZ$3000,$C32,10+3*MIN(AF$3,$D$2-1)))))</f>
        <v/>
      </c>
      <c r="AG32" s="55">
        <f>IF(OR($C32="",$B$2="",$D$2=0),0,IF(AG$3&lt;0,0,N(INDEX('CURVA PREVISION'!$A$1:$KZ$3000,$C32,10+3*MIN(AG$3,$D$2-1)))))</f>
        <v/>
      </c>
      <c r="AH32" s="55">
        <f>IF(OR($C32="",$B$2="",$D$2=0),0,IF(AH$3&lt;0,0,N(INDEX('CURVA PREVISION'!$A$1:$KZ$3000,$C32,10+3*MIN(AH$3,$D$2-1)))))</f>
        <v/>
      </c>
      <c r="AI32" s="55">
        <f>IF(OR($C32="",$B$2="",$D$2=0),0,IF(AI$3&lt;0,0,N(INDEX('CURVA PREVISION'!$A$1:$KZ$3000,$C32,10+3*MIN(AI$3,$D$2-1)))))</f>
        <v/>
      </c>
      <c r="AJ32" s="55">
        <f>IF(OR($C32="",$B$2="",$D$2=0),0,IF(AJ$3&lt;0,0,N(INDEX('CURVA PREVISION'!$A$1:$KZ$3000,$C32,10+3*MIN(AJ$3,$D$2-1)))))</f>
        <v/>
      </c>
      <c r="AK32" s="55">
        <f>IF(OR($C32="",$B$2="",$D$2=0),0,IF(AK$3&lt;0,0,N(INDEX('CURVA PREVISION'!$A$1:$KZ$3000,$C32,10+3*MIN(AK$3,$D$2-1)))))</f>
        <v/>
      </c>
      <c r="AL32" s="55">
        <f>IF(OR($C32="",$B$2="",$D$2=0),0,IF(AL$3&lt;0,0,N(INDEX('CURVA PREVISION'!$A$1:$KZ$3000,$C32,10+3*MIN(AL$3,$D$2-1)))))</f>
        <v/>
      </c>
      <c r="AM32" s="55">
        <f>IF(OR($C32="",$B$2="",$D$2=0),0,IF(AM$3&lt;0,0,N(INDEX('CURVA PREVISION'!$A$1:$KZ$3000,$C32,10+3*MIN(AM$3,$D$2-1)))))</f>
        <v/>
      </c>
      <c r="AN32" s="55">
        <f>IF(OR($C32="",$B$2="",$D$2=0),0,IF(AN$3&lt;0,0,N(INDEX('CURVA PREVISION'!$A$1:$KZ$3000,$C32,10+3*MIN(AN$3,$D$2-1)))))</f>
        <v/>
      </c>
      <c r="AO32" s="55">
        <f>IF(OR($C32="",$B$2="",$D$2=0),0,IF(AO$3&lt;0,0,N(INDEX('CURVA PREVISION'!$A$1:$KZ$3000,$C32,10+3*MIN(AO$3,$D$2-1)))))</f>
        <v/>
      </c>
      <c r="AP32" s="55">
        <f>IF(OR($C32="",$B$2="",$D$2=0),0,IF(AP$3&lt;0,0,N(INDEX('CURVA PREVISION'!$A$1:$KZ$3000,$C32,10+3*MIN(AP$3,$D$2-1)))))</f>
        <v/>
      </c>
      <c r="AQ32" s="55">
        <f>IF(OR($C32="",$B$2="",$D$2=0),0,IF(AQ$3&lt;0,0,N(INDEX('CURVA PREVISION'!$A$1:$KZ$3000,$C32,10+3*MIN(AQ$3,$D$2-1)))))</f>
        <v/>
      </c>
      <c r="AR32" s="55">
        <f>IF(OR($C32="",$B$2="",$D$2=0),0,IF(AR$3&lt;0,0,N(INDEX('CURVA PREVISION'!$A$1:$KZ$3000,$C32,10+3*MIN(AR$3,$D$2-1)))))</f>
        <v/>
      </c>
      <c r="AS32" s="55">
        <f>IF(OR($C32="",$B$2="",$D$2=0),0,IF(AS$3&lt;0,0,N(INDEX('CURVA PREVISION'!$A$1:$KZ$3000,$C32,10+3*MIN(AS$3,$D$2-1)))))</f>
        <v/>
      </c>
      <c r="AT32" s="55">
        <f>IF(OR($C32="",$B$2="",$D$2=0),0,IF(AT$3&lt;0,0,N(INDEX('CURVA PREVISION'!$A$1:$KZ$3000,$C32,10+3*MIN(AT$3,$D$2-1)))))</f>
        <v/>
      </c>
      <c r="AU32" s="55">
        <f>IF(OR($C32="",$B$2="",$D$2=0),0,IF(AU$3&lt;0,0,N(INDEX('CURVA PREVISION'!$A$1:$KZ$3000,$C32,10+3*MIN(AU$3,$D$2-1)))))</f>
        <v/>
      </c>
      <c r="AV32" s="55">
        <f>IF(OR($C32="",$B$2="",$D$2=0),0,IF(AV$3&lt;0,0,N(INDEX('CURVA PREVISION'!$A$1:$KZ$3000,$C32,10+3*MIN(AV$3,$D$2-1)))))</f>
        <v/>
      </c>
      <c r="AW32" s="55">
        <f>IF(OR($C32="",$B$2="",$D$2=0),0,IF(AW$3&lt;0,0,N(INDEX('CURVA PREVISION'!$A$1:$KZ$3000,$C32,10+3*MIN(AW$3,$D$2-1)))))</f>
        <v/>
      </c>
      <c r="AX32" s="55">
        <f>IF(OR($C32="",$B$2="",$D$2=0),0,IF(AX$3&lt;0,0,N(INDEX('CURVA PREVISION'!$A$1:$KZ$3000,$C32,10+3*MIN(AX$3,$D$2-1)))))</f>
        <v/>
      </c>
      <c r="AY32" s="55">
        <f>IF(OR($C32="",$B$2="",$D$2=0),0,IF(AY$3&lt;0,0,N(INDEX('CURVA PREVISION'!$A$1:$KZ$3000,$C32,10+3*MIN(AY$3,$D$2-1)))))</f>
        <v/>
      </c>
      <c r="AZ32" s="55">
        <f>IF(OR($C32="",$B$2="",$D$2=0),0,IF(AZ$3&lt;0,0,N(INDEX('CURVA PREVISION'!$A$1:$KZ$3000,$C32,10+3*MIN(AZ$3,$D$2-1)))))</f>
        <v/>
      </c>
      <c r="BA32" s="55">
        <f>IF(OR($C32="",$B$2="",$D$2=0),0,IF(BA$3&lt;0,0,N(INDEX('CURVA PREVISION'!$A$1:$KZ$3000,$C32,10+3*MIN(BA$3,$D$2-1)))))</f>
        <v/>
      </c>
      <c r="BB32" s="55">
        <f>IF(OR($C32="",$B$2="",$D$2=0),0,IF(BB$3&lt;0,0,N(INDEX('CURVA PREVISION'!$A$1:$KZ$3000,$C32,10+3*MIN(BB$3,$D$2-1)))))</f>
        <v/>
      </c>
      <c r="BC32" s="55">
        <f>IF(OR($C32="",$B$2="",$D$2=0),0,IF(BC$3&lt;0,0,N(INDEX('CURVA PREVISION'!$A$1:$KZ$3000,$C32,10+3*MIN(BC$3,$D$2-1)))))</f>
        <v/>
      </c>
      <c r="BD32" s="55">
        <f>IF(OR($C32="",$B$2="",$D$2=0),0,IF(BD$3&lt;0,0,N(INDEX('CURVA PREVISION'!$A$1:$KZ$3000,$C32,10+3*MIN(BD$3,$D$2-1)))))</f>
        <v/>
      </c>
      <c r="BE32" s="55">
        <f>IF(OR($C32="",$B$2="",$D$2=0),0,IF(BE$3&lt;0,0,N(INDEX('CURVA PREVISION'!$A$1:$KZ$3000,$C32,10+3*MIN(BE$3,$D$2-1)))))</f>
        <v/>
      </c>
      <c r="BF32" s="55">
        <f>IF(OR($C32="",$B$2="",$D$2=0),0,IF(BF$3&lt;0,0,N(INDEX('CURVA PREVISION'!$A$1:$KZ$3000,$C32,10+3*MIN(BF$3,$D$2-1)))))</f>
        <v/>
      </c>
      <c r="BG32" s="55">
        <f>IF(OR($C32="",$B$2="",$D$2=0),0,IF(BG$3&lt;0,0,N(INDEX('CURVA PREVISION'!$A$1:$KZ$3000,$C32,10+3*MIN(BG$3,$D$2-1)))))</f>
        <v/>
      </c>
      <c r="BH32" s="55">
        <f>IF(OR($C32="",$B$2="",$D$2=0),0,IF(BH$3&lt;0,0,N(INDEX('CURVA PREVISION'!$A$1:$KZ$3000,$C32,10+3*MIN(BH$3,$D$2-1)))))</f>
        <v/>
      </c>
      <c r="BI32" s="55">
        <f>IF(OR($C32="",$B$2="",$D$2=0),0,IF(BI$3&lt;0,0,N(INDEX('CURVA PREVISION'!$A$1:$KZ$3000,$C32,10+3*MIN(BI$3,$D$2-1)))))</f>
        <v/>
      </c>
      <c r="BJ32" s="55">
        <f>IF(OR($C32="",$B$2="",$D$2=0),0,IF(BJ$3&lt;0,0,N(INDEX('CURVA PREVISION'!$A$1:$KZ$3000,$C32,10+3*MIN(BJ$3,$D$2-1)))))</f>
        <v/>
      </c>
      <c r="BK32" s="55">
        <f>IF(OR($C32="",$B$2="",$D$2=0),0,IF(BK$3&lt;0,0,N(INDEX('CURVA PREVISION'!$A$1:$KZ$3000,$C32,10+3*MIN(BK$3,$D$2-1)))))</f>
        <v/>
      </c>
      <c r="BL32" s="55">
        <f>IF(OR($C32="",$B$2="",$D$2=0),0,IF(BL$3&lt;0,0,N(INDEX('CURVA PREVISION'!$A$1:$KZ$3000,$C32,10+3*MIN(BL$3,$D$2-1)))))</f>
        <v/>
      </c>
      <c r="BM32" s="55">
        <f>IF(OR($C32="",$B$2="",$D$2=0),0,IF(BM$3&lt;0,0,N(INDEX('CURVA PREVISION'!$A$1:$KZ$3000,$C32,10+3*MIN(BM$3,$D$2-1)))))</f>
        <v/>
      </c>
      <c r="BN32" s="55">
        <f>IF(OR($C32="",$B$2="",$D$2=0),0,IF(BN$3&lt;0,0,N(INDEX('CURVA PREVISION'!$A$1:$KZ$3000,$C32,10+3*MIN(BN$3,$D$2-1)))))</f>
        <v/>
      </c>
      <c r="BO32" s="55">
        <f>IF(OR($C32="",$B$2="",$D$2=0),0,IF(BO$3&lt;0,0,N(INDEX('CURVA PREVISION'!$A$1:$KZ$3000,$C32,10+3*MIN(BO$3,$D$2-1)))))</f>
        <v/>
      </c>
      <c r="BP32" s="55">
        <f>IF(OR($C32="",$B$2="",$D$2=0),0,IF(BP$3&lt;0,0,N(INDEX('CURVA PREVISION'!$A$1:$KZ$3000,$C32,10+3*MIN(BP$3,$D$2-1)))))</f>
        <v/>
      </c>
      <c r="BQ32" s="55">
        <f>IF(OR($C32="",$B$2="",$D$2=0),0,IF(BQ$3&lt;0,0,N(INDEX('CURVA PREVISION'!$A$1:$KZ$3000,$C32,10+3*MIN(BQ$3,$D$2-1)))))</f>
        <v/>
      </c>
      <c r="BR32" s="55">
        <f>IF(OR($C32="",$B$2="",$D$2=0),0,IF(BR$3&lt;0,0,N(INDEX('CURVA PREVISION'!$A$1:$KZ$3000,$C32,10+3*MIN(BR$3,$D$2-1)))))</f>
        <v/>
      </c>
      <c r="BS32" s="55">
        <f>IF(OR($C32="",$B$2="",$D$2=0),0,IF(BS$3&lt;0,0,N(INDEX('CURVA PREVISION'!$A$1:$KZ$3000,$C32,10+3*MIN(BS$3,$D$2-1)))))</f>
        <v/>
      </c>
      <c r="BT32" s="55">
        <f>IF(OR($C32="",$B$2="",$D$2=0),0,IF(BT$3&lt;0,0,N(INDEX('CURVA PREVISION'!$A$1:$KZ$3000,$C32,10+3*MIN(BT$3,$D$2-1)))))</f>
        <v/>
      </c>
      <c r="BU32" s="55">
        <f>IF(OR($C32="",$B$2="",$D$2=0),0,IF(BU$3&lt;0,0,N(INDEX('CURVA PREVISION'!$A$1:$KZ$3000,$C32,10+3*MIN(BU$3,$D$2-1)))))</f>
        <v/>
      </c>
      <c r="BV32" s="55">
        <f>IF(OR($C32="",$B$2="",$D$2=0),0,IF(BV$3&lt;0,0,N(INDEX('CURVA PREVISION'!$A$1:$KZ$3000,$C32,10+3*MIN(BV$3,$D$2-1)))))</f>
        <v/>
      </c>
      <c r="BW32" s="55">
        <f>IF(OR($C32="",$B$2="",$D$2=0),0,IF(BW$3&lt;0,0,N(INDEX('CURVA PREVISION'!$A$1:$KZ$3000,$C32,10+3*MIN(BW$3,$D$2-1)))))</f>
        <v/>
      </c>
    </row>
    <row r="33">
      <c r="A33" s="34">
        <f>'VALOR POR PL'!C39</f>
        <v/>
      </c>
      <c r="B33" s="34">
        <f>'VALOR POR PL'!D39</f>
        <v/>
      </c>
      <c r="C33" s="28">
        <f>IFERROR(MATCH(A33,'CURVA PREVISION'!$B$1:$B$3000,0),"")</f>
        <v/>
      </c>
      <c r="D33" s="55">
        <f>IF(OR($C33="",$B$2="",$D$2=0),0,IF(D$3&lt;0,0,N(INDEX('CURVA PREVISION'!$A$1:$KZ$3000,$C33,10+3*MIN(D$3,$D$2-1)))))</f>
        <v/>
      </c>
      <c r="E33" s="55">
        <f>IF(OR($C33="",$B$2="",$D$2=0),0,IF(E$3&lt;0,0,N(INDEX('CURVA PREVISION'!$A$1:$KZ$3000,$C33,10+3*MIN(E$3,$D$2-1)))))</f>
        <v/>
      </c>
      <c r="F33" s="55">
        <f>IF(OR($C33="",$B$2="",$D$2=0),0,IF(F$3&lt;0,0,N(INDEX('CURVA PREVISION'!$A$1:$KZ$3000,$C33,10+3*MIN(F$3,$D$2-1)))))</f>
        <v/>
      </c>
      <c r="G33" s="55">
        <f>IF(OR($C33="",$B$2="",$D$2=0),0,IF(G$3&lt;0,0,N(INDEX('CURVA PREVISION'!$A$1:$KZ$3000,$C33,10+3*MIN(G$3,$D$2-1)))))</f>
        <v/>
      </c>
      <c r="H33" s="55">
        <f>IF(OR($C33="",$B$2="",$D$2=0),0,IF(H$3&lt;0,0,N(INDEX('CURVA PREVISION'!$A$1:$KZ$3000,$C33,10+3*MIN(H$3,$D$2-1)))))</f>
        <v/>
      </c>
      <c r="I33" s="55">
        <f>IF(OR($C33="",$B$2="",$D$2=0),0,IF(I$3&lt;0,0,N(INDEX('CURVA PREVISION'!$A$1:$KZ$3000,$C33,10+3*MIN(I$3,$D$2-1)))))</f>
        <v/>
      </c>
      <c r="J33" s="55">
        <f>IF(OR($C33="",$B$2="",$D$2=0),0,IF(J$3&lt;0,0,N(INDEX('CURVA PREVISION'!$A$1:$KZ$3000,$C33,10+3*MIN(J$3,$D$2-1)))))</f>
        <v/>
      </c>
      <c r="K33" s="55">
        <f>IF(OR($C33="",$B$2="",$D$2=0),0,IF(K$3&lt;0,0,N(INDEX('CURVA PREVISION'!$A$1:$KZ$3000,$C33,10+3*MIN(K$3,$D$2-1)))))</f>
        <v/>
      </c>
      <c r="L33" s="55">
        <f>IF(OR($C33="",$B$2="",$D$2=0),0,IF(L$3&lt;0,0,N(INDEX('CURVA PREVISION'!$A$1:$KZ$3000,$C33,10+3*MIN(L$3,$D$2-1)))))</f>
        <v/>
      </c>
      <c r="M33" s="55">
        <f>IF(OR($C33="",$B$2="",$D$2=0),0,IF(M$3&lt;0,0,N(INDEX('CURVA PREVISION'!$A$1:$KZ$3000,$C33,10+3*MIN(M$3,$D$2-1)))))</f>
        <v/>
      </c>
      <c r="N33" s="55">
        <f>IF(OR($C33="",$B$2="",$D$2=0),0,IF(N$3&lt;0,0,N(INDEX('CURVA PREVISION'!$A$1:$KZ$3000,$C33,10+3*MIN(N$3,$D$2-1)))))</f>
        <v/>
      </c>
      <c r="O33" s="55">
        <f>IF(OR($C33="",$B$2="",$D$2=0),0,IF(O$3&lt;0,0,N(INDEX('CURVA PREVISION'!$A$1:$KZ$3000,$C33,10+3*MIN(O$3,$D$2-1)))))</f>
        <v/>
      </c>
      <c r="P33" s="55">
        <f>IF(OR($C33="",$B$2="",$D$2=0),0,IF(P$3&lt;0,0,N(INDEX('CURVA PREVISION'!$A$1:$KZ$3000,$C33,10+3*MIN(P$3,$D$2-1)))))</f>
        <v/>
      </c>
      <c r="Q33" s="55">
        <f>IF(OR($C33="",$B$2="",$D$2=0),0,IF(Q$3&lt;0,0,N(INDEX('CURVA PREVISION'!$A$1:$KZ$3000,$C33,10+3*MIN(Q$3,$D$2-1)))))</f>
        <v/>
      </c>
      <c r="R33" s="55">
        <f>IF(OR($C33="",$B$2="",$D$2=0),0,IF(R$3&lt;0,0,N(INDEX('CURVA PREVISION'!$A$1:$KZ$3000,$C33,10+3*MIN(R$3,$D$2-1)))))</f>
        <v/>
      </c>
      <c r="S33" s="55">
        <f>IF(OR($C33="",$B$2="",$D$2=0),0,IF(S$3&lt;0,0,N(INDEX('CURVA PREVISION'!$A$1:$KZ$3000,$C33,10+3*MIN(S$3,$D$2-1)))))</f>
        <v/>
      </c>
      <c r="T33" s="55">
        <f>IF(OR($C33="",$B$2="",$D$2=0),0,IF(T$3&lt;0,0,N(INDEX('CURVA PREVISION'!$A$1:$KZ$3000,$C33,10+3*MIN(T$3,$D$2-1)))))</f>
        <v/>
      </c>
      <c r="U33" s="55">
        <f>IF(OR($C33="",$B$2="",$D$2=0),0,IF(U$3&lt;0,0,N(INDEX('CURVA PREVISION'!$A$1:$KZ$3000,$C33,10+3*MIN(U$3,$D$2-1)))))</f>
        <v/>
      </c>
      <c r="V33" s="55">
        <f>IF(OR($C33="",$B$2="",$D$2=0),0,IF(V$3&lt;0,0,N(INDEX('CURVA PREVISION'!$A$1:$KZ$3000,$C33,10+3*MIN(V$3,$D$2-1)))))</f>
        <v/>
      </c>
      <c r="W33" s="55">
        <f>IF(OR($C33="",$B$2="",$D$2=0),0,IF(W$3&lt;0,0,N(INDEX('CURVA PREVISION'!$A$1:$KZ$3000,$C33,10+3*MIN(W$3,$D$2-1)))))</f>
        <v/>
      </c>
      <c r="X33" s="55">
        <f>IF(OR($C33="",$B$2="",$D$2=0),0,IF(X$3&lt;0,0,N(INDEX('CURVA PREVISION'!$A$1:$KZ$3000,$C33,10+3*MIN(X$3,$D$2-1)))))</f>
        <v/>
      </c>
      <c r="Y33" s="55">
        <f>IF(OR($C33="",$B$2="",$D$2=0),0,IF(Y$3&lt;0,0,N(INDEX('CURVA PREVISION'!$A$1:$KZ$3000,$C33,10+3*MIN(Y$3,$D$2-1)))))</f>
        <v/>
      </c>
      <c r="Z33" s="55">
        <f>IF(OR($C33="",$B$2="",$D$2=0),0,IF(Z$3&lt;0,0,N(INDEX('CURVA PREVISION'!$A$1:$KZ$3000,$C33,10+3*MIN(Z$3,$D$2-1)))))</f>
        <v/>
      </c>
      <c r="AA33" s="55">
        <f>IF(OR($C33="",$B$2="",$D$2=0),0,IF(AA$3&lt;0,0,N(INDEX('CURVA PREVISION'!$A$1:$KZ$3000,$C33,10+3*MIN(AA$3,$D$2-1)))))</f>
        <v/>
      </c>
      <c r="AB33" s="55">
        <f>IF(OR($C33="",$B$2="",$D$2=0),0,IF(AB$3&lt;0,0,N(INDEX('CURVA PREVISION'!$A$1:$KZ$3000,$C33,10+3*MIN(AB$3,$D$2-1)))))</f>
        <v/>
      </c>
      <c r="AC33" s="55">
        <f>IF(OR($C33="",$B$2="",$D$2=0),0,IF(AC$3&lt;0,0,N(INDEX('CURVA PREVISION'!$A$1:$KZ$3000,$C33,10+3*MIN(AC$3,$D$2-1)))))</f>
        <v/>
      </c>
      <c r="AD33" s="55">
        <f>IF(OR($C33="",$B$2="",$D$2=0),0,IF(AD$3&lt;0,0,N(INDEX('CURVA PREVISION'!$A$1:$KZ$3000,$C33,10+3*MIN(AD$3,$D$2-1)))))</f>
        <v/>
      </c>
      <c r="AE33" s="55">
        <f>IF(OR($C33="",$B$2="",$D$2=0),0,IF(AE$3&lt;0,0,N(INDEX('CURVA PREVISION'!$A$1:$KZ$3000,$C33,10+3*MIN(AE$3,$D$2-1)))))</f>
        <v/>
      </c>
      <c r="AF33" s="55">
        <f>IF(OR($C33="",$B$2="",$D$2=0),0,IF(AF$3&lt;0,0,N(INDEX('CURVA PREVISION'!$A$1:$KZ$3000,$C33,10+3*MIN(AF$3,$D$2-1)))))</f>
        <v/>
      </c>
      <c r="AG33" s="55">
        <f>IF(OR($C33="",$B$2="",$D$2=0),0,IF(AG$3&lt;0,0,N(INDEX('CURVA PREVISION'!$A$1:$KZ$3000,$C33,10+3*MIN(AG$3,$D$2-1)))))</f>
        <v/>
      </c>
      <c r="AH33" s="55">
        <f>IF(OR($C33="",$B$2="",$D$2=0),0,IF(AH$3&lt;0,0,N(INDEX('CURVA PREVISION'!$A$1:$KZ$3000,$C33,10+3*MIN(AH$3,$D$2-1)))))</f>
        <v/>
      </c>
      <c r="AI33" s="55">
        <f>IF(OR($C33="",$B$2="",$D$2=0),0,IF(AI$3&lt;0,0,N(INDEX('CURVA PREVISION'!$A$1:$KZ$3000,$C33,10+3*MIN(AI$3,$D$2-1)))))</f>
        <v/>
      </c>
      <c r="AJ33" s="55">
        <f>IF(OR($C33="",$B$2="",$D$2=0),0,IF(AJ$3&lt;0,0,N(INDEX('CURVA PREVISION'!$A$1:$KZ$3000,$C33,10+3*MIN(AJ$3,$D$2-1)))))</f>
        <v/>
      </c>
      <c r="AK33" s="55">
        <f>IF(OR($C33="",$B$2="",$D$2=0),0,IF(AK$3&lt;0,0,N(INDEX('CURVA PREVISION'!$A$1:$KZ$3000,$C33,10+3*MIN(AK$3,$D$2-1)))))</f>
        <v/>
      </c>
      <c r="AL33" s="55">
        <f>IF(OR($C33="",$B$2="",$D$2=0),0,IF(AL$3&lt;0,0,N(INDEX('CURVA PREVISION'!$A$1:$KZ$3000,$C33,10+3*MIN(AL$3,$D$2-1)))))</f>
        <v/>
      </c>
      <c r="AM33" s="55">
        <f>IF(OR($C33="",$B$2="",$D$2=0),0,IF(AM$3&lt;0,0,N(INDEX('CURVA PREVISION'!$A$1:$KZ$3000,$C33,10+3*MIN(AM$3,$D$2-1)))))</f>
        <v/>
      </c>
      <c r="AN33" s="55">
        <f>IF(OR($C33="",$B$2="",$D$2=0),0,IF(AN$3&lt;0,0,N(INDEX('CURVA PREVISION'!$A$1:$KZ$3000,$C33,10+3*MIN(AN$3,$D$2-1)))))</f>
        <v/>
      </c>
      <c r="AO33" s="55">
        <f>IF(OR($C33="",$B$2="",$D$2=0),0,IF(AO$3&lt;0,0,N(INDEX('CURVA PREVISION'!$A$1:$KZ$3000,$C33,10+3*MIN(AO$3,$D$2-1)))))</f>
        <v/>
      </c>
      <c r="AP33" s="55">
        <f>IF(OR($C33="",$B$2="",$D$2=0),0,IF(AP$3&lt;0,0,N(INDEX('CURVA PREVISION'!$A$1:$KZ$3000,$C33,10+3*MIN(AP$3,$D$2-1)))))</f>
        <v/>
      </c>
      <c r="AQ33" s="55">
        <f>IF(OR($C33="",$B$2="",$D$2=0),0,IF(AQ$3&lt;0,0,N(INDEX('CURVA PREVISION'!$A$1:$KZ$3000,$C33,10+3*MIN(AQ$3,$D$2-1)))))</f>
        <v/>
      </c>
      <c r="AR33" s="55">
        <f>IF(OR($C33="",$B$2="",$D$2=0),0,IF(AR$3&lt;0,0,N(INDEX('CURVA PREVISION'!$A$1:$KZ$3000,$C33,10+3*MIN(AR$3,$D$2-1)))))</f>
        <v/>
      </c>
      <c r="AS33" s="55">
        <f>IF(OR($C33="",$B$2="",$D$2=0),0,IF(AS$3&lt;0,0,N(INDEX('CURVA PREVISION'!$A$1:$KZ$3000,$C33,10+3*MIN(AS$3,$D$2-1)))))</f>
        <v/>
      </c>
      <c r="AT33" s="55">
        <f>IF(OR($C33="",$B$2="",$D$2=0),0,IF(AT$3&lt;0,0,N(INDEX('CURVA PREVISION'!$A$1:$KZ$3000,$C33,10+3*MIN(AT$3,$D$2-1)))))</f>
        <v/>
      </c>
      <c r="AU33" s="55">
        <f>IF(OR($C33="",$B$2="",$D$2=0),0,IF(AU$3&lt;0,0,N(INDEX('CURVA PREVISION'!$A$1:$KZ$3000,$C33,10+3*MIN(AU$3,$D$2-1)))))</f>
        <v/>
      </c>
      <c r="AV33" s="55">
        <f>IF(OR($C33="",$B$2="",$D$2=0),0,IF(AV$3&lt;0,0,N(INDEX('CURVA PREVISION'!$A$1:$KZ$3000,$C33,10+3*MIN(AV$3,$D$2-1)))))</f>
        <v/>
      </c>
      <c r="AW33" s="55">
        <f>IF(OR($C33="",$B$2="",$D$2=0),0,IF(AW$3&lt;0,0,N(INDEX('CURVA PREVISION'!$A$1:$KZ$3000,$C33,10+3*MIN(AW$3,$D$2-1)))))</f>
        <v/>
      </c>
      <c r="AX33" s="55">
        <f>IF(OR($C33="",$B$2="",$D$2=0),0,IF(AX$3&lt;0,0,N(INDEX('CURVA PREVISION'!$A$1:$KZ$3000,$C33,10+3*MIN(AX$3,$D$2-1)))))</f>
        <v/>
      </c>
      <c r="AY33" s="55">
        <f>IF(OR($C33="",$B$2="",$D$2=0),0,IF(AY$3&lt;0,0,N(INDEX('CURVA PREVISION'!$A$1:$KZ$3000,$C33,10+3*MIN(AY$3,$D$2-1)))))</f>
        <v/>
      </c>
      <c r="AZ33" s="55">
        <f>IF(OR($C33="",$B$2="",$D$2=0),0,IF(AZ$3&lt;0,0,N(INDEX('CURVA PREVISION'!$A$1:$KZ$3000,$C33,10+3*MIN(AZ$3,$D$2-1)))))</f>
        <v/>
      </c>
      <c r="BA33" s="55">
        <f>IF(OR($C33="",$B$2="",$D$2=0),0,IF(BA$3&lt;0,0,N(INDEX('CURVA PREVISION'!$A$1:$KZ$3000,$C33,10+3*MIN(BA$3,$D$2-1)))))</f>
        <v/>
      </c>
      <c r="BB33" s="55">
        <f>IF(OR($C33="",$B$2="",$D$2=0),0,IF(BB$3&lt;0,0,N(INDEX('CURVA PREVISION'!$A$1:$KZ$3000,$C33,10+3*MIN(BB$3,$D$2-1)))))</f>
        <v/>
      </c>
      <c r="BC33" s="55">
        <f>IF(OR($C33="",$B$2="",$D$2=0),0,IF(BC$3&lt;0,0,N(INDEX('CURVA PREVISION'!$A$1:$KZ$3000,$C33,10+3*MIN(BC$3,$D$2-1)))))</f>
        <v/>
      </c>
      <c r="BD33" s="55">
        <f>IF(OR($C33="",$B$2="",$D$2=0),0,IF(BD$3&lt;0,0,N(INDEX('CURVA PREVISION'!$A$1:$KZ$3000,$C33,10+3*MIN(BD$3,$D$2-1)))))</f>
        <v/>
      </c>
      <c r="BE33" s="55">
        <f>IF(OR($C33="",$B$2="",$D$2=0),0,IF(BE$3&lt;0,0,N(INDEX('CURVA PREVISION'!$A$1:$KZ$3000,$C33,10+3*MIN(BE$3,$D$2-1)))))</f>
        <v/>
      </c>
      <c r="BF33" s="55">
        <f>IF(OR($C33="",$B$2="",$D$2=0),0,IF(BF$3&lt;0,0,N(INDEX('CURVA PREVISION'!$A$1:$KZ$3000,$C33,10+3*MIN(BF$3,$D$2-1)))))</f>
        <v/>
      </c>
      <c r="BG33" s="55">
        <f>IF(OR($C33="",$B$2="",$D$2=0),0,IF(BG$3&lt;0,0,N(INDEX('CURVA PREVISION'!$A$1:$KZ$3000,$C33,10+3*MIN(BG$3,$D$2-1)))))</f>
        <v/>
      </c>
      <c r="BH33" s="55">
        <f>IF(OR($C33="",$B$2="",$D$2=0),0,IF(BH$3&lt;0,0,N(INDEX('CURVA PREVISION'!$A$1:$KZ$3000,$C33,10+3*MIN(BH$3,$D$2-1)))))</f>
        <v/>
      </c>
      <c r="BI33" s="55">
        <f>IF(OR($C33="",$B$2="",$D$2=0),0,IF(BI$3&lt;0,0,N(INDEX('CURVA PREVISION'!$A$1:$KZ$3000,$C33,10+3*MIN(BI$3,$D$2-1)))))</f>
        <v/>
      </c>
      <c r="BJ33" s="55">
        <f>IF(OR($C33="",$B$2="",$D$2=0),0,IF(BJ$3&lt;0,0,N(INDEX('CURVA PREVISION'!$A$1:$KZ$3000,$C33,10+3*MIN(BJ$3,$D$2-1)))))</f>
        <v/>
      </c>
      <c r="BK33" s="55">
        <f>IF(OR($C33="",$B$2="",$D$2=0),0,IF(BK$3&lt;0,0,N(INDEX('CURVA PREVISION'!$A$1:$KZ$3000,$C33,10+3*MIN(BK$3,$D$2-1)))))</f>
        <v/>
      </c>
      <c r="BL33" s="55">
        <f>IF(OR($C33="",$B$2="",$D$2=0),0,IF(BL$3&lt;0,0,N(INDEX('CURVA PREVISION'!$A$1:$KZ$3000,$C33,10+3*MIN(BL$3,$D$2-1)))))</f>
        <v/>
      </c>
      <c r="BM33" s="55">
        <f>IF(OR($C33="",$B$2="",$D$2=0),0,IF(BM$3&lt;0,0,N(INDEX('CURVA PREVISION'!$A$1:$KZ$3000,$C33,10+3*MIN(BM$3,$D$2-1)))))</f>
        <v/>
      </c>
      <c r="BN33" s="55">
        <f>IF(OR($C33="",$B$2="",$D$2=0),0,IF(BN$3&lt;0,0,N(INDEX('CURVA PREVISION'!$A$1:$KZ$3000,$C33,10+3*MIN(BN$3,$D$2-1)))))</f>
        <v/>
      </c>
      <c r="BO33" s="55">
        <f>IF(OR($C33="",$B$2="",$D$2=0),0,IF(BO$3&lt;0,0,N(INDEX('CURVA PREVISION'!$A$1:$KZ$3000,$C33,10+3*MIN(BO$3,$D$2-1)))))</f>
        <v/>
      </c>
      <c r="BP33" s="55">
        <f>IF(OR($C33="",$B$2="",$D$2=0),0,IF(BP$3&lt;0,0,N(INDEX('CURVA PREVISION'!$A$1:$KZ$3000,$C33,10+3*MIN(BP$3,$D$2-1)))))</f>
        <v/>
      </c>
      <c r="BQ33" s="55">
        <f>IF(OR($C33="",$B$2="",$D$2=0),0,IF(BQ$3&lt;0,0,N(INDEX('CURVA PREVISION'!$A$1:$KZ$3000,$C33,10+3*MIN(BQ$3,$D$2-1)))))</f>
        <v/>
      </c>
      <c r="BR33" s="55">
        <f>IF(OR($C33="",$B$2="",$D$2=0),0,IF(BR$3&lt;0,0,N(INDEX('CURVA PREVISION'!$A$1:$KZ$3000,$C33,10+3*MIN(BR$3,$D$2-1)))))</f>
        <v/>
      </c>
      <c r="BS33" s="55">
        <f>IF(OR($C33="",$B$2="",$D$2=0),0,IF(BS$3&lt;0,0,N(INDEX('CURVA PREVISION'!$A$1:$KZ$3000,$C33,10+3*MIN(BS$3,$D$2-1)))))</f>
        <v/>
      </c>
      <c r="BT33" s="55">
        <f>IF(OR($C33="",$B$2="",$D$2=0),0,IF(BT$3&lt;0,0,N(INDEX('CURVA PREVISION'!$A$1:$KZ$3000,$C33,10+3*MIN(BT$3,$D$2-1)))))</f>
        <v/>
      </c>
      <c r="BU33" s="55">
        <f>IF(OR($C33="",$B$2="",$D$2=0),0,IF(BU$3&lt;0,0,N(INDEX('CURVA PREVISION'!$A$1:$KZ$3000,$C33,10+3*MIN(BU$3,$D$2-1)))))</f>
        <v/>
      </c>
      <c r="BV33" s="55">
        <f>IF(OR($C33="",$B$2="",$D$2=0),0,IF(BV$3&lt;0,0,N(INDEX('CURVA PREVISION'!$A$1:$KZ$3000,$C33,10+3*MIN(BV$3,$D$2-1)))))</f>
        <v/>
      </c>
      <c r="BW33" s="55">
        <f>IF(OR($C33="",$B$2="",$D$2=0),0,IF(BW$3&lt;0,0,N(INDEX('CURVA PREVISION'!$A$1:$KZ$3000,$C33,10+3*MIN(BW$3,$D$2-1)))))</f>
        <v/>
      </c>
    </row>
    <row r="34">
      <c r="A34" s="34">
        <f>'VALOR POR PL'!C40</f>
        <v/>
      </c>
      <c r="B34" s="34">
        <f>'VALOR POR PL'!D40</f>
        <v/>
      </c>
      <c r="C34" s="28">
        <f>IFERROR(MATCH(A34,'CURVA PREVISION'!$B$1:$B$3000,0),"")</f>
        <v/>
      </c>
      <c r="D34" s="55">
        <f>IF(OR($C34="",$B$2="",$D$2=0),0,IF(D$3&lt;0,0,N(INDEX('CURVA PREVISION'!$A$1:$KZ$3000,$C34,10+3*MIN(D$3,$D$2-1)))))</f>
        <v/>
      </c>
      <c r="E34" s="55">
        <f>IF(OR($C34="",$B$2="",$D$2=0),0,IF(E$3&lt;0,0,N(INDEX('CURVA PREVISION'!$A$1:$KZ$3000,$C34,10+3*MIN(E$3,$D$2-1)))))</f>
        <v/>
      </c>
      <c r="F34" s="55">
        <f>IF(OR($C34="",$B$2="",$D$2=0),0,IF(F$3&lt;0,0,N(INDEX('CURVA PREVISION'!$A$1:$KZ$3000,$C34,10+3*MIN(F$3,$D$2-1)))))</f>
        <v/>
      </c>
      <c r="G34" s="55">
        <f>IF(OR($C34="",$B$2="",$D$2=0),0,IF(G$3&lt;0,0,N(INDEX('CURVA PREVISION'!$A$1:$KZ$3000,$C34,10+3*MIN(G$3,$D$2-1)))))</f>
        <v/>
      </c>
      <c r="H34" s="55">
        <f>IF(OR($C34="",$B$2="",$D$2=0),0,IF(H$3&lt;0,0,N(INDEX('CURVA PREVISION'!$A$1:$KZ$3000,$C34,10+3*MIN(H$3,$D$2-1)))))</f>
        <v/>
      </c>
      <c r="I34" s="55">
        <f>IF(OR($C34="",$B$2="",$D$2=0),0,IF(I$3&lt;0,0,N(INDEX('CURVA PREVISION'!$A$1:$KZ$3000,$C34,10+3*MIN(I$3,$D$2-1)))))</f>
        <v/>
      </c>
      <c r="J34" s="55">
        <f>IF(OR($C34="",$B$2="",$D$2=0),0,IF(J$3&lt;0,0,N(INDEX('CURVA PREVISION'!$A$1:$KZ$3000,$C34,10+3*MIN(J$3,$D$2-1)))))</f>
        <v/>
      </c>
      <c r="K34" s="55">
        <f>IF(OR($C34="",$B$2="",$D$2=0),0,IF(K$3&lt;0,0,N(INDEX('CURVA PREVISION'!$A$1:$KZ$3000,$C34,10+3*MIN(K$3,$D$2-1)))))</f>
        <v/>
      </c>
      <c r="L34" s="55">
        <f>IF(OR($C34="",$B$2="",$D$2=0),0,IF(L$3&lt;0,0,N(INDEX('CURVA PREVISION'!$A$1:$KZ$3000,$C34,10+3*MIN(L$3,$D$2-1)))))</f>
        <v/>
      </c>
      <c r="M34" s="55">
        <f>IF(OR($C34="",$B$2="",$D$2=0),0,IF(M$3&lt;0,0,N(INDEX('CURVA PREVISION'!$A$1:$KZ$3000,$C34,10+3*MIN(M$3,$D$2-1)))))</f>
        <v/>
      </c>
      <c r="N34" s="55">
        <f>IF(OR($C34="",$B$2="",$D$2=0),0,IF(N$3&lt;0,0,N(INDEX('CURVA PREVISION'!$A$1:$KZ$3000,$C34,10+3*MIN(N$3,$D$2-1)))))</f>
        <v/>
      </c>
      <c r="O34" s="55">
        <f>IF(OR($C34="",$B$2="",$D$2=0),0,IF(O$3&lt;0,0,N(INDEX('CURVA PREVISION'!$A$1:$KZ$3000,$C34,10+3*MIN(O$3,$D$2-1)))))</f>
        <v/>
      </c>
      <c r="P34" s="55">
        <f>IF(OR($C34="",$B$2="",$D$2=0),0,IF(P$3&lt;0,0,N(INDEX('CURVA PREVISION'!$A$1:$KZ$3000,$C34,10+3*MIN(P$3,$D$2-1)))))</f>
        <v/>
      </c>
      <c r="Q34" s="55">
        <f>IF(OR($C34="",$B$2="",$D$2=0),0,IF(Q$3&lt;0,0,N(INDEX('CURVA PREVISION'!$A$1:$KZ$3000,$C34,10+3*MIN(Q$3,$D$2-1)))))</f>
        <v/>
      </c>
      <c r="R34" s="55">
        <f>IF(OR($C34="",$B$2="",$D$2=0),0,IF(R$3&lt;0,0,N(INDEX('CURVA PREVISION'!$A$1:$KZ$3000,$C34,10+3*MIN(R$3,$D$2-1)))))</f>
        <v/>
      </c>
      <c r="S34" s="55">
        <f>IF(OR($C34="",$B$2="",$D$2=0),0,IF(S$3&lt;0,0,N(INDEX('CURVA PREVISION'!$A$1:$KZ$3000,$C34,10+3*MIN(S$3,$D$2-1)))))</f>
        <v/>
      </c>
      <c r="T34" s="55">
        <f>IF(OR($C34="",$B$2="",$D$2=0),0,IF(T$3&lt;0,0,N(INDEX('CURVA PREVISION'!$A$1:$KZ$3000,$C34,10+3*MIN(T$3,$D$2-1)))))</f>
        <v/>
      </c>
      <c r="U34" s="55">
        <f>IF(OR($C34="",$B$2="",$D$2=0),0,IF(U$3&lt;0,0,N(INDEX('CURVA PREVISION'!$A$1:$KZ$3000,$C34,10+3*MIN(U$3,$D$2-1)))))</f>
        <v/>
      </c>
      <c r="V34" s="55">
        <f>IF(OR($C34="",$B$2="",$D$2=0),0,IF(V$3&lt;0,0,N(INDEX('CURVA PREVISION'!$A$1:$KZ$3000,$C34,10+3*MIN(V$3,$D$2-1)))))</f>
        <v/>
      </c>
      <c r="W34" s="55">
        <f>IF(OR($C34="",$B$2="",$D$2=0),0,IF(W$3&lt;0,0,N(INDEX('CURVA PREVISION'!$A$1:$KZ$3000,$C34,10+3*MIN(W$3,$D$2-1)))))</f>
        <v/>
      </c>
      <c r="X34" s="55">
        <f>IF(OR($C34="",$B$2="",$D$2=0),0,IF(X$3&lt;0,0,N(INDEX('CURVA PREVISION'!$A$1:$KZ$3000,$C34,10+3*MIN(X$3,$D$2-1)))))</f>
        <v/>
      </c>
      <c r="Y34" s="55">
        <f>IF(OR($C34="",$B$2="",$D$2=0),0,IF(Y$3&lt;0,0,N(INDEX('CURVA PREVISION'!$A$1:$KZ$3000,$C34,10+3*MIN(Y$3,$D$2-1)))))</f>
        <v/>
      </c>
      <c r="Z34" s="55">
        <f>IF(OR($C34="",$B$2="",$D$2=0),0,IF(Z$3&lt;0,0,N(INDEX('CURVA PREVISION'!$A$1:$KZ$3000,$C34,10+3*MIN(Z$3,$D$2-1)))))</f>
        <v/>
      </c>
      <c r="AA34" s="55">
        <f>IF(OR($C34="",$B$2="",$D$2=0),0,IF(AA$3&lt;0,0,N(INDEX('CURVA PREVISION'!$A$1:$KZ$3000,$C34,10+3*MIN(AA$3,$D$2-1)))))</f>
        <v/>
      </c>
      <c r="AB34" s="55">
        <f>IF(OR($C34="",$B$2="",$D$2=0),0,IF(AB$3&lt;0,0,N(INDEX('CURVA PREVISION'!$A$1:$KZ$3000,$C34,10+3*MIN(AB$3,$D$2-1)))))</f>
        <v/>
      </c>
      <c r="AC34" s="55">
        <f>IF(OR($C34="",$B$2="",$D$2=0),0,IF(AC$3&lt;0,0,N(INDEX('CURVA PREVISION'!$A$1:$KZ$3000,$C34,10+3*MIN(AC$3,$D$2-1)))))</f>
        <v/>
      </c>
      <c r="AD34" s="55">
        <f>IF(OR($C34="",$B$2="",$D$2=0),0,IF(AD$3&lt;0,0,N(INDEX('CURVA PREVISION'!$A$1:$KZ$3000,$C34,10+3*MIN(AD$3,$D$2-1)))))</f>
        <v/>
      </c>
      <c r="AE34" s="55">
        <f>IF(OR($C34="",$B$2="",$D$2=0),0,IF(AE$3&lt;0,0,N(INDEX('CURVA PREVISION'!$A$1:$KZ$3000,$C34,10+3*MIN(AE$3,$D$2-1)))))</f>
        <v/>
      </c>
      <c r="AF34" s="55">
        <f>IF(OR($C34="",$B$2="",$D$2=0),0,IF(AF$3&lt;0,0,N(INDEX('CURVA PREVISION'!$A$1:$KZ$3000,$C34,10+3*MIN(AF$3,$D$2-1)))))</f>
        <v/>
      </c>
      <c r="AG34" s="55">
        <f>IF(OR($C34="",$B$2="",$D$2=0),0,IF(AG$3&lt;0,0,N(INDEX('CURVA PREVISION'!$A$1:$KZ$3000,$C34,10+3*MIN(AG$3,$D$2-1)))))</f>
        <v/>
      </c>
      <c r="AH34" s="55">
        <f>IF(OR($C34="",$B$2="",$D$2=0),0,IF(AH$3&lt;0,0,N(INDEX('CURVA PREVISION'!$A$1:$KZ$3000,$C34,10+3*MIN(AH$3,$D$2-1)))))</f>
        <v/>
      </c>
      <c r="AI34" s="55">
        <f>IF(OR($C34="",$B$2="",$D$2=0),0,IF(AI$3&lt;0,0,N(INDEX('CURVA PREVISION'!$A$1:$KZ$3000,$C34,10+3*MIN(AI$3,$D$2-1)))))</f>
        <v/>
      </c>
      <c r="AJ34" s="55">
        <f>IF(OR($C34="",$B$2="",$D$2=0),0,IF(AJ$3&lt;0,0,N(INDEX('CURVA PREVISION'!$A$1:$KZ$3000,$C34,10+3*MIN(AJ$3,$D$2-1)))))</f>
        <v/>
      </c>
      <c r="AK34" s="55">
        <f>IF(OR($C34="",$B$2="",$D$2=0),0,IF(AK$3&lt;0,0,N(INDEX('CURVA PREVISION'!$A$1:$KZ$3000,$C34,10+3*MIN(AK$3,$D$2-1)))))</f>
        <v/>
      </c>
      <c r="AL34" s="55">
        <f>IF(OR($C34="",$B$2="",$D$2=0),0,IF(AL$3&lt;0,0,N(INDEX('CURVA PREVISION'!$A$1:$KZ$3000,$C34,10+3*MIN(AL$3,$D$2-1)))))</f>
        <v/>
      </c>
      <c r="AM34" s="55">
        <f>IF(OR($C34="",$B$2="",$D$2=0),0,IF(AM$3&lt;0,0,N(INDEX('CURVA PREVISION'!$A$1:$KZ$3000,$C34,10+3*MIN(AM$3,$D$2-1)))))</f>
        <v/>
      </c>
      <c r="AN34" s="55">
        <f>IF(OR($C34="",$B$2="",$D$2=0),0,IF(AN$3&lt;0,0,N(INDEX('CURVA PREVISION'!$A$1:$KZ$3000,$C34,10+3*MIN(AN$3,$D$2-1)))))</f>
        <v/>
      </c>
      <c r="AO34" s="55">
        <f>IF(OR($C34="",$B$2="",$D$2=0),0,IF(AO$3&lt;0,0,N(INDEX('CURVA PREVISION'!$A$1:$KZ$3000,$C34,10+3*MIN(AO$3,$D$2-1)))))</f>
        <v/>
      </c>
      <c r="AP34" s="55">
        <f>IF(OR($C34="",$B$2="",$D$2=0),0,IF(AP$3&lt;0,0,N(INDEX('CURVA PREVISION'!$A$1:$KZ$3000,$C34,10+3*MIN(AP$3,$D$2-1)))))</f>
        <v/>
      </c>
      <c r="AQ34" s="55">
        <f>IF(OR($C34="",$B$2="",$D$2=0),0,IF(AQ$3&lt;0,0,N(INDEX('CURVA PREVISION'!$A$1:$KZ$3000,$C34,10+3*MIN(AQ$3,$D$2-1)))))</f>
        <v/>
      </c>
      <c r="AR34" s="55">
        <f>IF(OR($C34="",$B$2="",$D$2=0),0,IF(AR$3&lt;0,0,N(INDEX('CURVA PREVISION'!$A$1:$KZ$3000,$C34,10+3*MIN(AR$3,$D$2-1)))))</f>
        <v/>
      </c>
      <c r="AS34" s="55">
        <f>IF(OR($C34="",$B$2="",$D$2=0),0,IF(AS$3&lt;0,0,N(INDEX('CURVA PREVISION'!$A$1:$KZ$3000,$C34,10+3*MIN(AS$3,$D$2-1)))))</f>
        <v/>
      </c>
      <c r="AT34" s="55">
        <f>IF(OR($C34="",$B$2="",$D$2=0),0,IF(AT$3&lt;0,0,N(INDEX('CURVA PREVISION'!$A$1:$KZ$3000,$C34,10+3*MIN(AT$3,$D$2-1)))))</f>
        <v/>
      </c>
      <c r="AU34" s="55">
        <f>IF(OR($C34="",$B$2="",$D$2=0),0,IF(AU$3&lt;0,0,N(INDEX('CURVA PREVISION'!$A$1:$KZ$3000,$C34,10+3*MIN(AU$3,$D$2-1)))))</f>
        <v/>
      </c>
      <c r="AV34" s="55">
        <f>IF(OR($C34="",$B$2="",$D$2=0),0,IF(AV$3&lt;0,0,N(INDEX('CURVA PREVISION'!$A$1:$KZ$3000,$C34,10+3*MIN(AV$3,$D$2-1)))))</f>
        <v/>
      </c>
      <c r="AW34" s="55">
        <f>IF(OR($C34="",$B$2="",$D$2=0),0,IF(AW$3&lt;0,0,N(INDEX('CURVA PREVISION'!$A$1:$KZ$3000,$C34,10+3*MIN(AW$3,$D$2-1)))))</f>
        <v/>
      </c>
      <c r="AX34" s="55">
        <f>IF(OR($C34="",$B$2="",$D$2=0),0,IF(AX$3&lt;0,0,N(INDEX('CURVA PREVISION'!$A$1:$KZ$3000,$C34,10+3*MIN(AX$3,$D$2-1)))))</f>
        <v/>
      </c>
      <c r="AY34" s="55">
        <f>IF(OR($C34="",$B$2="",$D$2=0),0,IF(AY$3&lt;0,0,N(INDEX('CURVA PREVISION'!$A$1:$KZ$3000,$C34,10+3*MIN(AY$3,$D$2-1)))))</f>
        <v/>
      </c>
      <c r="AZ34" s="55">
        <f>IF(OR($C34="",$B$2="",$D$2=0),0,IF(AZ$3&lt;0,0,N(INDEX('CURVA PREVISION'!$A$1:$KZ$3000,$C34,10+3*MIN(AZ$3,$D$2-1)))))</f>
        <v/>
      </c>
      <c r="BA34" s="55">
        <f>IF(OR($C34="",$B$2="",$D$2=0),0,IF(BA$3&lt;0,0,N(INDEX('CURVA PREVISION'!$A$1:$KZ$3000,$C34,10+3*MIN(BA$3,$D$2-1)))))</f>
        <v/>
      </c>
      <c r="BB34" s="55">
        <f>IF(OR($C34="",$B$2="",$D$2=0),0,IF(BB$3&lt;0,0,N(INDEX('CURVA PREVISION'!$A$1:$KZ$3000,$C34,10+3*MIN(BB$3,$D$2-1)))))</f>
        <v/>
      </c>
      <c r="BC34" s="55">
        <f>IF(OR($C34="",$B$2="",$D$2=0),0,IF(BC$3&lt;0,0,N(INDEX('CURVA PREVISION'!$A$1:$KZ$3000,$C34,10+3*MIN(BC$3,$D$2-1)))))</f>
        <v/>
      </c>
      <c r="BD34" s="55">
        <f>IF(OR($C34="",$B$2="",$D$2=0),0,IF(BD$3&lt;0,0,N(INDEX('CURVA PREVISION'!$A$1:$KZ$3000,$C34,10+3*MIN(BD$3,$D$2-1)))))</f>
        <v/>
      </c>
      <c r="BE34" s="55">
        <f>IF(OR($C34="",$B$2="",$D$2=0),0,IF(BE$3&lt;0,0,N(INDEX('CURVA PREVISION'!$A$1:$KZ$3000,$C34,10+3*MIN(BE$3,$D$2-1)))))</f>
        <v/>
      </c>
      <c r="BF34" s="55">
        <f>IF(OR($C34="",$B$2="",$D$2=0),0,IF(BF$3&lt;0,0,N(INDEX('CURVA PREVISION'!$A$1:$KZ$3000,$C34,10+3*MIN(BF$3,$D$2-1)))))</f>
        <v/>
      </c>
      <c r="BG34" s="55">
        <f>IF(OR($C34="",$B$2="",$D$2=0),0,IF(BG$3&lt;0,0,N(INDEX('CURVA PREVISION'!$A$1:$KZ$3000,$C34,10+3*MIN(BG$3,$D$2-1)))))</f>
        <v/>
      </c>
      <c r="BH34" s="55">
        <f>IF(OR($C34="",$B$2="",$D$2=0),0,IF(BH$3&lt;0,0,N(INDEX('CURVA PREVISION'!$A$1:$KZ$3000,$C34,10+3*MIN(BH$3,$D$2-1)))))</f>
        <v/>
      </c>
      <c r="BI34" s="55">
        <f>IF(OR($C34="",$B$2="",$D$2=0),0,IF(BI$3&lt;0,0,N(INDEX('CURVA PREVISION'!$A$1:$KZ$3000,$C34,10+3*MIN(BI$3,$D$2-1)))))</f>
        <v/>
      </c>
      <c r="BJ34" s="55">
        <f>IF(OR($C34="",$B$2="",$D$2=0),0,IF(BJ$3&lt;0,0,N(INDEX('CURVA PREVISION'!$A$1:$KZ$3000,$C34,10+3*MIN(BJ$3,$D$2-1)))))</f>
        <v/>
      </c>
      <c r="BK34" s="55">
        <f>IF(OR($C34="",$B$2="",$D$2=0),0,IF(BK$3&lt;0,0,N(INDEX('CURVA PREVISION'!$A$1:$KZ$3000,$C34,10+3*MIN(BK$3,$D$2-1)))))</f>
        <v/>
      </c>
      <c r="BL34" s="55">
        <f>IF(OR($C34="",$B$2="",$D$2=0),0,IF(BL$3&lt;0,0,N(INDEX('CURVA PREVISION'!$A$1:$KZ$3000,$C34,10+3*MIN(BL$3,$D$2-1)))))</f>
        <v/>
      </c>
      <c r="BM34" s="55">
        <f>IF(OR($C34="",$B$2="",$D$2=0),0,IF(BM$3&lt;0,0,N(INDEX('CURVA PREVISION'!$A$1:$KZ$3000,$C34,10+3*MIN(BM$3,$D$2-1)))))</f>
        <v/>
      </c>
      <c r="BN34" s="55">
        <f>IF(OR($C34="",$B$2="",$D$2=0),0,IF(BN$3&lt;0,0,N(INDEX('CURVA PREVISION'!$A$1:$KZ$3000,$C34,10+3*MIN(BN$3,$D$2-1)))))</f>
        <v/>
      </c>
      <c r="BO34" s="55">
        <f>IF(OR($C34="",$B$2="",$D$2=0),0,IF(BO$3&lt;0,0,N(INDEX('CURVA PREVISION'!$A$1:$KZ$3000,$C34,10+3*MIN(BO$3,$D$2-1)))))</f>
        <v/>
      </c>
      <c r="BP34" s="55">
        <f>IF(OR($C34="",$B$2="",$D$2=0),0,IF(BP$3&lt;0,0,N(INDEX('CURVA PREVISION'!$A$1:$KZ$3000,$C34,10+3*MIN(BP$3,$D$2-1)))))</f>
        <v/>
      </c>
      <c r="BQ34" s="55">
        <f>IF(OR($C34="",$B$2="",$D$2=0),0,IF(BQ$3&lt;0,0,N(INDEX('CURVA PREVISION'!$A$1:$KZ$3000,$C34,10+3*MIN(BQ$3,$D$2-1)))))</f>
        <v/>
      </c>
      <c r="BR34" s="55">
        <f>IF(OR($C34="",$B$2="",$D$2=0),0,IF(BR$3&lt;0,0,N(INDEX('CURVA PREVISION'!$A$1:$KZ$3000,$C34,10+3*MIN(BR$3,$D$2-1)))))</f>
        <v/>
      </c>
      <c r="BS34" s="55">
        <f>IF(OR($C34="",$B$2="",$D$2=0),0,IF(BS$3&lt;0,0,N(INDEX('CURVA PREVISION'!$A$1:$KZ$3000,$C34,10+3*MIN(BS$3,$D$2-1)))))</f>
        <v/>
      </c>
      <c r="BT34" s="55">
        <f>IF(OR($C34="",$B$2="",$D$2=0),0,IF(BT$3&lt;0,0,N(INDEX('CURVA PREVISION'!$A$1:$KZ$3000,$C34,10+3*MIN(BT$3,$D$2-1)))))</f>
        <v/>
      </c>
      <c r="BU34" s="55">
        <f>IF(OR($C34="",$B$2="",$D$2=0),0,IF(BU$3&lt;0,0,N(INDEX('CURVA PREVISION'!$A$1:$KZ$3000,$C34,10+3*MIN(BU$3,$D$2-1)))))</f>
        <v/>
      </c>
      <c r="BV34" s="55">
        <f>IF(OR($C34="",$B$2="",$D$2=0),0,IF(BV$3&lt;0,0,N(INDEX('CURVA PREVISION'!$A$1:$KZ$3000,$C34,10+3*MIN(BV$3,$D$2-1)))))</f>
        <v/>
      </c>
      <c r="BW34" s="55">
        <f>IF(OR($C34="",$B$2="",$D$2=0),0,IF(BW$3&lt;0,0,N(INDEX('CURVA PREVISION'!$A$1:$KZ$3000,$C34,10+3*MIN(BW$3,$D$2-1)))))</f>
        <v/>
      </c>
    </row>
    <row r="35">
      <c r="A35" s="34">
        <f>'VALOR POR PL'!C41</f>
        <v/>
      </c>
      <c r="B35" s="34">
        <f>'VALOR POR PL'!D41</f>
        <v/>
      </c>
      <c r="C35" s="28">
        <f>IFERROR(MATCH(A35,'CURVA PREVISION'!$B$1:$B$3000,0),"")</f>
        <v/>
      </c>
      <c r="D35" s="55">
        <f>IF(OR($C35="",$B$2="",$D$2=0),0,IF(D$3&lt;0,0,N(INDEX('CURVA PREVISION'!$A$1:$KZ$3000,$C35,10+3*MIN(D$3,$D$2-1)))))</f>
        <v/>
      </c>
      <c r="E35" s="55">
        <f>IF(OR($C35="",$B$2="",$D$2=0),0,IF(E$3&lt;0,0,N(INDEX('CURVA PREVISION'!$A$1:$KZ$3000,$C35,10+3*MIN(E$3,$D$2-1)))))</f>
        <v/>
      </c>
      <c r="F35" s="55">
        <f>IF(OR($C35="",$B$2="",$D$2=0),0,IF(F$3&lt;0,0,N(INDEX('CURVA PREVISION'!$A$1:$KZ$3000,$C35,10+3*MIN(F$3,$D$2-1)))))</f>
        <v/>
      </c>
      <c r="G35" s="55">
        <f>IF(OR($C35="",$B$2="",$D$2=0),0,IF(G$3&lt;0,0,N(INDEX('CURVA PREVISION'!$A$1:$KZ$3000,$C35,10+3*MIN(G$3,$D$2-1)))))</f>
        <v/>
      </c>
      <c r="H35" s="55">
        <f>IF(OR($C35="",$B$2="",$D$2=0),0,IF(H$3&lt;0,0,N(INDEX('CURVA PREVISION'!$A$1:$KZ$3000,$C35,10+3*MIN(H$3,$D$2-1)))))</f>
        <v/>
      </c>
      <c r="I35" s="55">
        <f>IF(OR($C35="",$B$2="",$D$2=0),0,IF(I$3&lt;0,0,N(INDEX('CURVA PREVISION'!$A$1:$KZ$3000,$C35,10+3*MIN(I$3,$D$2-1)))))</f>
        <v/>
      </c>
      <c r="J35" s="55">
        <f>IF(OR($C35="",$B$2="",$D$2=0),0,IF(J$3&lt;0,0,N(INDEX('CURVA PREVISION'!$A$1:$KZ$3000,$C35,10+3*MIN(J$3,$D$2-1)))))</f>
        <v/>
      </c>
      <c r="K35" s="55">
        <f>IF(OR($C35="",$B$2="",$D$2=0),0,IF(K$3&lt;0,0,N(INDEX('CURVA PREVISION'!$A$1:$KZ$3000,$C35,10+3*MIN(K$3,$D$2-1)))))</f>
        <v/>
      </c>
      <c r="L35" s="55">
        <f>IF(OR($C35="",$B$2="",$D$2=0),0,IF(L$3&lt;0,0,N(INDEX('CURVA PREVISION'!$A$1:$KZ$3000,$C35,10+3*MIN(L$3,$D$2-1)))))</f>
        <v/>
      </c>
      <c r="M35" s="55">
        <f>IF(OR($C35="",$B$2="",$D$2=0),0,IF(M$3&lt;0,0,N(INDEX('CURVA PREVISION'!$A$1:$KZ$3000,$C35,10+3*MIN(M$3,$D$2-1)))))</f>
        <v/>
      </c>
      <c r="N35" s="55">
        <f>IF(OR($C35="",$B$2="",$D$2=0),0,IF(N$3&lt;0,0,N(INDEX('CURVA PREVISION'!$A$1:$KZ$3000,$C35,10+3*MIN(N$3,$D$2-1)))))</f>
        <v/>
      </c>
      <c r="O35" s="55">
        <f>IF(OR($C35="",$B$2="",$D$2=0),0,IF(O$3&lt;0,0,N(INDEX('CURVA PREVISION'!$A$1:$KZ$3000,$C35,10+3*MIN(O$3,$D$2-1)))))</f>
        <v/>
      </c>
      <c r="P35" s="55">
        <f>IF(OR($C35="",$B$2="",$D$2=0),0,IF(P$3&lt;0,0,N(INDEX('CURVA PREVISION'!$A$1:$KZ$3000,$C35,10+3*MIN(P$3,$D$2-1)))))</f>
        <v/>
      </c>
      <c r="Q35" s="55">
        <f>IF(OR($C35="",$B$2="",$D$2=0),0,IF(Q$3&lt;0,0,N(INDEX('CURVA PREVISION'!$A$1:$KZ$3000,$C35,10+3*MIN(Q$3,$D$2-1)))))</f>
        <v/>
      </c>
      <c r="R35" s="55">
        <f>IF(OR($C35="",$B$2="",$D$2=0),0,IF(R$3&lt;0,0,N(INDEX('CURVA PREVISION'!$A$1:$KZ$3000,$C35,10+3*MIN(R$3,$D$2-1)))))</f>
        <v/>
      </c>
      <c r="S35" s="55">
        <f>IF(OR($C35="",$B$2="",$D$2=0),0,IF(S$3&lt;0,0,N(INDEX('CURVA PREVISION'!$A$1:$KZ$3000,$C35,10+3*MIN(S$3,$D$2-1)))))</f>
        <v/>
      </c>
      <c r="T35" s="55">
        <f>IF(OR($C35="",$B$2="",$D$2=0),0,IF(T$3&lt;0,0,N(INDEX('CURVA PREVISION'!$A$1:$KZ$3000,$C35,10+3*MIN(T$3,$D$2-1)))))</f>
        <v/>
      </c>
      <c r="U35" s="55">
        <f>IF(OR($C35="",$B$2="",$D$2=0),0,IF(U$3&lt;0,0,N(INDEX('CURVA PREVISION'!$A$1:$KZ$3000,$C35,10+3*MIN(U$3,$D$2-1)))))</f>
        <v/>
      </c>
      <c r="V35" s="55">
        <f>IF(OR($C35="",$B$2="",$D$2=0),0,IF(V$3&lt;0,0,N(INDEX('CURVA PREVISION'!$A$1:$KZ$3000,$C35,10+3*MIN(V$3,$D$2-1)))))</f>
        <v/>
      </c>
      <c r="W35" s="55">
        <f>IF(OR($C35="",$B$2="",$D$2=0),0,IF(W$3&lt;0,0,N(INDEX('CURVA PREVISION'!$A$1:$KZ$3000,$C35,10+3*MIN(W$3,$D$2-1)))))</f>
        <v/>
      </c>
      <c r="X35" s="55">
        <f>IF(OR($C35="",$B$2="",$D$2=0),0,IF(X$3&lt;0,0,N(INDEX('CURVA PREVISION'!$A$1:$KZ$3000,$C35,10+3*MIN(X$3,$D$2-1)))))</f>
        <v/>
      </c>
      <c r="Y35" s="55">
        <f>IF(OR($C35="",$B$2="",$D$2=0),0,IF(Y$3&lt;0,0,N(INDEX('CURVA PREVISION'!$A$1:$KZ$3000,$C35,10+3*MIN(Y$3,$D$2-1)))))</f>
        <v/>
      </c>
      <c r="Z35" s="55">
        <f>IF(OR($C35="",$B$2="",$D$2=0),0,IF(Z$3&lt;0,0,N(INDEX('CURVA PREVISION'!$A$1:$KZ$3000,$C35,10+3*MIN(Z$3,$D$2-1)))))</f>
        <v/>
      </c>
      <c r="AA35" s="55">
        <f>IF(OR($C35="",$B$2="",$D$2=0),0,IF(AA$3&lt;0,0,N(INDEX('CURVA PREVISION'!$A$1:$KZ$3000,$C35,10+3*MIN(AA$3,$D$2-1)))))</f>
        <v/>
      </c>
      <c r="AB35" s="55">
        <f>IF(OR($C35="",$B$2="",$D$2=0),0,IF(AB$3&lt;0,0,N(INDEX('CURVA PREVISION'!$A$1:$KZ$3000,$C35,10+3*MIN(AB$3,$D$2-1)))))</f>
        <v/>
      </c>
      <c r="AC35" s="55">
        <f>IF(OR($C35="",$B$2="",$D$2=0),0,IF(AC$3&lt;0,0,N(INDEX('CURVA PREVISION'!$A$1:$KZ$3000,$C35,10+3*MIN(AC$3,$D$2-1)))))</f>
        <v/>
      </c>
      <c r="AD35" s="55">
        <f>IF(OR($C35="",$B$2="",$D$2=0),0,IF(AD$3&lt;0,0,N(INDEX('CURVA PREVISION'!$A$1:$KZ$3000,$C35,10+3*MIN(AD$3,$D$2-1)))))</f>
        <v/>
      </c>
      <c r="AE35" s="55">
        <f>IF(OR($C35="",$B$2="",$D$2=0),0,IF(AE$3&lt;0,0,N(INDEX('CURVA PREVISION'!$A$1:$KZ$3000,$C35,10+3*MIN(AE$3,$D$2-1)))))</f>
        <v/>
      </c>
      <c r="AF35" s="55">
        <f>IF(OR($C35="",$B$2="",$D$2=0),0,IF(AF$3&lt;0,0,N(INDEX('CURVA PREVISION'!$A$1:$KZ$3000,$C35,10+3*MIN(AF$3,$D$2-1)))))</f>
        <v/>
      </c>
      <c r="AG35" s="55">
        <f>IF(OR($C35="",$B$2="",$D$2=0),0,IF(AG$3&lt;0,0,N(INDEX('CURVA PREVISION'!$A$1:$KZ$3000,$C35,10+3*MIN(AG$3,$D$2-1)))))</f>
        <v/>
      </c>
      <c r="AH35" s="55">
        <f>IF(OR($C35="",$B$2="",$D$2=0),0,IF(AH$3&lt;0,0,N(INDEX('CURVA PREVISION'!$A$1:$KZ$3000,$C35,10+3*MIN(AH$3,$D$2-1)))))</f>
        <v/>
      </c>
      <c r="AI35" s="55">
        <f>IF(OR($C35="",$B$2="",$D$2=0),0,IF(AI$3&lt;0,0,N(INDEX('CURVA PREVISION'!$A$1:$KZ$3000,$C35,10+3*MIN(AI$3,$D$2-1)))))</f>
        <v/>
      </c>
      <c r="AJ35" s="55">
        <f>IF(OR($C35="",$B$2="",$D$2=0),0,IF(AJ$3&lt;0,0,N(INDEX('CURVA PREVISION'!$A$1:$KZ$3000,$C35,10+3*MIN(AJ$3,$D$2-1)))))</f>
        <v/>
      </c>
      <c r="AK35" s="55">
        <f>IF(OR($C35="",$B$2="",$D$2=0),0,IF(AK$3&lt;0,0,N(INDEX('CURVA PREVISION'!$A$1:$KZ$3000,$C35,10+3*MIN(AK$3,$D$2-1)))))</f>
        <v/>
      </c>
      <c r="AL35" s="55">
        <f>IF(OR($C35="",$B$2="",$D$2=0),0,IF(AL$3&lt;0,0,N(INDEX('CURVA PREVISION'!$A$1:$KZ$3000,$C35,10+3*MIN(AL$3,$D$2-1)))))</f>
        <v/>
      </c>
      <c r="AM35" s="55">
        <f>IF(OR($C35="",$B$2="",$D$2=0),0,IF(AM$3&lt;0,0,N(INDEX('CURVA PREVISION'!$A$1:$KZ$3000,$C35,10+3*MIN(AM$3,$D$2-1)))))</f>
        <v/>
      </c>
      <c r="AN35" s="55">
        <f>IF(OR($C35="",$B$2="",$D$2=0),0,IF(AN$3&lt;0,0,N(INDEX('CURVA PREVISION'!$A$1:$KZ$3000,$C35,10+3*MIN(AN$3,$D$2-1)))))</f>
        <v/>
      </c>
      <c r="AO35" s="55">
        <f>IF(OR($C35="",$B$2="",$D$2=0),0,IF(AO$3&lt;0,0,N(INDEX('CURVA PREVISION'!$A$1:$KZ$3000,$C35,10+3*MIN(AO$3,$D$2-1)))))</f>
        <v/>
      </c>
      <c r="AP35" s="55">
        <f>IF(OR($C35="",$B$2="",$D$2=0),0,IF(AP$3&lt;0,0,N(INDEX('CURVA PREVISION'!$A$1:$KZ$3000,$C35,10+3*MIN(AP$3,$D$2-1)))))</f>
        <v/>
      </c>
      <c r="AQ35" s="55">
        <f>IF(OR($C35="",$B$2="",$D$2=0),0,IF(AQ$3&lt;0,0,N(INDEX('CURVA PREVISION'!$A$1:$KZ$3000,$C35,10+3*MIN(AQ$3,$D$2-1)))))</f>
        <v/>
      </c>
      <c r="AR35" s="55">
        <f>IF(OR($C35="",$B$2="",$D$2=0),0,IF(AR$3&lt;0,0,N(INDEX('CURVA PREVISION'!$A$1:$KZ$3000,$C35,10+3*MIN(AR$3,$D$2-1)))))</f>
        <v/>
      </c>
      <c r="AS35" s="55">
        <f>IF(OR($C35="",$B$2="",$D$2=0),0,IF(AS$3&lt;0,0,N(INDEX('CURVA PREVISION'!$A$1:$KZ$3000,$C35,10+3*MIN(AS$3,$D$2-1)))))</f>
        <v/>
      </c>
      <c r="AT35" s="55">
        <f>IF(OR($C35="",$B$2="",$D$2=0),0,IF(AT$3&lt;0,0,N(INDEX('CURVA PREVISION'!$A$1:$KZ$3000,$C35,10+3*MIN(AT$3,$D$2-1)))))</f>
        <v/>
      </c>
      <c r="AU35" s="55">
        <f>IF(OR($C35="",$B$2="",$D$2=0),0,IF(AU$3&lt;0,0,N(INDEX('CURVA PREVISION'!$A$1:$KZ$3000,$C35,10+3*MIN(AU$3,$D$2-1)))))</f>
        <v/>
      </c>
      <c r="AV35" s="55">
        <f>IF(OR($C35="",$B$2="",$D$2=0),0,IF(AV$3&lt;0,0,N(INDEX('CURVA PREVISION'!$A$1:$KZ$3000,$C35,10+3*MIN(AV$3,$D$2-1)))))</f>
        <v/>
      </c>
      <c r="AW35" s="55">
        <f>IF(OR($C35="",$B$2="",$D$2=0),0,IF(AW$3&lt;0,0,N(INDEX('CURVA PREVISION'!$A$1:$KZ$3000,$C35,10+3*MIN(AW$3,$D$2-1)))))</f>
        <v/>
      </c>
      <c r="AX35" s="55">
        <f>IF(OR($C35="",$B$2="",$D$2=0),0,IF(AX$3&lt;0,0,N(INDEX('CURVA PREVISION'!$A$1:$KZ$3000,$C35,10+3*MIN(AX$3,$D$2-1)))))</f>
        <v/>
      </c>
      <c r="AY35" s="55">
        <f>IF(OR($C35="",$B$2="",$D$2=0),0,IF(AY$3&lt;0,0,N(INDEX('CURVA PREVISION'!$A$1:$KZ$3000,$C35,10+3*MIN(AY$3,$D$2-1)))))</f>
        <v/>
      </c>
      <c r="AZ35" s="55">
        <f>IF(OR($C35="",$B$2="",$D$2=0),0,IF(AZ$3&lt;0,0,N(INDEX('CURVA PREVISION'!$A$1:$KZ$3000,$C35,10+3*MIN(AZ$3,$D$2-1)))))</f>
        <v/>
      </c>
      <c r="BA35" s="55">
        <f>IF(OR($C35="",$B$2="",$D$2=0),0,IF(BA$3&lt;0,0,N(INDEX('CURVA PREVISION'!$A$1:$KZ$3000,$C35,10+3*MIN(BA$3,$D$2-1)))))</f>
        <v/>
      </c>
      <c r="BB35" s="55">
        <f>IF(OR($C35="",$B$2="",$D$2=0),0,IF(BB$3&lt;0,0,N(INDEX('CURVA PREVISION'!$A$1:$KZ$3000,$C35,10+3*MIN(BB$3,$D$2-1)))))</f>
        <v/>
      </c>
      <c r="BC35" s="55">
        <f>IF(OR($C35="",$B$2="",$D$2=0),0,IF(BC$3&lt;0,0,N(INDEX('CURVA PREVISION'!$A$1:$KZ$3000,$C35,10+3*MIN(BC$3,$D$2-1)))))</f>
        <v/>
      </c>
      <c r="BD35" s="55">
        <f>IF(OR($C35="",$B$2="",$D$2=0),0,IF(BD$3&lt;0,0,N(INDEX('CURVA PREVISION'!$A$1:$KZ$3000,$C35,10+3*MIN(BD$3,$D$2-1)))))</f>
        <v/>
      </c>
      <c r="BE35" s="55">
        <f>IF(OR($C35="",$B$2="",$D$2=0),0,IF(BE$3&lt;0,0,N(INDEX('CURVA PREVISION'!$A$1:$KZ$3000,$C35,10+3*MIN(BE$3,$D$2-1)))))</f>
        <v/>
      </c>
      <c r="BF35" s="55">
        <f>IF(OR($C35="",$B$2="",$D$2=0),0,IF(BF$3&lt;0,0,N(INDEX('CURVA PREVISION'!$A$1:$KZ$3000,$C35,10+3*MIN(BF$3,$D$2-1)))))</f>
        <v/>
      </c>
      <c r="BG35" s="55">
        <f>IF(OR($C35="",$B$2="",$D$2=0),0,IF(BG$3&lt;0,0,N(INDEX('CURVA PREVISION'!$A$1:$KZ$3000,$C35,10+3*MIN(BG$3,$D$2-1)))))</f>
        <v/>
      </c>
      <c r="BH35" s="55">
        <f>IF(OR($C35="",$B$2="",$D$2=0),0,IF(BH$3&lt;0,0,N(INDEX('CURVA PREVISION'!$A$1:$KZ$3000,$C35,10+3*MIN(BH$3,$D$2-1)))))</f>
        <v/>
      </c>
      <c r="BI35" s="55">
        <f>IF(OR($C35="",$B$2="",$D$2=0),0,IF(BI$3&lt;0,0,N(INDEX('CURVA PREVISION'!$A$1:$KZ$3000,$C35,10+3*MIN(BI$3,$D$2-1)))))</f>
        <v/>
      </c>
      <c r="BJ35" s="55">
        <f>IF(OR($C35="",$B$2="",$D$2=0),0,IF(BJ$3&lt;0,0,N(INDEX('CURVA PREVISION'!$A$1:$KZ$3000,$C35,10+3*MIN(BJ$3,$D$2-1)))))</f>
        <v/>
      </c>
      <c r="BK35" s="55">
        <f>IF(OR($C35="",$B$2="",$D$2=0),0,IF(BK$3&lt;0,0,N(INDEX('CURVA PREVISION'!$A$1:$KZ$3000,$C35,10+3*MIN(BK$3,$D$2-1)))))</f>
        <v/>
      </c>
      <c r="BL35" s="55">
        <f>IF(OR($C35="",$B$2="",$D$2=0),0,IF(BL$3&lt;0,0,N(INDEX('CURVA PREVISION'!$A$1:$KZ$3000,$C35,10+3*MIN(BL$3,$D$2-1)))))</f>
        <v/>
      </c>
      <c r="BM35" s="55">
        <f>IF(OR($C35="",$B$2="",$D$2=0),0,IF(BM$3&lt;0,0,N(INDEX('CURVA PREVISION'!$A$1:$KZ$3000,$C35,10+3*MIN(BM$3,$D$2-1)))))</f>
        <v/>
      </c>
      <c r="BN35" s="55">
        <f>IF(OR($C35="",$B$2="",$D$2=0),0,IF(BN$3&lt;0,0,N(INDEX('CURVA PREVISION'!$A$1:$KZ$3000,$C35,10+3*MIN(BN$3,$D$2-1)))))</f>
        <v/>
      </c>
      <c r="BO35" s="55">
        <f>IF(OR($C35="",$B$2="",$D$2=0),0,IF(BO$3&lt;0,0,N(INDEX('CURVA PREVISION'!$A$1:$KZ$3000,$C35,10+3*MIN(BO$3,$D$2-1)))))</f>
        <v/>
      </c>
      <c r="BP35" s="55">
        <f>IF(OR($C35="",$B$2="",$D$2=0),0,IF(BP$3&lt;0,0,N(INDEX('CURVA PREVISION'!$A$1:$KZ$3000,$C35,10+3*MIN(BP$3,$D$2-1)))))</f>
        <v/>
      </c>
      <c r="BQ35" s="55">
        <f>IF(OR($C35="",$B$2="",$D$2=0),0,IF(BQ$3&lt;0,0,N(INDEX('CURVA PREVISION'!$A$1:$KZ$3000,$C35,10+3*MIN(BQ$3,$D$2-1)))))</f>
        <v/>
      </c>
      <c r="BR35" s="55">
        <f>IF(OR($C35="",$B$2="",$D$2=0),0,IF(BR$3&lt;0,0,N(INDEX('CURVA PREVISION'!$A$1:$KZ$3000,$C35,10+3*MIN(BR$3,$D$2-1)))))</f>
        <v/>
      </c>
      <c r="BS35" s="55">
        <f>IF(OR($C35="",$B$2="",$D$2=0),0,IF(BS$3&lt;0,0,N(INDEX('CURVA PREVISION'!$A$1:$KZ$3000,$C35,10+3*MIN(BS$3,$D$2-1)))))</f>
        <v/>
      </c>
      <c r="BT35" s="55">
        <f>IF(OR($C35="",$B$2="",$D$2=0),0,IF(BT$3&lt;0,0,N(INDEX('CURVA PREVISION'!$A$1:$KZ$3000,$C35,10+3*MIN(BT$3,$D$2-1)))))</f>
        <v/>
      </c>
      <c r="BU35" s="55">
        <f>IF(OR($C35="",$B$2="",$D$2=0),0,IF(BU$3&lt;0,0,N(INDEX('CURVA PREVISION'!$A$1:$KZ$3000,$C35,10+3*MIN(BU$3,$D$2-1)))))</f>
        <v/>
      </c>
      <c r="BV35" s="55">
        <f>IF(OR($C35="",$B$2="",$D$2=0),0,IF(BV$3&lt;0,0,N(INDEX('CURVA PREVISION'!$A$1:$KZ$3000,$C35,10+3*MIN(BV$3,$D$2-1)))))</f>
        <v/>
      </c>
      <c r="BW35" s="55">
        <f>IF(OR($C35="",$B$2="",$D$2=0),0,IF(BW$3&lt;0,0,N(INDEX('CURVA PREVISION'!$A$1:$KZ$3000,$C35,10+3*MIN(BW$3,$D$2-1)))))</f>
        <v/>
      </c>
    </row>
    <row r="36">
      <c r="A36" s="34">
        <f>'VALOR POR PL'!C42</f>
        <v/>
      </c>
      <c r="B36" s="34">
        <f>'VALOR POR PL'!D42</f>
        <v/>
      </c>
      <c r="C36" s="28">
        <f>IFERROR(MATCH(A36,'CURVA PREVISION'!$B$1:$B$3000,0),"")</f>
        <v/>
      </c>
      <c r="D36" s="55">
        <f>IF(OR($C36="",$B$2="",$D$2=0),0,IF(D$3&lt;0,0,N(INDEX('CURVA PREVISION'!$A$1:$KZ$3000,$C36,10+3*MIN(D$3,$D$2-1)))))</f>
        <v/>
      </c>
      <c r="E36" s="55">
        <f>IF(OR($C36="",$B$2="",$D$2=0),0,IF(E$3&lt;0,0,N(INDEX('CURVA PREVISION'!$A$1:$KZ$3000,$C36,10+3*MIN(E$3,$D$2-1)))))</f>
        <v/>
      </c>
      <c r="F36" s="55">
        <f>IF(OR($C36="",$B$2="",$D$2=0),0,IF(F$3&lt;0,0,N(INDEX('CURVA PREVISION'!$A$1:$KZ$3000,$C36,10+3*MIN(F$3,$D$2-1)))))</f>
        <v/>
      </c>
      <c r="G36" s="55">
        <f>IF(OR($C36="",$B$2="",$D$2=0),0,IF(G$3&lt;0,0,N(INDEX('CURVA PREVISION'!$A$1:$KZ$3000,$C36,10+3*MIN(G$3,$D$2-1)))))</f>
        <v/>
      </c>
      <c r="H36" s="55">
        <f>IF(OR($C36="",$B$2="",$D$2=0),0,IF(H$3&lt;0,0,N(INDEX('CURVA PREVISION'!$A$1:$KZ$3000,$C36,10+3*MIN(H$3,$D$2-1)))))</f>
        <v/>
      </c>
      <c r="I36" s="55">
        <f>IF(OR($C36="",$B$2="",$D$2=0),0,IF(I$3&lt;0,0,N(INDEX('CURVA PREVISION'!$A$1:$KZ$3000,$C36,10+3*MIN(I$3,$D$2-1)))))</f>
        <v/>
      </c>
      <c r="J36" s="55">
        <f>IF(OR($C36="",$B$2="",$D$2=0),0,IF(J$3&lt;0,0,N(INDEX('CURVA PREVISION'!$A$1:$KZ$3000,$C36,10+3*MIN(J$3,$D$2-1)))))</f>
        <v/>
      </c>
      <c r="K36" s="55">
        <f>IF(OR($C36="",$B$2="",$D$2=0),0,IF(K$3&lt;0,0,N(INDEX('CURVA PREVISION'!$A$1:$KZ$3000,$C36,10+3*MIN(K$3,$D$2-1)))))</f>
        <v/>
      </c>
      <c r="L36" s="55">
        <f>IF(OR($C36="",$B$2="",$D$2=0),0,IF(L$3&lt;0,0,N(INDEX('CURVA PREVISION'!$A$1:$KZ$3000,$C36,10+3*MIN(L$3,$D$2-1)))))</f>
        <v/>
      </c>
      <c r="M36" s="55">
        <f>IF(OR($C36="",$B$2="",$D$2=0),0,IF(M$3&lt;0,0,N(INDEX('CURVA PREVISION'!$A$1:$KZ$3000,$C36,10+3*MIN(M$3,$D$2-1)))))</f>
        <v/>
      </c>
      <c r="N36" s="55">
        <f>IF(OR($C36="",$B$2="",$D$2=0),0,IF(N$3&lt;0,0,N(INDEX('CURVA PREVISION'!$A$1:$KZ$3000,$C36,10+3*MIN(N$3,$D$2-1)))))</f>
        <v/>
      </c>
      <c r="O36" s="55">
        <f>IF(OR($C36="",$B$2="",$D$2=0),0,IF(O$3&lt;0,0,N(INDEX('CURVA PREVISION'!$A$1:$KZ$3000,$C36,10+3*MIN(O$3,$D$2-1)))))</f>
        <v/>
      </c>
      <c r="P36" s="55">
        <f>IF(OR($C36="",$B$2="",$D$2=0),0,IF(P$3&lt;0,0,N(INDEX('CURVA PREVISION'!$A$1:$KZ$3000,$C36,10+3*MIN(P$3,$D$2-1)))))</f>
        <v/>
      </c>
      <c r="Q36" s="55">
        <f>IF(OR($C36="",$B$2="",$D$2=0),0,IF(Q$3&lt;0,0,N(INDEX('CURVA PREVISION'!$A$1:$KZ$3000,$C36,10+3*MIN(Q$3,$D$2-1)))))</f>
        <v/>
      </c>
      <c r="R36" s="55">
        <f>IF(OR($C36="",$B$2="",$D$2=0),0,IF(R$3&lt;0,0,N(INDEX('CURVA PREVISION'!$A$1:$KZ$3000,$C36,10+3*MIN(R$3,$D$2-1)))))</f>
        <v/>
      </c>
      <c r="S36" s="55">
        <f>IF(OR($C36="",$B$2="",$D$2=0),0,IF(S$3&lt;0,0,N(INDEX('CURVA PREVISION'!$A$1:$KZ$3000,$C36,10+3*MIN(S$3,$D$2-1)))))</f>
        <v/>
      </c>
      <c r="T36" s="55">
        <f>IF(OR($C36="",$B$2="",$D$2=0),0,IF(T$3&lt;0,0,N(INDEX('CURVA PREVISION'!$A$1:$KZ$3000,$C36,10+3*MIN(T$3,$D$2-1)))))</f>
        <v/>
      </c>
      <c r="U36" s="55">
        <f>IF(OR($C36="",$B$2="",$D$2=0),0,IF(U$3&lt;0,0,N(INDEX('CURVA PREVISION'!$A$1:$KZ$3000,$C36,10+3*MIN(U$3,$D$2-1)))))</f>
        <v/>
      </c>
      <c r="V36" s="55">
        <f>IF(OR($C36="",$B$2="",$D$2=0),0,IF(V$3&lt;0,0,N(INDEX('CURVA PREVISION'!$A$1:$KZ$3000,$C36,10+3*MIN(V$3,$D$2-1)))))</f>
        <v/>
      </c>
      <c r="W36" s="55">
        <f>IF(OR($C36="",$B$2="",$D$2=0),0,IF(W$3&lt;0,0,N(INDEX('CURVA PREVISION'!$A$1:$KZ$3000,$C36,10+3*MIN(W$3,$D$2-1)))))</f>
        <v/>
      </c>
      <c r="X36" s="55">
        <f>IF(OR($C36="",$B$2="",$D$2=0),0,IF(X$3&lt;0,0,N(INDEX('CURVA PREVISION'!$A$1:$KZ$3000,$C36,10+3*MIN(X$3,$D$2-1)))))</f>
        <v/>
      </c>
      <c r="Y36" s="55">
        <f>IF(OR($C36="",$B$2="",$D$2=0),0,IF(Y$3&lt;0,0,N(INDEX('CURVA PREVISION'!$A$1:$KZ$3000,$C36,10+3*MIN(Y$3,$D$2-1)))))</f>
        <v/>
      </c>
      <c r="Z36" s="55">
        <f>IF(OR($C36="",$B$2="",$D$2=0),0,IF(Z$3&lt;0,0,N(INDEX('CURVA PREVISION'!$A$1:$KZ$3000,$C36,10+3*MIN(Z$3,$D$2-1)))))</f>
        <v/>
      </c>
      <c r="AA36" s="55">
        <f>IF(OR($C36="",$B$2="",$D$2=0),0,IF(AA$3&lt;0,0,N(INDEX('CURVA PREVISION'!$A$1:$KZ$3000,$C36,10+3*MIN(AA$3,$D$2-1)))))</f>
        <v/>
      </c>
      <c r="AB36" s="55">
        <f>IF(OR($C36="",$B$2="",$D$2=0),0,IF(AB$3&lt;0,0,N(INDEX('CURVA PREVISION'!$A$1:$KZ$3000,$C36,10+3*MIN(AB$3,$D$2-1)))))</f>
        <v/>
      </c>
      <c r="AC36" s="55">
        <f>IF(OR($C36="",$B$2="",$D$2=0),0,IF(AC$3&lt;0,0,N(INDEX('CURVA PREVISION'!$A$1:$KZ$3000,$C36,10+3*MIN(AC$3,$D$2-1)))))</f>
        <v/>
      </c>
      <c r="AD36" s="55">
        <f>IF(OR($C36="",$B$2="",$D$2=0),0,IF(AD$3&lt;0,0,N(INDEX('CURVA PREVISION'!$A$1:$KZ$3000,$C36,10+3*MIN(AD$3,$D$2-1)))))</f>
        <v/>
      </c>
      <c r="AE36" s="55">
        <f>IF(OR($C36="",$B$2="",$D$2=0),0,IF(AE$3&lt;0,0,N(INDEX('CURVA PREVISION'!$A$1:$KZ$3000,$C36,10+3*MIN(AE$3,$D$2-1)))))</f>
        <v/>
      </c>
      <c r="AF36" s="55">
        <f>IF(OR($C36="",$B$2="",$D$2=0),0,IF(AF$3&lt;0,0,N(INDEX('CURVA PREVISION'!$A$1:$KZ$3000,$C36,10+3*MIN(AF$3,$D$2-1)))))</f>
        <v/>
      </c>
      <c r="AG36" s="55">
        <f>IF(OR($C36="",$B$2="",$D$2=0),0,IF(AG$3&lt;0,0,N(INDEX('CURVA PREVISION'!$A$1:$KZ$3000,$C36,10+3*MIN(AG$3,$D$2-1)))))</f>
        <v/>
      </c>
      <c r="AH36" s="55">
        <f>IF(OR($C36="",$B$2="",$D$2=0),0,IF(AH$3&lt;0,0,N(INDEX('CURVA PREVISION'!$A$1:$KZ$3000,$C36,10+3*MIN(AH$3,$D$2-1)))))</f>
        <v/>
      </c>
      <c r="AI36" s="55">
        <f>IF(OR($C36="",$B$2="",$D$2=0),0,IF(AI$3&lt;0,0,N(INDEX('CURVA PREVISION'!$A$1:$KZ$3000,$C36,10+3*MIN(AI$3,$D$2-1)))))</f>
        <v/>
      </c>
      <c r="AJ36" s="55">
        <f>IF(OR($C36="",$B$2="",$D$2=0),0,IF(AJ$3&lt;0,0,N(INDEX('CURVA PREVISION'!$A$1:$KZ$3000,$C36,10+3*MIN(AJ$3,$D$2-1)))))</f>
        <v/>
      </c>
      <c r="AK36" s="55">
        <f>IF(OR($C36="",$B$2="",$D$2=0),0,IF(AK$3&lt;0,0,N(INDEX('CURVA PREVISION'!$A$1:$KZ$3000,$C36,10+3*MIN(AK$3,$D$2-1)))))</f>
        <v/>
      </c>
      <c r="AL36" s="55">
        <f>IF(OR($C36="",$B$2="",$D$2=0),0,IF(AL$3&lt;0,0,N(INDEX('CURVA PREVISION'!$A$1:$KZ$3000,$C36,10+3*MIN(AL$3,$D$2-1)))))</f>
        <v/>
      </c>
      <c r="AM36" s="55">
        <f>IF(OR($C36="",$B$2="",$D$2=0),0,IF(AM$3&lt;0,0,N(INDEX('CURVA PREVISION'!$A$1:$KZ$3000,$C36,10+3*MIN(AM$3,$D$2-1)))))</f>
        <v/>
      </c>
      <c r="AN36" s="55">
        <f>IF(OR($C36="",$B$2="",$D$2=0),0,IF(AN$3&lt;0,0,N(INDEX('CURVA PREVISION'!$A$1:$KZ$3000,$C36,10+3*MIN(AN$3,$D$2-1)))))</f>
        <v/>
      </c>
      <c r="AO36" s="55">
        <f>IF(OR($C36="",$B$2="",$D$2=0),0,IF(AO$3&lt;0,0,N(INDEX('CURVA PREVISION'!$A$1:$KZ$3000,$C36,10+3*MIN(AO$3,$D$2-1)))))</f>
        <v/>
      </c>
      <c r="AP36" s="55">
        <f>IF(OR($C36="",$B$2="",$D$2=0),0,IF(AP$3&lt;0,0,N(INDEX('CURVA PREVISION'!$A$1:$KZ$3000,$C36,10+3*MIN(AP$3,$D$2-1)))))</f>
        <v/>
      </c>
      <c r="AQ36" s="55">
        <f>IF(OR($C36="",$B$2="",$D$2=0),0,IF(AQ$3&lt;0,0,N(INDEX('CURVA PREVISION'!$A$1:$KZ$3000,$C36,10+3*MIN(AQ$3,$D$2-1)))))</f>
        <v/>
      </c>
      <c r="AR36" s="55">
        <f>IF(OR($C36="",$B$2="",$D$2=0),0,IF(AR$3&lt;0,0,N(INDEX('CURVA PREVISION'!$A$1:$KZ$3000,$C36,10+3*MIN(AR$3,$D$2-1)))))</f>
        <v/>
      </c>
      <c r="AS36" s="55">
        <f>IF(OR($C36="",$B$2="",$D$2=0),0,IF(AS$3&lt;0,0,N(INDEX('CURVA PREVISION'!$A$1:$KZ$3000,$C36,10+3*MIN(AS$3,$D$2-1)))))</f>
        <v/>
      </c>
      <c r="AT36" s="55">
        <f>IF(OR($C36="",$B$2="",$D$2=0),0,IF(AT$3&lt;0,0,N(INDEX('CURVA PREVISION'!$A$1:$KZ$3000,$C36,10+3*MIN(AT$3,$D$2-1)))))</f>
        <v/>
      </c>
      <c r="AU36" s="55">
        <f>IF(OR($C36="",$B$2="",$D$2=0),0,IF(AU$3&lt;0,0,N(INDEX('CURVA PREVISION'!$A$1:$KZ$3000,$C36,10+3*MIN(AU$3,$D$2-1)))))</f>
        <v/>
      </c>
      <c r="AV36" s="55">
        <f>IF(OR($C36="",$B$2="",$D$2=0),0,IF(AV$3&lt;0,0,N(INDEX('CURVA PREVISION'!$A$1:$KZ$3000,$C36,10+3*MIN(AV$3,$D$2-1)))))</f>
        <v/>
      </c>
      <c r="AW36" s="55">
        <f>IF(OR($C36="",$B$2="",$D$2=0),0,IF(AW$3&lt;0,0,N(INDEX('CURVA PREVISION'!$A$1:$KZ$3000,$C36,10+3*MIN(AW$3,$D$2-1)))))</f>
        <v/>
      </c>
      <c r="AX36" s="55">
        <f>IF(OR($C36="",$B$2="",$D$2=0),0,IF(AX$3&lt;0,0,N(INDEX('CURVA PREVISION'!$A$1:$KZ$3000,$C36,10+3*MIN(AX$3,$D$2-1)))))</f>
        <v/>
      </c>
      <c r="AY36" s="55">
        <f>IF(OR($C36="",$B$2="",$D$2=0),0,IF(AY$3&lt;0,0,N(INDEX('CURVA PREVISION'!$A$1:$KZ$3000,$C36,10+3*MIN(AY$3,$D$2-1)))))</f>
        <v/>
      </c>
      <c r="AZ36" s="55">
        <f>IF(OR($C36="",$B$2="",$D$2=0),0,IF(AZ$3&lt;0,0,N(INDEX('CURVA PREVISION'!$A$1:$KZ$3000,$C36,10+3*MIN(AZ$3,$D$2-1)))))</f>
        <v/>
      </c>
      <c r="BA36" s="55">
        <f>IF(OR($C36="",$B$2="",$D$2=0),0,IF(BA$3&lt;0,0,N(INDEX('CURVA PREVISION'!$A$1:$KZ$3000,$C36,10+3*MIN(BA$3,$D$2-1)))))</f>
        <v/>
      </c>
      <c r="BB36" s="55">
        <f>IF(OR($C36="",$B$2="",$D$2=0),0,IF(BB$3&lt;0,0,N(INDEX('CURVA PREVISION'!$A$1:$KZ$3000,$C36,10+3*MIN(BB$3,$D$2-1)))))</f>
        <v/>
      </c>
      <c r="BC36" s="55">
        <f>IF(OR($C36="",$B$2="",$D$2=0),0,IF(BC$3&lt;0,0,N(INDEX('CURVA PREVISION'!$A$1:$KZ$3000,$C36,10+3*MIN(BC$3,$D$2-1)))))</f>
        <v/>
      </c>
      <c r="BD36" s="55">
        <f>IF(OR($C36="",$B$2="",$D$2=0),0,IF(BD$3&lt;0,0,N(INDEX('CURVA PREVISION'!$A$1:$KZ$3000,$C36,10+3*MIN(BD$3,$D$2-1)))))</f>
        <v/>
      </c>
      <c r="BE36" s="55">
        <f>IF(OR($C36="",$B$2="",$D$2=0),0,IF(BE$3&lt;0,0,N(INDEX('CURVA PREVISION'!$A$1:$KZ$3000,$C36,10+3*MIN(BE$3,$D$2-1)))))</f>
        <v/>
      </c>
      <c r="BF36" s="55">
        <f>IF(OR($C36="",$B$2="",$D$2=0),0,IF(BF$3&lt;0,0,N(INDEX('CURVA PREVISION'!$A$1:$KZ$3000,$C36,10+3*MIN(BF$3,$D$2-1)))))</f>
        <v/>
      </c>
      <c r="BG36" s="55">
        <f>IF(OR($C36="",$B$2="",$D$2=0),0,IF(BG$3&lt;0,0,N(INDEX('CURVA PREVISION'!$A$1:$KZ$3000,$C36,10+3*MIN(BG$3,$D$2-1)))))</f>
        <v/>
      </c>
      <c r="BH36" s="55">
        <f>IF(OR($C36="",$B$2="",$D$2=0),0,IF(BH$3&lt;0,0,N(INDEX('CURVA PREVISION'!$A$1:$KZ$3000,$C36,10+3*MIN(BH$3,$D$2-1)))))</f>
        <v/>
      </c>
      <c r="BI36" s="55">
        <f>IF(OR($C36="",$B$2="",$D$2=0),0,IF(BI$3&lt;0,0,N(INDEX('CURVA PREVISION'!$A$1:$KZ$3000,$C36,10+3*MIN(BI$3,$D$2-1)))))</f>
        <v/>
      </c>
      <c r="BJ36" s="55">
        <f>IF(OR($C36="",$B$2="",$D$2=0),0,IF(BJ$3&lt;0,0,N(INDEX('CURVA PREVISION'!$A$1:$KZ$3000,$C36,10+3*MIN(BJ$3,$D$2-1)))))</f>
        <v/>
      </c>
      <c r="BK36" s="55">
        <f>IF(OR($C36="",$B$2="",$D$2=0),0,IF(BK$3&lt;0,0,N(INDEX('CURVA PREVISION'!$A$1:$KZ$3000,$C36,10+3*MIN(BK$3,$D$2-1)))))</f>
        <v/>
      </c>
      <c r="BL36" s="55">
        <f>IF(OR($C36="",$B$2="",$D$2=0),0,IF(BL$3&lt;0,0,N(INDEX('CURVA PREVISION'!$A$1:$KZ$3000,$C36,10+3*MIN(BL$3,$D$2-1)))))</f>
        <v/>
      </c>
      <c r="BM36" s="55">
        <f>IF(OR($C36="",$B$2="",$D$2=0),0,IF(BM$3&lt;0,0,N(INDEX('CURVA PREVISION'!$A$1:$KZ$3000,$C36,10+3*MIN(BM$3,$D$2-1)))))</f>
        <v/>
      </c>
      <c r="BN36" s="55">
        <f>IF(OR($C36="",$B$2="",$D$2=0),0,IF(BN$3&lt;0,0,N(INDEX('CURVA PREVISION'!$A$1:$KZ$3000,$C36,10+3*MIN(BN$3,$D$2-1)))))</f>
        <v/>
      </c>
      <c r="BO36" s="55">
        <f>IF(OR($C36="",$B$2="",$D$2=0),0,IF(BO$3&lt;0,0,N(INDEX('CURVA PREVISION'!$A$1:$KZ$3000,$C36,10+3*MIN(BO$3,$D$2-1)))))</f>
        <v/>
      </c>
      <c r="BP36" s="55">
        <f>IF(OR($C36="",$B$2="",$D$2=0),0,IF(BP$3&lt;0,0,N(INDEX('CURVA PREVISION'!$A$1:$KZ$3000,$C36,10+3*MIN(BP$3,$D$2-1)))))</f>
        <v/>
      </c>
      <c r="BQ36" s="55">
        <f>IF(OR($C36="",$B$2="",$D$2=0),0,IF(BQ$3&lt;0,0,N(INDEX('CURVA PREVISION'!$A$1:$KZ$3000,$C36,10+3*MIN(BQ$3,$D$2-1)))))</f>
        <v/>
      </c>
      <c r="BR36" s="55">
        <f>IF(OR($C36="",$B$2="",$D$2=0),0,IF(BR$3&lt;0,0,N(INDEX('CURVA PREVISION'!$A$1:$KZ$3000,$C36,10+3*MIN(BR$3,$D$2-1)))))</f>
        <v/>
      </c>
      <c r="BS36" s="55">
        <f>IF(OR($C36="",$B$2="",$D$2=0),0,IF(BS$3&lt;0,0,N(INDEX('CURVA PREVISION'!$A$1:$KZ$3000,$C36,10+3*MIN(BS$3,$D$2-1)))))</f>
        <v/>
      </c>
      <c r="BT36" s="55">
        <f>IF(OR($C36="",$B$2="",$D$2=0),0,IF(BT$3&lt;0,0,N(INDEX('CURVA PREVISION'!$A$1:$KZ$3000,$C36,10+3*MIN(BT$3,$D$2-1)))))</f>
        <v/>
      </c>
      <c r="BU36" s="55">
        <f>IF(OR($C36="",$B$2="",$D$2=0),0,IF(BU$3&lt;0,0,N(INDEX('CURVA PREVISION'!$A$1:$KZ$3000,$C36,10+3*MIN(BU$3,$D$2-1)))))</f>
        <v/>
      </c>
      <c r="BV36" s="55">
        <f>IF(OR($C36="",$B$2="",$D$2=0),0,IF(BV$3&lt;0,0,N(INDEX('CURVA PREVISION'!$A$1:$KZ$3000,$C36,10+3*MIN(BV$3,$D$2-1)))))</f>
        <v/>
      </c>
      <c r="BW36" s="55">
        <f>IF(OR($C36="",$B$2="",$D$2=0),0,IF(BW$3&lt;0,0,N(INDEX('CURVA PREVISION'!$A$1:$KZ$3000,$C36,10+3*MIN(BW$3,$D$2-1)))))</f>
        <v/>
      </c>
    </row>
    <row r="37">
      <c r="A37" s="34">
        <f>'VALOR POR PL'!C43</f>
        <v/>
      </c>
      <c r="B37" s="34">
        <f>'VALOR POR PL'!D43</f>
        <v/>
      </c>
      <c r="C37" s="28">
        <f>IFERROR(MATCH(A37,'CURVA PREVISION'!$B$1:$B$3000,0),"")</f>
        <v/>
      </c>
      <c r="D37" s="55">
        <f>IF(OR($C37="",$B$2="",$D$2=0),0,IF(D$3&lt;0,0,N(INDEX('CURVA PREVISION'!$A$1:$KZ$3000,$C37,10+3*MIN(D$3,$D$2-1)))))</f>
        <v/>
      </c>
      <c r="E37" s="55">
        <f>IF(OR($C37="",$B$2="",$D$2=0),0,IF(E$3&lt;0,0,N(INDEX('CURVA PREVISION'!$A$1:$KZ$3000,$C37,10+3*MIN(E$3,$D$2-1)))))</f>
        <v/>
      </c>
      <c r="F37" s="55">
        <f>IF(OR($C37="",$B$2="",$D$2=0),0,IF(F$3&lt;0,0,N(INDEX('CURVA PREVISION'!$A$1:$KZ$3000,$C37,10+3*MIN(F$3,$D$2-1)))))</f>
        <v/>
      </c>
      <c r="G37" s="55">
        <f>IF(OR($C37="",$B$2="",$D$2=0),0,IF(G$3&lt;0,0,N(INDEX('CURVA PREVISION'!$A$1:$KZ$3000,$C37,10+3*MIN(G$3,$D$2-1)))))</f>
        <v/>
      </c>
      <c r="H37" s="55">
        <f>IF(OR($C37="",$B$2="",$D$2=0),0,IF(H$3&lt;0,0,N(INDEX('CURVA PREVISION'!$A$1:$KZ$3000,$C37,10+3*MIN(H$3,$D$2-1)))))</f>
        <v/>
      </c>
      <c r="I37" s="55">
        <f>IF(OR($C37="",$B$2="",$D$2=0),0,IF(I$3&lt;0,0,N(INDEX('CURVA PREVISION'!$A$1:$KZ$3000,$C37,10+3*MIN(I$3,$D$2-1)))))</f>
        <v/>
      </c>
      <c r="J37" s="55">
        <f>IF(OR($C37="",$B$2="",$D$2=0),0,IF(J$3&lt;0,0,N(INDEX('CURVA PREVISION'!$A$1:$KZ$3000,$C37,10+3*MIN(J$3,$D$2-1)))))</f>
        <v/>
      </c>
      <c r="K37" s="55">
        <f>IF(OR($C37="",$B$2="",$D$2=0),0,IF(K$3&lt;0,0,N(INDEX('CURVA PREVISION'!$A$1:$KZ$3000,$C37,10+3*MIN(K$3,$D$2-1)))))</f>
        <v/>
      </c>
      <c r="L37" s="55">
        <f>IF(OR($C37="",$B$2="",$D$2=0),0,IF(L$3&lt;0,0,N(INDEX('CURVA PREVISION'!$A$1:$KZ$3000,$C37,10+3*MIN(L$3,$D$2-1)))))</f>
        <v/>
      </c>
      <c r="M37" s="55">
        <f>IF(OR($C37="",$B$2="",$D$2=0),0,IF(M$3&lt;0,0,N(INDEX('CURVA PREVISION'!$A$1:$KZ$3000,$C37,10+3*MIN(M$3,$D$2-1)))))</f>
        <v/>
      </c>
      <c r="N37" s="55">
        <f>IF(OR($C37="",$B$2="",$D$2=0),0,IF(N$3&lt;0,0,N(INDEX('CURVA PREVISION'!$A$1:$KZ$3000,$C37,10+3*MIN(N$3,$D$2-1)))))</f>
        <v/>
      </c>
      <c r="O37" s="55">
        <f>IF(OR($C37="",$B$2="",$D$2=0),0,IF(O$3&lt;0,0,N(INDEX('CURVA PREVISION'!$A$1:$KZ$3000,$C37,10+3*MIN(O$3,$D$2-1)))))</f>
        <v/>
      </c>
      <c r="P37" s="55">
        <f>IF(OR($C37="",$B$2="",$D$2=0),0,IF(P$3&lt;0,0,N(INDEX('CURVA PREVISION'!$A$1:$KZ$3000,$C37,10+3*MIN(P$3,$D$2-1)))))</f>
        <v/>
      </c>
      <c r="Q37" s="55">
        <f>IF(OR($C37="",$B$2="",$D$2=0),0,IF(Q$3&lt;0,0,N(INDEX('CURVA PREVISION'!$A$1:$KZ$3000,$C37,10+3*MIN(Q$3,$D$2-1)))))</f>
        <v/>
      </c>
      <c r="R37" s="55">
        <f>IF(OR($C37="",$B$2="",$D$2=0),0,IF(R$3&lt;0,0,N(INDEX('CURVA PREVISION'!$A$1:$KZ$3000,$C37,10+3*MIN(R$3,$D$2-1)))))</f>
        <v/>
      </c>
      <c r="S37" s="55">
        <f>IF(OR($C37="",$B$2="",$D$2=0),0,IF(S$3&lt;0,0,N(INDEX('CURVA PREVISION'!$A$1:$KZ$3000,$C37,10+3*MIN(S$3,$D$2-1)))))</f>
        <v/>
      </c>
      <c r="T37" s="55">
        <f>IF(OR($C37="",$B$2="",$D$2=0),0,IF(T$3&lt;0,0,N(INDEX('CURVA PREVISION'!$A$1:$KZ$3000,$C37,10+3*MIN(T$3,$D$2-1)))))</f>
        <v/>
      </c>
      <c r="U37" s="55">
        <f>IF(OR($C37="",$B$2="",$D$2=0),0,IF(U$3&lt;0,0,N(INDEX('CURVA PREVISION'!$A$1:$KZ$3000,$C37,10+3*MIN(U$3,$D$2-1)))))</f>
        <v/>
      </c>
      <c r="V37" s="55">
        <f>IF(OR($C37="",$B$2="",$D$2=0),0,IF(V$3&lt;0,0,N(INDEX('CURVA PREVISION'!$A$1:$KZ$3000,$C37,10+3*MIN(V$3,$D$2-1)))))</f>
        <v/>
      </c>
      <c r="W37" s="55">
        <f>IF(OR($C37="",$B$2="",$D$2=0),0,IF(W$3&lt;0,0,N(INDEX('CURVA PREVISION'!$A$1:$KZ$3000,$C37,10+3*MIN(W$3,$D$2-1)))))</f>
        <v/>
      </c>
      <c r="X37" s="55">
        <f>IF(OR($C37="",$B$2="",$D$2=0),0,IF(X$3&lt;0,0,N(INDEX('CURVA PREVISION'!$A$1:$KZ$3000,$C37,10+3*MIN(X$3,$D$2-1)))))</f>
        <v/>
      </c>
      <c r="Y37" s="55">
        <f>IF(OR($C37="",$B$2="",$D$2=0),0,IF(Y$3&lt;0,0,N(INDEX('CURVA PREVISION'!$A$1:$KZ$3000,$C37,10+3*MIN(Y$3,$D$2-1)))))</f>
        <v/>
      </c>
      <c r="Z37" s="55">
        <f>IF(OR($C37="",$B$2="",$D$2=0),0,IF(Z$3&lt;0,0,N(INDEX('CURVA PREVISION'!$A$1:$KZ$3000,$C37,10+3*MIN(Z$3,$D$2-1)))))</f>
        <v/>
      </c>
      <c r="AA37" s="55">
        <f>IF(OR($C37="",$B$2="",$D$2=0),0,IF(AA$3&lt;0,0,N(INDEX('CURVA PREVISION'!$A$1:$KZ$3000,$C37,10+3*MIN(AA$3,$D$2-1)))))</f>
        <v/>
      </c>
      <c r="AB37" s="55">
        <f>IF(OR($C37="",$B$2="",$D$2=0),0,IF(AB$3&lt;0,0,N(INDEX('CURVA PREVISION'!$A$1:$KZ$3000,$C37,10+3*MIN(AB$3,$D$2-1)))))</f>
        <v/>
      </c>
      <c r="AC37" s="55">
        <f>IF(OR($C37="",$B$2="",$D$2=0),0,IF(AC$3&lt;0,0,N(INDEX('CURVA PREVISION'!$A$1:$KZ$3000,$C37,10+3*MIN(AC$3,$D$2-1)))))</f>
        <v/>
      </c>
      <c r="AD37" s="55">
        <f>IF(OR($C37="",$B$2="",$D$2=0),0,IF(AD$3&lt;0,0,N(INDEX('CURVA PREVISION'!$A$1:$KZ$3000,$C37,10+3*MIN(AD$3,$D$2-1)))))</f>
        <v/>
      </c>
      <c r="AE37" s="55">
        <f>IF(OR($C37="",$B$2="",$D$2=0),0,IF(AE$3&lt;0,0,N(INDEX('CURVA PREVISION'!$A$1:$KZ$3000,$C37,10+3*MIN(AE$3,$D$2-1)))))</f>
        <v/>
      </c>
      <c r="AF37" s="55">
        <f>IF(OR($C37="",$B$2="",$D$2=0),0,IF(AF$3&lt;0,0,N(INDEX('CURVA PREVISION'!$A$1:$KZ$3000,$C37,10+3*MIN(AF$3,$D$2-1)))))</f>
        <v/>
      </c>
      <c r="AG37" s="55">
        <f>IF(OR($C37="",$B$2="",$D$2=0),0,IF(AG$3&lt;0,0,N(INDEX('CURVA PREVISION'!$A$1:$KZ$3000,$C37,10+3*MIN(AG$3,$D$2-1)))))</f>
        <v/>
      </c>
      <c r="AH37" s="55">
        <f>IF(OR($C37="",$B$2="",$D$2=0),0,IF(AH$3&lt;0,0,N(INDEX('CURVA PREVISION'!$A$1:$KZ$3000,$C37,10+3*MIN(AH$3,$D$2-1)))))</f>
        <v/>
      </c>
      <c r="AI37" s="55">
        <f>IF(OR($C37="",$B$2="",$D$2=0),0,IF(AI$3&lt;0,0,N(INDEX('CURVA PREVISION'!$A$1:$KZ$3000,$C37,10+3*MIN(AI$3,$D$2-1)))))</f>
        <v/>
      </c>
      <c r="AJ37" s="55">
        <f>IF(OR($C37="",$B$2="",$D$2=0),0,IF(AJ$3&lt;0,0,N(INDEX('CURVA PREVISION'!$A$1:$KZ$3000,$C37,10+3*MIN(AJ$3,$D$2-1)))))</f>
        <v/>
      </c>
      <c r="AK37" s="55">
        <f>IF(OR($C37="",$B$2="",$D$2=0),0,IF(AK$3&lt;0,0,N(INDEX('CURVA PREVISION'!$A$1:$KZ$3000,$C37,10+3*MIN(AK$3,$D$2-1)))))</f>
        <v/>
      </c>
      <c r="AL37" s="55">
        <f>IF(OR($C37="",$B$2="",$D$2=0),0,IF(AL$3&lt;0,0,N(INDEX('CURVA PREVISION'!$A$1:$KZ$3000,$C37,10+3*MIN(AL$3,$D$2-1)))))</f>
        <v/>
      </c>
      <c r="AM37" s="55">
        <f>IF(OR($C37="",$B$2="",$D$2=0),0,IF(AM$3&lt;0,0,N(INDEX('CURVA PREVISION'!$A$1:$KZ$3000,$C37,10+3*MIN(AM$3,$D$2-1)))))</f>
        <v/>
      </c>
      <c r="AN37" s="55">
        <f>IF(OR($C37="",$B$2="",$D$2=0),0,IF(AN$3&lt;0,0,N(INDEX('CURVA PREVISION'!$A$1:$KZ$3000,$C37,10+3*MIN(AN$3,$D$2-1)))))</f>
        <v/>
      </c>
      <c r="AO37" s="55">
        <f>IF(OR($C37="",$B$2="",$D$2=0),0,IF(AO$3&lt;0,0,N(INDEX('CURVA PREVISION'!$A$1:$KZ$3000,$C37,10+3*MIN(AO$3,$D$2-1)))))</f>
        <v/>
      </c>
      <c r="AP37" s="55">
        <f>IF(OR($C37="",$B$2="",$D$2=0),0,IF(AP$3&lt;0,0,N(INDEX('CURVA PREVISION'!$A$1:$KZ$3000,$C37,10+3*MIN(AP$3,$D$2-1)))))</f>
        <v/>
      </c>
      <c r="AQ37" s="55">
        <f>IF(OR($C37="",$B$2="",$D$2=0),0,IF(AQ$3&lt;0,0,N(INDEX('CURVA PREVISION'!$A$1:$KZ$3000,$C37,10+3*MIN(AQ$3,$D$2-1)))))</f>
        <v/>
      </c>
      <c r="AR37" s="55">
        <f>IF(OR($C37="",$B$2="",$D$2=0),0,IF(AR$3&lt;0,0,N(INDEX('CURVA PREVISION'!$A$1:$KZ$3000,$C37,10+3*MIN(AR$3,$D$2-1)))))</f>
        <v/>
      </c>
      <c r="AS37" s="55">
        <f>IF(OR($C37="",$B$2="",$D$2=0),0,IF(AS$3&lt;0,0,N(INDEX('CURVA PREVISION'!$A$1:$KZ$3000,$C37,10+3*MIN(AS$3,$D$2-1)))))</f>
        <v/>
      </c>
      <c r="AT37" s="55">
        <f>IF(OR($C37="",$B$2="",$D$2=0),0,IF(AT$3&lt;0,0,N(INDEX('CURVA PREVISION'!$A$1:$KZ$3000,$C37,10+3*MIN(AT$3,$D$2-1)))))</f>
        <v/>
      </c>
      <c r="AU37" s="55">
        <f>IF(OR($C37="",$B$2="",$D$2=0),0,IF(AU$3&lt;0,0,N(INDEX('CURVA PREVISION'!$A$1:$KZ$3000,$C37,10+3*MIN(AU$3,$D$2-1)))))</f>
        <v/>
      </c>
      <c r="AV37" s="55">
        <f>IF(OR($C37="",$B$2="",$D$2=0),0,IF(AV$3&lt;0,0,N(INDEX('CURVA PREVISION'!$A$1:$KZ$3000,$C37,10+3*MIN(AV$3,$D$2-1)))))</f>
        <v/>
      </c>
      <c r="AW37" s="55">
        <f>IF(OR($C37="",$B$2="",$D$2=0),0,IF(AW$3&lt;0,0,N(INDEX('CURVA PREVISION'!$A$1:$KZ$3000,$C37,10+3*MIN(AW$3,$D$2-1)))))</f>
        <v/>
      </c>
      <c r="AX37" s="55">
        <f>IF(OR($C37="",$B$2="",$D$2=0),0,IF(AX$3&lt;0,0,N(INDEX('CURVA PREVISION'!$A$1:$KZ$3000,$C37,10+3*MIN(AX$3,$D$2-1)))))</f>
        <v/>
      </c>
      <c r="AY37" s="55">
        <f>IF(OR($C37="",$B$2="",$D$2=0),0,IF(AY$3&lt;0,0,N(INDEX('CURVA PREVISION'!$A$1:$KZ$3000,$C37,10+3*MIN(AY$3,$D$2-1)))))</f>
        <v/>
      </c>
      <c r="AZ37" s="55">
        <f>IF(OR($C37="",$B$2="",$D$2=0),0,IF(AZ$3&lt;0,0,N(INDEX('CURVA PREVISION'!$A$1:$KZ$3000,$C37,10+3*MIN(AZ$3,$D$2-1)))))</f>
        <v/>
      </c>
      <c r="BA37" s="55">
        <f>IF(OR($C37="",$B$2="",$D$2=0),0,IF(BA$3&lt;0,0,N(INDEX('CURVA PREVISION'!$A$1:$KZ$3000,$C37,10+3*MIN(BA$3,$D$2-1)))))</f>
        <v/>
      </c>
      <c r="BB37" s="55">
        <f>IF(OR($C37="",$B$2="",$D$2=0),0,IF(BB$3&lt;0,0,N(INDEX('CURVA PREVISION'!$A$1:$KZ$3000,$C37,10+3*MIN(BB$3,$D$2-1)))))</f>
        <v/>
      </c>
      <c r="BC37" s="55">
        <f>IF(OR($C37="",$B$2="",$D$2=0),0,IF(BC$3&lt;0,0,N(INDEX('CURVA PREVISION'!$A$1:$KZ$3000,$C37,10+3*MIN(BC$3,$D$2-1)))))</f>
        <v/>
      </c>
      <c r="BD37" s="55">
        <f>IF(OR($C37="",$B$2="",$D$2=0),0,IF(BD$3&lt;0,0,N(INDEX('CURVA PREVISION'!$A$1:$KZ$3000,$C37,10+3*MIN(BD$3,$D$2-1)))))</f>
        <v/>
      </c>
      <c r="BE37" s="55">
        <f>IF(OR($C37="",$B$2="",$D$2=0),0,IF(BE$3&lt;0,0,N(INDEX('CURVA PREVISION'!$A$1:$KZ$3000,$C37,10+3*MIN(BE$3,$D$2-1)))))</f>
        <v/>
      </c>
      <c r="BF37" s="55">
        <f>IF(OR($C37="",$B$2="",$D$2=0),0,IF(BF$3&lt;0,0,N(INDEX('CURVA PREVISION'!$A$1:$KZ$3000,$C37,10+3*MIN(BF$3,$D$2-1)))))</f>
        <v/>
      </c>
      <c r="BG37" s="55">
        <f>IF(OR($C37="",$B$2="",$D$2=0),0,IF(BG$3&lt;0,0,N(INDEX('CURVA PREVISION'!$A$1:$KZ$3000,$C37,10+3*MIN(BG$3,$D$2-1)))))</f>
        <v/>
      </c>
      <c r="BH37" s="55">
        <f>IF(OR($C37="",$B$2="",$D$2=0),0,IF(BH$3&lt;0,0,N(INDEX('CURVA PREVISION'!$A$1:$KZ$3000,$C37,10+3*MIN(BH$3,$D$2-1)))))</f>
        <v/>
      </c>
      <c r="BI37" s="55">
        <f>IF(OR($C37="",$B$2="",$D$2=0),0,IF(BI$3&lt;0,0,N(INDEX('CURVA PREVISION'!$A$1:$KZ$3000,$C37,10+3*MIN(BI$3,$D$2-1)))))</f>
        <v/>
      </c>
      <c r="BJ37" s="55">
        <f>IF(OR($C37="",$B$2="",$D$2=0),0,IF(BJ$3&lt;0,0,N(INDEX('CURVA PREVISION'!$A$1:$KZ$3000,$C37,10+3*MIN(BJ$3,$D$2-1)))))</f>
        <v/>
      </c>
      <c r="BK37" s="55">
        <f>IF(OR($C37="",$B$2="",$D$2=0),0,IF(BK$3&lt;0,0,N(INDEX('CURVA PREVISION'!$A$1:$KZ$3000,$C37,10+3*MIN(BK$3,$D$2-1)))))</f>
        <v/>
      </c>
      <c r="BL37" s="55">
        <f>IF(OR($C37="",$B$2="",$D$2=0),0,IF(BL$3&lt;0,0,N(INDEX('CURVA PREVISION'!$A$1:$KZ$3000,$C37,10+3*MIN(BL$3,$D$2-1)))))</f>
        <v/>
      </c>
      <c r="BM37" s="55">
        <f>IF(OR($C37="",$B$2="",$D$2=0),0,IF(BM$3&lt;0,0,N(INDEX('CURVA PREVISION'!$A$1:$KZ$3000,$C37,10+3*MIN(BM$3,$D$2-1)))))</f>
        <v/>
      </c>
      <c r="BN37" s="55">
        <f>IF(OR($C37="",$B$2="",$D$2=0),0,IF(BN$3&lt;0,0,N(INDEX('CURVA PREVISION'!$A$1:$KZ$3000,$C37,10+3*MIN(BN$3,$D$2-1)))))</f>
        <v/>
      </c>
      <c r="BO37" s="55">
        <f>IF(OR($C37="",$B$2="",$D$2=0),0,IF(BO$3&lt;0,0,N(INDEX('CURVA PREVISION'!$A$1:$KZ$3000,$C37,10+3*MIN(BO$3,$D$2-1)))))</f>
        <v/>
      </c>
      <c r="BP37" s="55">
        <f>IF(OR($C37="",$B$2="",$D$2=0),0,IF(BP$3&lt;0,0,N(INDEX('CURVA PREVISION'!$A$1:$KZ$3000,$C37,10+3*MIN(BP$3,$D$2-1)))))</f>
        <v/>
      </c>
      <c r="BQ37" s="55">
        <f>IF(OR($C37="",$B$2="",$D$2=0),0,IF(BQ$3&lt;0,0,N(INDEX('CURVA PREVISION'!$A$1:$KZ$3000,$C37,10+3*MIN(BQ$3,$D$2-1)))))</f>
        <v/>
      </c>
      <c r="BR37" s="55">
        <f>IF(OR($C37="",$B$2="",$D$2=0),0,IF(BR$3&lt;0,0,N(INDEX('CURVA PREVISION'!$A$1:$KZ$3000,$C37,10+3*MIN(BR$3,$D$2-1)))))</f>
        <v/>
      </c>
      <c r="BS37" s="55">
        <f>IF(OR($C37="",$B$2="",$D$2=0),0,IF(BS$3&lt;0,0,N(INDEX('CURVA PREVISION'!$A$1:$KZ$3000,$C37,10+3*MIN(BS$3,$D$2-1)))))</f>
        <v/>
      </c>
      <c r="BT37" s="55">
        <f>IF(OR($C37="",$B$2="",$D$2=0),0,IF(BT$3&lt;0,0,N(INDEX('CURVA PREVISION'!$A$1:$KZ$3000,$C37,10+3*MIN(BT$3,$D$2-1)))))</f>
        <v/>
      </c>
      <c r="BU37" s="55">
        <f>IF(OR($C37="",$B$2="",$D$2=0),0,IF(BU$3&lt;0,0,N(INDEX('CURVA PREVISION'!$A$1:$KZ$3000,$C37,10+3*MIN(BU$3,$D$2-1)))))</f>
        <v/>
      </c>
      <c r="BV37" s="55">
        <f>IF(OR($C37="",$B$2="",$D$2=0),0,IF(BV$3&lt;0,0,N(INDEX('CURVA PREVISION'!$A$1:$KZ$3000,$C37,10+3*MIN(BV$3,$D$2-1)))))</f>
        <v/>
      </c>
      <c r="BW37" s="55">
        <f>IF(OR($C37="",$B$2="",$D$2=0),0,IF(BW$3&lt;0,0,N(INDEX('CURVA PREVISION'!$A$1:$KZ$3000,$C37,10+3*MIN(BW$3,$D$2-1)))))</f>
        <v/>
      </c>
    </row>
    <row r="38">
      <c r="A38" s="34">
        <f>'VALOR POR PL'!C44</f>
        <v/>
      </c>
      <c r="B38" s="34">
        <f>'VALOR POR PL'!D44</f>
        <v/>
      </c>
      <c r="C38" s="28">
        <f>IFERROR(MATCH(A38,'CURVA PREVISION'!$B$1:$B$3000,0),"")</f>
        <v/>
      </c>
      <c r="D38" s="55">
        <f>IF(OR($C38="",$B$2="",$D$2=0),0,IF(D$3&lt;0,0,N(INDEX('CURVA PREVISION'!$A$1:$KZ$3000,$C38,10+3*MIN(D$3,$D$2-1)))))</f>
        <v/>
      </c>
      <c r="E38" s="55">
        <f>IF(OR($C38="",$B$2="",$D$2=0),0,IF(E$3&lt;0,0,N(INDEX('CURVA PREVISION'!$A$1:$KZ$3000,$C38,10+3*MIN(E$3,$D$2-1)))))</f>
        <v/>
      </c>
      <c r="F38" s="55">
        <f>IF(OR($C38="",$B$2="",$D$2=0),0,IF(F$3&lt;0,0,N(INDEX('CURVA PREVISION'!$A$1:$KZ$3000,$C38,10+3*MIN(F$3,$D$2-1)))))</f>
        <v/>
      </c>
      <c r="G38" s="55">
        <f>IF(OR($C38="",$B$2="",$D$2=0),0,IF(G$3&lt;0,0,N(INDEX('CURVA PREVISION'!$A$1:$KZ$3000,$C38,10+3*MIN(G$3,$D$2-1)))))</f>
        <v/>
      </c>
      <c r="H38" s="55">
        <f>IF(OR($C38="",$B$2="",$D$2=0),0,IF(H$3&lt;0,0,N(INDEX('CURVA PREVISION'!$A$1:$KZ$3000,$C38,10+3*MIN(H$3,$D$2-1)))))</f>
        <v/>
      </c>
      <c r="I38" s="55">
        <f>IF(OR($C38="",$B$2="",$D$2=0),0,IF(I$3&lt;0,0,N(INDEX('CURVA PREVISION'!$A$1:$KZ$3000,$C38,10+3*MIN(I$3,$D$2-1)))))</f>
        <v/>
      </c>
      <c r="J38" s="55">
        <f>IF(OR($C38="",$B$2="",$D$2=0),0,IF(J$3&lt;0,0,N(INDEX('CURVA PREVISION'!$A$1:$KZ$3000,$C38,10+3*MIN(J$3,$D$2-1)))))</f>
        <v/>
      </c>
      <c r="K38" s="55">
        <f>IF(OR($C38="",$B$2="",$D$2=0),0,IF(K$3&lt;0,0,N(INDEX('CURVA PREVISION'!$A$1:$KZ$3000,$C38,10+3*MIN(K$3,$D$2-1)))))</f>
        <v/>
      </c>
      <c r="L38" s="55">
        <f>IF(OR($C38="",$B$2="",$D$2=0),0,IF(L$3&lt;0,0,N(INDEX('CURVA PREVISION'!$A$1:$KZ$3000,$C38,10+3*MIN(L$3,$D$2-1)))))</f>
        <v/>
      </c>
      <c r="M38" s="55">
        <f>IF(OR($C38="",$B$2="",$D$2=0),0,IF(M$3&lt;0,0,N(INDEX('CURVA PREVISION'!$A$1:$KZ$3000,$C38,10+3*MIN(M$3,$D$2-1)))))</f>
        <v/>
      </c>
      <c r="N38" s="55">
        <f>IF(OR($C38="",$B$2="",$D$2=0),0,IF(N$3&lt;0,0,N(INDEX('CURVA PREVISION'!$A$1:$KZ$3000,$C38,10+3*MIN(N$3,$D$2-1)))))</f>
        <v/>
      </c>
      <c r="O38" s="55">
        <f>IF(OR($C38="",$B$2="",$D$2=0),0,IF(O$3&lt;0,0,N(INDEX('CURVA PREVISION'!$A$1:$KZ$3000,$C38,10+3*MIN(O$3,$D$2-1)))))</f>
        <v/>
      </c>
      <c r="P38" s="55">
        <f>IF(OR($C38="",$B$2="",$D$2=0),0,IF(P$3&lt;0,0,N(INDEX('CURVA PREVISION'!$A$1:$KZ$3000,$C38,10+3*MIN(P$3,$D$2-1)))))</f>
        <v/>
      </c>
      <c r="Q38" s="55">
        <f>IF(OR($C38="",$B$2="",$D$2=0),0,IF(Q$3&lt;0,0,N(INDEX('CURVA PREVISION'!$A$1:$KZ$3000,$C38,10+3*MIN(Q$3,$D$2-1)))))</f>
        <v/>
      </c>
      <c r="R38" s="55">
        <f>IF(OR($C38="",$B$2="",$D$2=0),0,IF(R$3&lt;0,0,N(INDEX('CURVA PREVISION'!$A$1:$KZ$3000,$C38,10+3*MIN(R$3,$D$2-1)))))</f>
        <v/>
      </c>
      <c r="S38" s="55">
        <f>IF(OR($C38="",$B$2="",$D$2=0),0,IF(S$3&lt;0,0,N(INDEX('CURVA PREVISION'!$A$1:$KZ$3000,$C38,10+3*MIN(S$3,$D$2-1)))))</f>
        <v/>
      </c>
      <c r="T38" s="55">
        <f>IF(OR($C38="",$B$2="",$D$2=0),0,IF(T$3&lt;0,0,N(INDEX('CURVA PREVISION'!$A$1:$KZ$3000,$C38,10+3*MIN(T$3,$D$2-1)))))</f>
        <v/>
      </c>
      <c r="U38" s="55">
        <f>IF(OR($C38="",$B$2="",$D$2=0),0,IF(U$3&lt;0,0,N(INDEX('CURVA PREVISION'!$A$1:$KZ$3000,$C38,10+3*MIN(U$3,$D$2-1)))))</f>
        <v/>
      </c>
      <c r="V38" s="55">
        <f>IF(OR($C38="",$B$2="",$D$2=0),0,IF(V$3&lt;0,0,N(INDEX('CURVA PREVISION'!$A$1:$KZ$3000,$C38,10+3*MIN(V$3,$D$2-1)))))</f>
        <v/>
      </c>
      <c r="W38" s="55">
        <f>IF(OR($C38="",$B$2="",$D$2=0),0,IF(W$3&lt;0,0,N(INDEX('CURVA PREVISION'!$A$1:$KZ$3000,$C38,10+3*MIN(W$3,$D$2-1)))))</f>
        <v/>
      </c>
      <c r="X38" s="55">
        <f>IF(OR($C38="",$B$2="",$D$2=0),0,IF(X$3&lt;0,0,N(INDEX('CURVA PREVISION'!$A$1:$KZ$3000,$C38,10+3*MIN(X$3,$D$2-1)))))</f>
        <v/>
      </c>
      <c r="Y38" s="55">
        <f>IF(OR($C38="",$B$2="",$D$2=0),0,IF(Y$3&lt;0,0,N(INDEX('CURVA PREVISION'!$A$1:$KZ$3000,$C38,10+3*MIN(Y$3,$D$2-1)))))</f>
        <v/>
      </c>
      <c r="Z38" s="55">
        <f>IF(OR($C38="",$B$2="",$D$2=0),0,IF(Z$3&lt;0,0,N(INDEX('CURVA PREVISION'!$A$1:$KZ$3000,$C38,10+3*MIN(Z$3,$D$2-1)))))</f>
        <v/>
      </c>
      <c r="AA38" s="55">
        <f>IF(OR($C38="",$B$2="",$D$2=0),0,IF(AA$3&lt;0,0,N(INDEX('CURVA PREVISION'!$A$1:$KZ$3000,$C38,10+3*MIN(AA$3,$D$2-1)))))</f>
        <v/>
      </c>
      <c r="AB38" s="55">
        <f>IF(OR($C38="",$B$2="",$D$2=0),0,IF(AB$3&lt;0,0,N(INDEX('CURVA PREVISION'!$A$1:$KZ$3000,$C38,10+3*MIN(AB$3,$D$2-1)))))</f>
        <v/>
      </c>
      <c r="AC38" s="55">
        <f>IF(OR($C38="",$B$2="",$D$2=0),0,IF(AC$3&lt;0,0,N(INDEX('CURVA PREVISION'!$A$1:$KZ$3000,$C38,10+3*MIN(AC$3,$D$2-1)))))</f>
        <v/>
      </c>
      <c r="AD38" s="55">
        <f>IF(OR($C38="",$B$2="",$D$2=0),0,IF(AD$3&lt;0,0,N(INDEX('CURVA PREVISION'!$A$1:$KZ$3000,$C38,10+3*MIN(AD$3,$D$2-1)))))</f>
        <v/>
      </c>
      <c r="AE38" s="55">
        <f>IF(OR($C38="",$B$2="",$D$2=0),0,IF(AE$3&lt;0,0,N(INDEX('CURVA PREVISION'!$A$1:$KZ$3000,$C38,10+3*MIN(AE$3,$D$2-1)))))</f>
        <v/>
      </c>
      <c r="AF38" s="55">
        <f>IF(OR($C38="",$B$2="",$D$2=0),0,IF(AF$3&lt;0,0,N(INDEX('CURVA PREVISION'!$A$1:$KZ$3000,$C38,10+3*MIN(AF$3,$D$2-1)))))</f>
        <v/>
      </c>
      <c r="AG38" s="55">
        <f>IF(OR($C38="",$B$2="",$D$2=0),0,IF(AG$3&lt;0,0,N(INDEX('CURVA PREVISION'!$A$1:$KZ$3000,$C38,10+3*MIN(AG$3,$D$2-1)))))</f>
        <v/>
      </c>
      <c r="AH38" s="55">
        <f>IF(OR($C38="",$B$2="",$D$2=0),0,IF(AH$3&lt;0,0,N(INDEX('CURVA PREVISION'!$A$1:$KZ$3000,$C38,10+3*MIN(AH$3,$D$2-1)))))</f>
        <v/>
      </c>
      <c r="AI38" s="55">
        <f>IF(OR($C38="",$B$2="",$D$2=0),0,IF(AI$3&lt;0,0,N(INDEX('CURVA PREVISION'!$A$1:$KZ$3000,$C38,10+3*MIN(AI$3,$D$2-1)))))</f>
        <v/>
      </c>
      <c r="AJ38" s="55">
        <f>IF(OR($C38="",$B$2="",$D$2=0),0,IF(AJ$3&lt;0,0,N(INDEX('CURVA PREVISION'!$A$1:$KZ$3000,$C38,10+3*MIN(AJ$3,$D$2-1)))))</f>
        <v/>
      </c>
      <c r="AK38" s="55">
        <f>IF(OR($C38="",$B$2="",$D$2=0),0,IF(AK$3&lt;0,0,N(INDEX('CURVA PREVISION'!$A$1:$KZ$3000,$C38,10+3*MIN(AK$3,$D$2-1)))))</f>
        <v/>
      </c>
      <c r="AL38" s="55">
        <f>IF(OR($C38="",$B$2="",$D$2=0),0,IF(AL$3&lt;0,0,N(INDEX('CURVA PREVISION'!$A$1:$KZ$3000,$C38,10+3*MIN(AL$3,$D$2-1)))))</f>
        <v/>
      </c>
      <c r="AM38" s="55">
        <f>IF(OR($C38="",$B$2="",$D$2=0),0,IF(AM$3&lt;0,0,N(INDEX('CURVA PREVISION'!$A$1:$KZ$3000,$C38,10+3*MIN(AM$3,$D$2-1)))))</f>
        <v/>
      </c>
      <c r="AN38" s="55">
        <f>IF(OR($C38="",$B$2="",$D$2=0),0,IF(AN$3&lt;0,0,N(INDEX('CURVA PREVISION'!$A$1:$KZ$3000,$C38,10+3*MIN(AN$3,$D$2-1)))))</f>
        <v/>
      </c>
      <c r="AO38" s="55">
        <f>IF(OR($C38="",$B$2="",$D$2=0),0,IF(AO$3&lt;0,0,N(INDEX('CURVA PREVISION'!$A$1:$KZ$3000,$C38,10+3*MIN(AO$3,$D$2-1)))))</f>
        <v/>
      </c>
      <c r="AP38" s="55">
        <f>IF(OR($C38="",$B$2="",$D$2=0),0,IF(AP$3&lt;0,0,N(INDEX('CURVA PREVISION'!$A$1:$KZ$3000,$C38,10+3*MIN(AP$3,$D$2-1)))))</f>
        <v/>
      </c>
      <c r="AQ38" s="55">
        <f>IF(OR($C38="",$B$2="",$D$2=0),0,IF(AQ$3&lt;0,0,N(INDEX('CURVA PREVISION'!$A$1:$KZ$3000,$C38,10+3*MIN(AQ$3,$D$2-1)))))</f>
        <v/>
      </c>
      <c r="AR38" s="55">
        <f>IF(OR($C38="",$B$2="",$D$2=0),0,IF(AR$3&lt;0,0,N(INDEX('CURVA PREVISION'!$A$1:$KZ$3000,$C38,10+3*MIN(AR$3,$D$2-1)))))</f>
        <v/>
      </c>
      <c r="AS38" s="55">
        <f>IF(OR($C38="",$B$2="",$D$2=0),0,IF(AS$3&lt;0,0,N(INDEX('CURVA PREVISION'!$A$1:$KZ$3000,$C38,10+3*MIN(AS$3,$D$2-1)))))</f>
        <v/>
      </c>
      <c r="AT38" s="55">
        <f>IF(OR($C38="",$B$2="",$D$2=0),0,IF(AT$3&lt;0,0,N(INDEX('CURVA PREVISION'!$A$1:$KZ$3000,$C38,10+3*MIN(AT$3,$D$2-1)))))</f>
        <v/>
      </c>
      <c r="AU38" s="55">
        <f>IF(OR($C38="",$B$2="",$D$2=0),0,IF(AU$3&lt;0,0,N(INDEX('CURVA PREVISION'!$A$1:$KZ$3000,$C38,10+3*MIN(AU$3,$D$2-1)))))</f>
        <v/>
      </c>
      <c r="AV38" s="55">
        <f>IF(OR($C38="",$B$2="",$D$2=0),0,IF(AV$3&lt;0,0,N(INDEX('CURVA PREVISION'!$A$1:$KZ$3000,$C38,10+3*MIN(AV$3,$D$2-1)))))</f>
        <v/>
      </c>
      <c r="AW38" s="55">
        <f>IF(OR($C38="",$B$2="",$D$2=0),0,IF(AW$3&lt;0,0,N(INDEX('CURVA PREVISION'!$A$1:$KZ$3000,$C38,10+3*MIN(AW$3,$D$2-1)))))</f>
        <v/>
      </c>
      <c r="AX38" s="55">
        <f>IF(OR($C38="",$B$2="",$D$2=0),0,IF(AX$3&lt;0,0,N(INDEX('CURVA PREVISION'!$A$1:$KZ$3000,$C38,10+3*MIN(AX$3,$D$2-1)))))</f>
        <v/>
      </c>
      <c r="AY38" s="55">
        <f>IF(OR($C38="",$B$2="",$D$2=0),0,IF(AY$3&lt;0,0,N(INDEX('CURVA PREVISION'!$A$1:$KZ$3000,$C38,10+3*MIN(AY$3,$D$2-1)))))</f>
        <v/>
      </c>
      <c r="AZ38" s="55">
        <f>IF(OR($C38="",$B$2="",$D$2=0),0,IF(AZ$3&lt;0,0,N(INDEX('CURVA PREVISION'!$A$1:$KZ$3000,$C38,10+3*MIN(AZ$3,$D$2-1)))))</f>
        <v/>
      </c>
      <c r="BA38" s="55">
        <f>IF(OR($C38="",$B$2="",$D$2=0),0,IF(BA$3&lt;0,0,N(INDEX('CURVA PREVISION'!$A$1:$KZ$3000,$C38,10+3*MIN(BA$3,$D$2-1)))))</f>
        <v/>
      </c>
      <c r="BB38" s="55">
        <f>IF(OR($C38="",$B$2="",$D$2=0),0,IF(BB$3&lt;0,0,N(INDEX('CURVA PREVISION'!$A$1:$KZ$3000,$C38,10+3*MIN(BB$3,$D$2-1)))))</f>
        <v/>
      </c>
      <c r="BC38" s="55">
        <f>IF(OR($C38="",$B$2="",$D$2=0),0,IF(BC$3&lt;0,0,N(INDEX('CURVA PREVISION'!$A$1:$KZ$3000,$C38,10+3*MIN(BC$3,$D$2-1)))))</f>
        <v/>
      </c>
      <c r="BD38" s="55">
        <f>IF(OR($C38="",$B$2="",$D$2=0),0,IF(BD$3&lt;0,0,N(INDEX('CURVA PREVISION'!$A$1:$KZ$3000,$C38,10+3*MIN(BD$3,$D$2-1)))))</f>
        <v/>
      </c>
      <c r="BE38" s="55">
        <f>IF(OR($C38="",$B$2="",$D$2=0),0,IF(BE$3&lt;0,0,N(INDEX('CURVA PREVISION'!$A$1:$KZ$3000,$C38,10+3*MIN(BE$3,$D$2-1)))))</f>
        <v/>
      </c>
      <c r="BF38" s="55">
        <f>IF(OR($C38="",$B$2="",$D$2=0),0,IF(BF$3&lt;0,0,N(INDEX('CURVA PREVISION'!$A$1:$KZ$3000,$C38,10+3*MIN(BF$3,$D$2-1)))))</f>
        <v/>
      </c>
      <c r="BG38" s="55">
        <f>IF(OR($C38="",$B$2="",$D$2=0),0,IF(BG$3&lt;0,0,N(INDEX('CURVA PREVISION'!$A$1:$KZ$3000,$C38,10+3*MIN(BG$3,$D$2-1)))))</f>
        <v/>
      </c>
      <c r="BH38" s="55">
        <f>IF(OR($C38="",$B$2="",$D$2=0),0,IF(BH$3&lt;0,0,N(INDEX('CURVA PREVISION'!$A$1:$KZ$3000,$C38,10+3*MIN(BH$3,$D$2-1)))))</f>
        <v/>
      </c>
      <c r="BI38" s="55">
        <f>IF(OR($C38="",$B$2="",$D$2=0),0,IF(BI$3&lt;0,0,N(INDEX('CURVA PREVISION'!$A$1:$KZ$3000,$C38,10+3*MIN(BI$3,$D$2-1)))))</f>
        <v/>
      </c>
      <c r="BJ38" s="55">
        <f>IF(OR($C38="",$B$2="",$D$2=0),0,IF(BJ$3&lt;0,0,N(INDEX('CURVA PREVISION'!$A$1:$KZ$3000,$C38,10+3*MIN(BJ$3,$D$2-1)))))</f>
        <v/>
      </c>
      <c r="BK38" s="55">
        <f>IF(OR($C38="",$B$2="",$D$2=0),0,IF(BK$3&lt;0,0,N(INDEX('CURVA PREVISION'!$A$1:$KZ$3000,$C38,10+3*MIN(BK$3,$D$2-1)))))</f>
        <v/>
      </c>
      <c r="BL38" s="55">
        <f>IF(OR($C38="",$B$2="",$D$2=0),0,IF(BL$3&lt;0,0,N(INDEX('CURVA PREVISION'!$A$1:$KZ$3000,$C38,10+3*MIN(BL$3,$D$2-1)))))</f>
        <v/>
      </c>
      <c r="BM38" s="55">
        <f>IF(OR($C38="",$B$2="",$D$2=0),0,IF(BM$3&lt;0,0,N(INDEX('CURVA PREVISION'!$A$1:$KZ$3000,$C38,10+3*MIN(BM$3,$D$2-1)))))</f>
        <v/>
      </c>
      <c r="BN38" s="55">
        <f>IF(OR($C38="",$B$2="",$D$2=0),0,IF(BN$3&lt;0,0,N(INDEX('CURVA PREVISION'!$A$1:$KZ$3000,$C38,10+3*MIN(BN$3,$D$2-1)))))</f>
        <v/>
      </c>
      <c r="BO38" s="55">
        <f>IF(OR($C38="",$B$2="",$D$2=0),0,IF(BO$3&lt;0,0,N(INDEX('CURVA PREVISION'!$A$1:$KZ$3000,$C38,10+3*MIN(BO$3,$D$2-1)))))</f>
        <v/>
      </c>
      <c r="BP38" s="55">
        <f>IF(OR($C38="",$B$2="",$D$2=0),0,IF(BP$3&lt;0,0,N(INDEX('CURVA PREVISION'!$A$1:$KZ$3000,$C38,10+3*MIN(BP$3,$D$2-1)))))</f>
        <v/>
      </c>
      <c r="BQ38" s="55">
        <f>IF(OR($C38="",$B$2="",$D$2=0),0,IF(BQ$3&lt;0,0,N(INDEX('CURVA PREVISION'!$A$1:$KZ$3000,$C38,10+3*MIN(BQ$3,$D$2-1)))))</f>
        <v/>
      </c>
      <c r="BR38" s="55">
        <f>IF(OR($C38="",$B$2="",$D$2=0),0,IF(BR$3&lt;0,0,N(INDEX('CURVA PREVISION'!$A$1:$KZ$3000,$C38,10+3*MIN(BR$3,$D$2-1)))))</f>
        <v/>
      </c>
      <c r="BS38" s="55">
        <f>IF(OR($C38="",$B$2="",$D$2=0),0,IF(BS$3&lt;0,0,N(INDEX('CURVA PREVISION'!$A$1:$KZ$3000,$C38,10+3*MIN(BS$3,$D$2-1)))))</f>
        <v/>
      </c>
      <c r="BT38" s="55">
        <f>IF(OR($C38="",$B$2="",$D$2=0),0,IF(BT$3&lt;0,0,N(INDEX('CURVA PREVISION'!$A$1:$KZ$3000,$C38,10+3*MIN(BT$3,$D$2-1)))))</f>
        <v/>
      </c>
      <c r="BU38" s="55">
        <f>IF(OR($C38="",$B$2="",$D$2=0),0,IF(BU$3&lt;0,0,N(INDEX('CURVA PREVISION'!$A$1:$KZ$3000,$C38,10+3*MIN(BU$3,$D$2-1)))))</f>
        <v/>
      </c>
      <c r="BV38" s="55">
        <f>IF(OR($C38="",$B$2="",$D$2=0),0,IF(BV$3&lt;0,0,N(INDEX('CURVA PREVISION'!$A$1:$KZ$3000,$C38,10+3*MIN(BV$3,$D$2-1)))))</f>
        <v/>
      </c>
      <c r="BW38" s="55">
        <f>IF(OR($C38="",$B$2="",$D$2=0),0,IF(BW$3&lt;0,0,N(INDEX('CURVA PREVISION'!$A$1:$KZ$3000,$C38,10+3*MIN(BW$3,$D$2-1)))))</f>
        <v/>
      </c>
    </row>
    <row r="39">
      <c r="A39" s="34">
        <f>'VALOR POR PL'!C45</f>
        <v/>
      </c>
      <c r="B39" s="34">
        <f>'VALOR POR PL'!D45</f>
        <v/>
      </c>
      <c r="C39" s="28">
        <f>IFERROR(MATCH(A39,'CURVA PREVISION'!$B$1:$B$3000,0),"")</f>
        <v/>
      </c>
      <c r="D39" s="55">
        <f>IF(OR($C39="",$B$2="",$D$2=0),0,IF(D$3&lt;0,0,N(INDEX('CURVA PREVISION'!$A$1:$KZ$3000,$C39,10+3*MIN(D$3,$D$2-1)))))</f>
        <v/>
      </c>
      <c r="E39" s="55">
        <f>IF(OR($C39="",$B$2="",$D$2=0),0,IF(E$3&lt;0,0,N(INDEX('CURVA PREVISION'!$A$1:$KZ$3000,$C39,10+3*MIN(E$3,$D$2-1)))))</f>
        <v/>
      </c>
      <c r="F39" s="55">
        <f>IF(OR($C39="",$B$2="",$D$2=0),0,IF(F$3&lt;0,0,N(INDEX('CURVA PREVISION'!$A$1:$KZ$3000,$C39,10+3*MIN(F$3,$D$2-1)))))</f>
        <v/>
      </c>
      <c r="G39" s="55">
        <f>IF(OR($C39="",$B$2="",$D$2=0),0,IF(G$3&lt;0,0,N(INDEX('CURVA PREVISION'!$A$1:$KZ$3000,$C39,10+3*MIN(G$3,$D$2-1)))))</f>
        <v/>
      </c>
      <c r="H39" s="55">
        <f>IF(OR($C39="",$B$2="",$D$2=0),0,IF(H$3&lt;0,0,N(INDEX('CURVA PREVISION'!$A$1:$KZ$3000,$C39,10+3*MIN(H$3,$D$2-1)))))</f>
        <v/>
      </c>
      <c r="I39" s="55">
        <f>IF(OR($C39="",$B$2="",$D$2=0),0,IF(I$3&lt;0,0,N(INDEX('CURVA PREVISION'!$A$1:$KZ$3000,$C39,10+3*MIN(I$3,$D$2-1)))))</f>
        <v/>
      </c>
      <c r="J39" s="55">
        <f>IF(OR($C39="",$B$2="",$D$2=0),0,IF(J$3&lt;0,0,N(INDEX('CURVA PREVISION'!$A$1:$KZ$3000,$C39,10+3*MIN(J$3,$D$2-1)))))</f>
        <v/>
      </c>
      <c r="K39" s="55">
        <f>IF(OR($C39="",$B$2="",$D$2=0),0,IF(K$3&lt;0,0,N(INDEX('CURVA PREVISION'!$A$1:$KZ$3000,$C39,10+3*MIN(K$3,$D$2-1)))))</f>
        <v/>
      </c>
      <c r="L39" s="55">
        <f>IF(OR($C39="",$B$2="",$D$2=0),0,IF(L$3&lt;0,0,N(INDEX('CURVA PREVISION'!$A$1:$KZ$3000,$C39,10+3*MIN(L$3,$D$2-1)))))</f>
        <v/>
      </c>
      <c r="M39" s="55">
        <f>IF(OR($C39="",$B$2="",$D$2=0),0,IF(M$3&lt;0,0,N(INDEX('CURVA PREVISION'!$A$1:$KZ$3000,$C39,10+3*MIN(M$3,$D$2-1)))))</f>
        <v/>
      </c>
      <c r="N39" s="55">
        <f>IF(OR($C39="",$B$2="",$D$2=0),0,IF(N$3&lt;0,0,N(INDEX('CURVA PREVISION'!$A$1:$KZ$3000,$C39,10+3*MIN(N$3,$D$2-1)))))</f>
        <v/>
      </c>
      <c r="O39" s="55">
        <f>IF(OR($C39="",$B$2="",$D$2=0),0,IF(O$3&lt;0,0,N(INDEX('CURVA PREVISION'!$A$1:$KZ$3000,$C39,10+3*MIN(O$3,$D$2-1)))))</f>
        <v/>
      </c>
      <c r="P39" s="55">
        <f>IF(OR($C39="",$B$2="",$D$2=0),0,IF(P$3&lt;0,0,N(INDEX('CURVA PREVISION'!$A$1:$KZ$3000,$C39,10+3*MIN(P$3,$D$2-1)))))</f>
        <v/>
      </c>
      <c r="Q39" s="55">
        <f>IF(OR($C39="",$B$2="",$D$2=0),0,IF(Q$3&lt;0,0,N(INDEX('CURVA PREVISION'!$A$1:$KZ$3000,$C39,10+3*MIN(Q$3,$D$2-1)))))</f>
        <v/>
      </c>
      <c r="R39" s="55">
        <f>IF(OR($C39="",$B$2="",$D$2=0),0,IF(R$3&lt;0,0,N(INDEX('CURVA PREVISION'!$A$1:$KZ$3000,$C39,10+3*MIN(R$3,$D$2-1)))))</f>
        <v/>
      </c>
      <c r="S39" s="55">
        <f>IF(OR($C39="",$B$2="",$D$2=0),0,IF(S$3&lt;0,0,N(INDEX('CURVA PREVISION'!$A$1:$KZ$3000,$C39,10+3*MIN(S$3,$D$2-1)))))</f>
        <v/>
      </c>
      <c r="T39" s="55">
        <f>IF(OR($C39="",$B$2="",$D$2=0),0,IF(T$3&lt;0,0,N(INDEX('CURVA PREVISION'!$A$1:$KZ$3000,$C39,10+3*MIN(T$3,$D$2-1)))))</f>
        <v/>
      </c>
      <c r="U39" s="55">
        <f>IF(OR($C39="",$B$2="",$D$2=0),0,IF(U$3&lt;0,0,N(INDEX('CURVA PREVISION'!$A$1:$KZ$3000,$C39,10+3*MIN(U$3,$D$2-1)))))</f>
        <v/>
      </c>
      <c r="V39" s="55">
        <f>IF(OR($C39="",$B$2="",$D$2=0),0,IF(V$3&lt;0,0,N(INDEX('CURVA PREVISION'!$A$1:$KZ$3000,$C39,10+3*MIN(V$3,$D$2-1)))))</f>
        <v/>
      </c>
      <c r="W39" s="55">
        <f>IF(OR($C39="",$B$2="",$D$2=0),0,IF(W$3&lt;0,0,N(INDEX('CURVA PREVISION'!$A$1:$KZ$3000,$C39,10+3*MIN(W$3,$D$2-1)))))</f>
        <v/>
      </c>
      <c r="X39" s="55">
        <f>IF(OR($C39="",$B$2="",$D$2=0),0,IF(X$3&lt;0,0,N(INDEX('CURVA PREVISION'!$A$1:$KZ$3000,$C39,10+3*MIN(X$3,$D$2-1)))))</f>
        <v/>
      </c>
      <c r="Y39" s="55">
        <f>IF(OR($C39="",$B$2="",$D$2=0),0,IF(Y$3&lt;0,0,N(INDEX('CURVA PREVISION'!$A$1:$KZ$3000,$C39,10+3*MIN(Y$3,$D$2-1)))))</f>
        <v/>
      </c>
      <c r="Z39" s="55">
        <f>IF(OR($C39="",$B$2="",$D$2=0),0,IF(Z$3&lt;0,0,N(INDEX('CURVA PREVISION'!$A$1:$KZ$3000,$C39,10+3*MIN(Z$3,$D$2-1)))))</f>
        <v/>
      </c>
      <c r="AA39" s="55">
        <f>IF(OR($C39="",$B$2="",$D$2=0),0,IF(AA$3&lt;0,0,N(INDEX('CURVA PREVISION'!$A$1:$KZ$3000,$C39,10+3*MIN(AA$3,$D$2-1)))))</f>
        <v/>
      </c>
      <c r="AB39" s="55">
        <f>IF(OR($C39="",$B$2="",$D$2=0),0,IF(AB$3&lt;0,0,N(INDEX('CURVA PREVISION'!$A$1:$KZ$3000,$C39,10+3*MIN(AB$3,$D$2-1)))))</f>
        <v/>
      </c>
      <c r="AC39" s="55">
        <f>IF(OR($C39="",$B$2="",$D$2=0),0,IF(AC$3&lt;0,0,N(INDEX('CURVA PREVISION'!$A$1:$KZ$3000,$C39,10+3*MIN(AC$3,$D$2-1)))))</f>
        <v/>
      </c>
      <c r="AD39" s="55">
        <f>IF(OR($C39="",$B$2="",$D$2=0),0,IF(AD$3&lt;0,0,N(INDEX('CURVA PREVISION'!$A$1:$KZ$3000,$C39,10+3*MIN(AD$3,$D$2-1)))))</f>
        <v/>
      </c>
      <c r="AE39" s="55">
        <f>IF(OR($C39="",$B$2="",$D$2=0),0,IF(AE$3&lt;0,0,N(INDEX('CURVA PREVISION'!$A$1:$KZ$3000,$C39,10+3*MIN(AE$3,$D$2-1)))))</f>
        <v/>
      </c>
      <c r="AF39" s="55">
        <f>IF(OR($C39="",$B$2="",$D$2=0),0,IF(AF$3&lt;0,0,N(INDEX('CURVA PREVISION'!$A$1:$KZ$3000,$C39,10+3*MIN(AF$3,$D$2-1)))))</f>
        <v/>
      </c>
      <c r="AG39" s="55">
        <f>IF(OR($C39="",$B$2="",$D$2=0),0,IF(AG$3&lt;0,0,N(INDEX('CURVA PREVISION'!$A$1:$KZ$3000,$C39,10+3*MIN(AG$3,$D$2-1)))))</f>
        <v/>
      </c>
      <c r="AH39" s="55">
        <f>IF(OR($C39="",$B$2="",$D$2=0),0,IF(AH$3&lt;0,0,N(INDEX('CURVA PREVISION'!$A$1:$KZ$3000,$C39,10+3*MIN(AH$3,$D$2-1)))))</f>
        <v/>
      </c>
      <c r="AI39" s="55">
        <f>IF(OR($C39="",$B$2="",$D$2=0),0,IF(AI$3&lt;0,0,N(INDEX('CURVA PREVISION'!$A$1:$KZ$3000,$C39,10+3*MIN(AI$3,$D$2-1)))))</f>
        <v/>
      </c>
      <c r="AJ39" s="55">
        <f>IF(OR($C39="",$B$2="",$D$2=0),0,IF(AJ$3&lt;0,0,N(INDEX('CURVA PREVISION'!$A$1:$KZ$3000,$C39,10+3*MIN(AJ$3,$D$2-1)))))</f>
        <v/>
      </c>
      <c r="AK39" s="55">
        <f>IF(OR($C39="",$B$2="",$D$2=0),0,IF(AK$3&lt;0,0,N(INDEX('CURVA PREVISION'!$A$1:$KZ$3000,$C39,10+3*MIN(AK$3,$D$2-1)))))</f>
        <v/>
      </c>
      <c r="AL39" s="55">
        <f>IF(OR($C39="",$B$2="",$D$2=0),0,IF(AL$3&lt;0,0,N(INDEX('CURVA PREVISION'!$A$1:$KZ$3000,$C39,10+3*MIN(AL$3,$D$2-1)))))</f>
        <v/>
      </c>
      <c r="AM39" s="55">
        <f>IF(OR($C39="",$B$2="",$D$2=0),0,IF(AM$3&lt;0,0,N(INDEX('CURVA PREVISION'!$A$1:$KZ$3000,$C39,10+3*MIN(AM$3,$D$2-1)))))</f>
        <v/>
      </c>
      <c r="AN39" s="55">
        <f>IF(OR($C39="",$B$2="",$D$2=0),0,IF(AN$3&lt;0,0,N(INDEX('CURVA PREVISION'!$A$1:$KZ$3000,$C39,10+3*MIN(AN$3,$D$2-1)))))</f>
        <v/>
      </c>
      <c r="AO39" s="55">
        <f>IF(OR($C39="",$B$2="",$D$2=0),0,IF(AO$3&lt;0,0,N(INDEX('CURVA PREVISION'!$A$1:$KZ$3000,$C39,10+3*MIN(AO$3,$D$2-1)))))</f>
        <v/>
      </c>
      <c r="AP39" s="55">
        <f>IF(OR($C39="",$B$2="",$D$2=0),0,IF(AP$3&lt;0,0,N(INDEX('CURVA PREVISION'!$A$1:$KZ$3000,$C39,10+3*MIN(AP$3,$D$2-1)))))</f>
        <v/>
      </c>
      <c r="AQ39" s="55">
        <f>IF(OR($C39="",$B$2="",$D$2=0),0,IF(AQ$3&lt;0,0,N(INDEX('CURVA PREVISION'!$A$1:$KZ$3000,$C39,10+3*MIN(AQ$3,$D$2-1)))))</f>
        <v/>
      </c>
      <c r="AR39" s="55">
        <f>IF(OR($C39="",$B$2="",$D$2=0),0,IF(AR$3&lt;0,0,N(INDEX('CURVA PREVISION'!$A$1:$KZ$3000,$C39,10+3*MIN(AR$3,$D$2-1)))))</f>
        <v/>
      </c>
      <c r="AS39" s="55">
        <f>IF(OR($C39="",$B$2="",$D$2=0),0,IF(AS$3&lt;0,0,N(INDEX('CURVA PREVISION'!$A$1:$KZ$3000,$C39,10+3*MIN(AS$3,$D$2-1)))))</f>
        <v/>
      </c>
      <c r="AT39" s="55">
        <f>IF(OR($C39="",$B$2="",$D$2=0),0,IF(AT$3&lt;0,0,N(INDEX('CURVA PREVISION'!$A$1:$KZ$3000,$C39,10+3*MIN(AT$3,$D$2-1)))))</f>
        <v/>
      </c>
      <c r="AU39" s="55">
        <f>IF(OR($C39="",$B$2="",$D$2=0),0,IF(AU$3&lt;0,0,N(INDEX('CURVA PREVISION'!$A$1:$KZ$3000,$C39,10+3*MIN(AU$3,$D$2-1)))))</f>
        <v/>
      </c>
      <c r="AV39" s="55">
        <f>IF(OR($C39="",$B$2="",$D$2=0),0,IF(AV$3&lt;0,0,N(INDEX('CURVA PREVISION'!$A$1:$KZ$3000,$C39,10+3*MIN(AV$3,$D$2-1)))))</f>
        <v/>
      </c>
      <c r="AW39" s="55">
        <f>IF(OR($C39="",$B$2="",$D$2=0),0,IF(AW$3&lt;0,0,N(INDEX('CURVA PREVISION'!$A$1:$KZ$3000,$C39,10+3*MIN(AW$3,$D$2-1)))))</f>
        <v/>
      </c>
      <c r="AX39" s="55">
        <f>IF(OR($C39="",$B$2="",$D$2=0),0,IF(AX$3&lt;0,0,N(INDEX('CURVA PREVISION'!$A$1:$KZ$3000,$C39,10+3*MIN(AX$3,$D$2-1)))))</f>
        <v/>
      </c>
      <c r="AY39" s="55">
        <f>IF(OR($C39="",$B$2="",$D$2=0),0,IF(AY$3&lt;0,0,N(INDEX('CURVA PREVISION'!$A$1:$KZ$3000,$C39,10+3*MIN(AY$3,$D$2-1)))))</f>
        <v/>
      </c>
      <c r="AZ39" s="55">
        <f>IF(OR($C39="",$B$2="",$D$2=0),0,IF(AZ$3&lt;0,0,N(INDEX('CURVA PREVISION'!$A$1:$KZ$3000,$C39,10+3*MIN(AZ$3,$D$2-1)))))</f>
        <v/>
      </c>
      <c r="BA39" s="55">
        <f>IF(OR($C39="",$B$2="",$D$2=0),0,IF(BA$3&lt;0,0,N(INDEX('CURVA PREVISION'!$A$1:$KZ$3000,$C39,10+3*MIN(BA$3,$D$2-1)))))</f>
        <v/>
      </c>
      <c r="BB39" s="55">
        <f>IF(OR($C39="",$B$2="",$D$2=0),0,IF(BB$3&lt;0,0,N(INDEX('CURVA PREVISION'!$A$1:$KZ$3000,$C39,10+3*MIN(BB$3,$D$2-1)))))</f>
        <v/>
      </c>
      <c r="BC39" s="55">
        <f>IF(OR($C39="",$B$2="",$D$2=0),0,IF(BC$3&lt;0,0,N(INDEX('CURVA PREVISION'!$A$1:$KZ$3000,$C39,10+3*MIN(BC$3,$D$2-1)))))</f>
        <v/>
      </c>
      <c r="BD39" s="55">
        <f>IF(OR($C39="",$B$2="",$D$2=0),0,IF(BD$3&lt;0,0,N(INDEX('CURVA PREVISION'!$A$1:$KZ$3000,$C39,10+3*MIN(BD$3,$D$2-1)))))</f>
        <v/>
      </c>
      <c r="BE39" s="55">
        <f>IF(OR($C39="",$B$2="",$D$2=0),0,IF(BE$3&lt;0,0,N(INDEX('CURVA PREVISION'!$A$1:$KZ$3000,$C39,10+3*MIN(BE$3,$D$2-1)))))</f>
        <v/>
      </c>
      <c r="BF39" s="55">
        <f>IF(OR($C39="",$B$2="",$D$2=0),0,IF(BF$3&lt;0,0,N(INDEX('CURVA PREVISION'!$A$1:$KZ$3000,$C39,10+3*MIN(BF$3,$D$2-1)))))</f>
        <v/>
      </c>
      <c r="BG39" s="55">
        <f>IF(OR($C39="",$B$2="",$D$2=0),0,IF(BG$3&lt;0,0,N(INDEX('CURVA PREVISION'!$A$1:$KZ$3000,$C39,10+3*MIN(BG$3,$D$2-1)))))</f>
        <v/>
      </c>
      <c r="BH39" s="55">
        <f>IF(OR($C39="",$B$2="",$D$2=0),0,IF(BH$3&lt;0,0,N(INDEX('CURVA PREVISION'!$A$1:$KZ$3000,$C39,10+3*MIN(BH$3,$D$2-1)))))</f>
        <v/>
      </c>
      <c r="BI39" s="55">
        <f>IF(OR($C39="",$B$2="",$D$2=0),0,IF(BI$3&lt;0,0,N(INDEX('CURVA PREVISION'!$A$1:$KZ$3000,$C39,10+3*MIN(BI$3,$D$2-1)))))</f>
        <v/>
      </c>
      <c r="BJ39" s="55">
        <f>IF(OR($C39="",$B$2="",$D$2=0),0,IF(BJ$3&lt;0,0,N(INDEX('CURVA PREVISION'!$A$1:$KZ$3000,$C39,10+3*MIN(BJ$3,$D$2-1)))))</f>
        <v/>
      </c>
      <c r="BK39" s="55">
        <f>IF(OR($C39="",$B$2="",$D$2=0),0,IF(BK$3&lt;0,0,N(INDEX('CURVA PREVISION'!$A$1:$KZ$3000,$C39,10+3*MIN(BK$3,$D$2-1)))))</f>
        <v/>
      </c>
      <c r="BL39" s="55">
        <f>IF(OR($C39="",$B$2="",$D$2=0),0,IF(BL$3&lt;0,0,N(INDEX('CURVA PREVISION'!$A$1:$KZ$3000,$C39,10+3*MIN(BL$3,$D$2-1)))))</f>
        <v/>
      </c>
      <c r="BM39" s="55">
        <f>IF(OR($C39="",$B$2="",$D$2=0),0,IF(BM$3&lt;0,0,N(INDEX('CURVA PREVISION'!$A$1:$KZ$3000,$C39,10+3*MIN(BM$3,$D$2-1)))))</f>
        <v/>
      </c>
      <c r="BN39" s="55">
        <f>IF(OR($C39="",$B$2="",$D$2=0),0,IF(BN$3&lt;0,0,N(INDEX('CURVA PREVISION'!$A$1:$KZ$3000,$C39,10+3*MIN(BN$3,$D$2-1)))))</f>
        <v/>
      </c>
      <c r="BO39" s="55">
        <f>IF(OR($C39="",$B$2="",$D$2=0),0,IF(BO$3&lt;0,0,N(INDEX('CURVA PREVISION'!$A$1:$KZ$3000,$C39,10+3*MIN(BO$3,$D$2-1)))))</f>
        <v/>
      </c>
      <c r="BP39" s="55">
        <f>IF(OR($C39="",$B$2="",$D$2=0),0,IF(BP$3&lt;0,0,N(INDEX('CURVA PREVISION'!$A$1:$KZ$3000,$C39,10+3*MIN(BP$3,$D$2-1)))))</f>
        <v/>
      </c>
      <c r="BQ39" s="55">
        <f>IF(OR($C39="",$B$2="",$D$2=0),0,IF(BQ$3&lt;0,0,N(INDEX('CURVA PREVISION'!$A$1:$KZ$3000,$C39,10+3*MIN(BQ$3,$D$2-1)))))</f>
        <v/>
      </c>
      <c r="BR39" s="55">
        <f>IF(OR($C39="",$B$2="",$D$2=0),0,IF(BR$3&lt;0,0,N(INDEX('CURVA PREVISION'!$A$1:$KZ$3000,$C39,10+3*MIN(BR$3,$D$2-1)))))</f>
        <v/>
      </c>
      <c r="BS39" s="55">
        <f>IF(OR($C39="",$B$2="",$D$2=0),0,IF(BS$3&lt;0,0,N(INDEX('CURVA PREVISION'!$A$1:$KZ$3000,$C39,10+3*MIN(BS$3,$D$2-1)))))</f>
        <v/>
      </c>
      <c r="BT39" s="55">
        <f>IF(OR($C39="",$B$2="",$D$2=0),0,IF(BT$3&lt;0,0,N(INDEX('CURVA PREVISION'!$A$1:$KZ$3000,$C39,10+3*MIN(BT$3,$D$2-1)))))</f>
        <v/>
      </c>
      <c r="BU39" s="55">
        <f>IF(OR($C39="",$B$2="",$D$2=0),0,IF(BU$3&lt;0,0,N(INDEX('CURVA PREVISION'!$A$1:$KZ$3000,$C39,10+3*MIN(BU$3,$D$2-1)))))</f>
        <v/>
      </c>
      <c r="BV39" s="55">
        <f>IF(OR($C39="",$B$2="",$D$2=0),0,IF(BV$3&lt;0,0,N(INDEX('CURVA PREVISION'!$A$1:$KZ$3000,$C39,10+3*MIN(BV$3,$D$2-1)))))</f>
        <v/>
      </c>
      <c r="BW39" s="55">
        <f>IF(OR($C39="",$B$2="",$D$2=0),0,IF(BW$3&lt;0,0,N(INDEX('CURVA PREVISION'!$A$1:$KZ$3000,$C39,10+3*MIN(BW$3,$D$2-1)))))</f>
        <v/>
      </c>
    </row>
    <row r="40">
      <c r="A40" s="34">
        <f>'VALOR POR PL'!C46</f>
        <v/>
      </c>
      <c r="B40" s="34">
        <f>'VALOR POR PL'!D46</f>
        <v/>
      </c>
      <c r="C40" s="28">
        <f>IFERROR(MATCH(A40,'CURVA PREVISION'!$B$1:$B$3000,0),"")</f>
        <v/>
      </c>
      <c r="D40" s="55">
        <f>IF(OR($C40="",$B$2="",$D$2=0),0,IF(D$3&lt;0,0,N(INDEX('CURVA PREVISION'!$A$1:$KZ$3000,$C40,10+3*MIN(D$3,$D$2-1)))))</f>
        <v/>
      </c>
      <c r="E40" s="55">
        <f>IF(OR($C40="",$B$2="",$D$2=0),0,IF(E$3&lt;0,0,N(INDEX('CURVA PREVISION'!$A$1:$KZ$3000,$C40,10+3*MIN(E$3,$D$2-1)))))</f>
        <v/>
      </c>
      <c r="F40" s="55">
        <f>IF(OR($C40="",$B$2="",$D$2=0),0,IF(F$3&lt;0,0,N(INDEX('CURVA PREVISION'!$A$1:$KZ$3000,$C40,10+3*MIN(F$3,$D$2-1)))))</f>
        <v/>
      </c>
      <c r="G40" s="55">
        <f>IF(OR($C40="",$B$2="",$D$2=0),0,IF(G$3&lt;0,0,N(INDEX('CURVA PREVISION'!$A$1:$KZ$3000,$C40,10+3*MIN(G$3,$D$2-1)))))</f>
        <v/>
      </c>
      <c r="H40" s="55">
        <f>IF(OR($C40="",$B$2="",$D$2=0),0,IF(H$3&lt;0,0,N(INDEX('CURVA PREVISION'!$A$1:$KZ$3000,$C40,10+3*MIN(H$3,$D$2-1)))))</f>
        <v/>
      </c>
      <c r="I40" s="55">
        <f>IF(OR($C40="",$B$2="",$D$2=0),0,IF(I$3&lt;0,0,N(INDEX('CURVA PREVISION'!$A$1:$KZ$3000,$C40,10+3*MIN(I$3,$D$2-1)))))</f>
        <v/>
      </c>
      <c r="J40" s="55">
        <f>IF(OR($C40="",$B$2="",$D$2=0),0,IF(J$3&lt;0,0,N(INDEX('CURVA PREVISION'!$A$1:$KZ$3000,$C40,10+3*MIN(J$3,$D$2-1)))))</f>
        <v/>
      </c>
      <c r="K40" s="55">
        <f>IF(OR($C40="",$B$2="",$D$2=0),0,IF(K$3&lt;0,0,N(INDEX('CURVA PREVISION'!$A$1:$KZ$3000,$C40,10+3*MIN(K$3,$D$2-1)))))</f>
        <v/>
      </c>
      <c r="L40" s="55">
        <f>IF(OR($C40="",$B$2="",$D$2=0),0,IF(L$3&lt;0,0,N(INDEX('CURVA PREVISION'!$A$1:$KZ$3000,$C40,10+3*MIN(L$3,$D$2-1)))))</f>
        <v/>
      </c>
      <c r="M40" s="55">
        <f>IF(OR($C40="",$B$2="",$D$2=0),0,IF(M$3&lt;0,0,N(INDEX('CURVA PREVISION'!$A$1:$KZ$3000,$C40,10+3*MIN(M$3,$D$2-1)))))</f>
        <v/>
      </c>
      <c r="N40" s="55">
        <f>IF(OR($C40="",$B$2="",$D$2=0),0,IF(N$3&lt;0,0,N(INDEX('CURVA PREVISION'!$A$1:$KZ$3000,$C40,10+3*MIN(N$3,$D$2-1)))))</f>
        <v/>
      </c>
      <c r="O40" s="55">
        <f>IF(OR($C40="",$B$2="",$D$2=0),0,IF(O$3&lt;0,0,N(INDEX('CURVA PREVISION'!$A$1:$KZ$3000,$C40,10+3*MIN(O$3,$D$2-1)))))</f>
        <v/>
      </c>
      <c r="P40" s="55">
        <f>IF(OR($C40="",$B$2="",$D$2=0),0,IF(P$3&lt;0,0,N(INDEX('CURVA PREVISION'!$A$1:$KZ$3000,$C40,10+3*MIN(P$3,$D$2-1)))))</f>
        <v/>
      </c>
      <c r="Q40" s="55">
        <f>IF(OR($C40="",$B$2="",$D$2=0),0,IF(Q$3&lt;0,0,N(INDEX('CURVA PREVISION'!$A$1:$KZ$3000,$C40,10+3*MIN(Q$3,$D$2-1)))))</f>
        <v/>
      </c>
      <c r="R40" s="55">
        <f>IF(OR($C40="",$B$2="",$D$2=0),0,IF(R$3&lt;0,0,N(INDEX('CURVA PREVISION'!$A$1:$KZ$3000,$C40,10+3*MIN(R$3,$D$2-1)))))</f>
        <v/>
      </c>
      <c r="S40" s="55">
        <f>IF(OR($C40="",$B$2="",$D$2=0),0,IF(S$3&lt;0,0,N(INDEX('CURVA PREVISION'!$A$1:$KZ$3000,$C40,10+3*MIN(S$3,$D$2-1)))))</f>
        <v/>
      </c>
      <c r="T40" s="55">
        <f>IF(OR($C40="",$B$2="",$D$2=0),0,IF(T$3&lt;0,0,N(INDEX('CURVA PREVISION'!$A$1:$KZ$3000,$C40,10+3*MIN(T$3,$D$2-1)))))</f>
        <v/>
      </c>
      <c r="U40" s="55">
        <f>IF(OR($C40="",$B$2="",$D$2=0),0,IF(U$3&lt;0,0,N(INDEX('CURVA PREVISION'!$A$1:$KZ$3000,$C40,10+3*MIN(U$3,$D$2-1)))))</f>
        <v/>
      </c>
      <c r="V40" s="55">
        <f>IF(OR($C40="",$B$2="",$D$2=0),0,IF(V$3&lt;0,0,N(INDEX('CURVA PREVISION'!$A$1:$KZ$3000,$C40,10+3*MIN(V$3,$D$2-1)))))</f>
        <v/>
      </c>
      <c r="W40" s="55">
        <f>IF(OR($C40="",$B$2="",$D$2=0),0,IF(W$3&lt;0,0,N(INDEX('CURVA PREVISION'!$A$1:$KZ$3000,$C40,10+3*MIN(W$3,$D$2-1)))))</f>
        <v/>
      </c>
      <c r="X40" s="55">
        <f>IF(OR($C40="",$B$2="",$D$2=0),0,IF(X$3&lt;0,0,N(INDEX('CURVA PREVISION'!$A$1:$KZ$3000,$C40,10+3*MIN(X$3,$D$2-1)))))</f>
        <v/>
      </c>
      <c r="Y40" s="55">
        <f>IF(OR($C40="",$B$2="",$D$2=0),0,IF(Y$3&lt;0,0,N(INDEX('CURVA PREVISION'!$A$1:$KZ$3000,$C40,10+3*MIN(Y$3,$D$2-1)))))</f>
        <v/>
      </c>
      <c r="Z40" s="55">
        <f>IF(OR($C40="",$B$2="",$D$2=0),0,IF(Z$3&lt;0,0,N(INDEX('CURVA PREVISION'!$A$1:$KZ$3000,$C40,10+3*MIN(Z$3,$D$2-1)))))</f>
        <v/>
      </c>
      <c r="AA40" s="55">
        <f>IF(OR($C40="",$B$2="",$D$2=0),0,IF(AA$3&lt;0,0,N(INDEX('CURVA PREVISION'!$A$1:$KZ$3000,$C40,10+3*MIN(AA$3,$D$2-1)))))</f>
        <v/>
      </c>
      <c r="AB40" s="55">
        <f>IF(OR($C40="",$B$2="",$D$2=0),0,IF(AB$3&lt;0,0,N(INDEX('CURVA PREVISION'!$A$1:$KZ$3000,$C40,10+3*MIN(AB$3,$D$2-1)))))</f>
        <v/>
      </c>
      <c r="AC40" s="55">
        <f>IF(OR($C40="",$B$2="",$D$2=0),0,IF(AC$3&lt;0,0,N(INDEX('CURVA PREVISION'!$A$1:$KZ$3000,$C40,10+3*MIN(AC$3,$D$2-1)))))</f>
        <v/>
      </c>
      <c r="AD40" s="55">
        <f>IF(OR($C40="",$B$2="",$D$2=0),0,IF(AD$3&lt;0,0,N(INDEX('CURVA PREVISION'!$A$1:$KZ$3000,$C40,10+3*MIN(AD$3,$D$2-1)))))</f>
        <v/>
      </c>
      <c r="AE40" s="55">
        <f>IF(OR($C40="",$B$2="",$D$2=0),0,IF(AE$3&lt;0,0,N(INDEX('CURVA PREVISION'!$A$1:$KZ$3000,$C40,10+3*MIN(AE$3,$D$2-1)))))</f>
        <v/>
      </c>
      <c r="AF40" s="55">
        <f>IF(OR($C40="",$B$2="",$D$2=0),0,IF(AF$3&lt;0,0,N(INDEX('CURVA PREVISION'!$A$1:$KZ$3000,$C40,10+3*MIN(AF$3,$D$2-1)))))</f>
        <v/>
      </c>
      <c r="AG40" s="55">
        <f>IF(OR($C40="",$B$2="",$D$2=0),0,IF(AG$3&lt;0,0,N(INDEX('CURVA PREVISION'!$A$1:$KZ$3000,$C40,10+3*MIN(AG$3,$D$2-1)))))</f>
        <v/>
      </c>
      <c r="AH40" s="55">
        <f>IF(OR($C40="",$B$2="",$D$2=0),0,IF(AH$3&lt;0,0,N(INDEX('CURVA PREVISION'!$A$1:$KZ$3000,$C40,10+3*MIN(AH$3,$D$2-1)))))</f>
        <v/>
      </c>
      <c r="AI40" s="55">
        <f>IF(OR($C40="",$B$2="",$D$2=0),0,IF(AI$3&lt;0,0,N(INDEX('CURVA PREVISION'!$A$1:$KZ$3000,$C40,10+3*MIN(AI$3,$D$2-1)))))</f>
        <v/>
      </c>
      <c r="AJ40" s="55">
        <f>IF(OR($C40="",$B$2="",$D$2=0),0,IF(AJ$3&lt;0,0,N(INDEX('CURVA PREVISION'!$A$1:$KZ$3000,$C40,10+3*MIN(AJ$3,$D$2-1)))))</f>
        <v/>
      </c>
      <c r="AK40" s="55">
        <f>IF(OR($C40="",$B$2="",$D$2=0),0,IF(AK$3&lt;0,0,N(INDEX('CURVA PREVISION'!$A$1:$KZ$3000,$C40,10+3*MIN(AK$3,$D$2-1)))))</f>
        <v/>
      </c>
      <c r="AL40" s="55">
        <f>IF(OR($C40="",$B$2="",$D$2=0),0,IF(AL$3&lt;0,0,N(INDEX('CURVA PREVISION'!$A$1:$KZ$3000,$C40,10+3*MIN(AL$3,$D$2-1)))))</f>
        <v/>
      </c>
      <c r="AM40" s="55">
        <f>IF(OR($C40="",$B$2="",$D$2=0),0,IF(AM$3&lt;0,0,N(INDEX('CURVA PREVISION'!$A$1:$KZ$3000,$C40,10+3*MIN(AM$3,$D$2-1)))))</f>
        <v/>
      </c>
      <c r="AN40" s="55">
        <f>IF(OR($C40="",$B$2="",$D$2=0),0,IF(AN$3&lt;0,0,N(INDEX('CURVA PREVISION'!$A$1:$KZ$3000,$C40,10+3*MIN(AN$3,$D$2-1)))))</f>
        <v/>
      </c>
      <c r="AO40" s="55">
        <f>IF(OR($C40="",$B$2="",$D$2=0),0,IF(AO$3&lt;0,0,N(INDEX('CURVA PREVISION'!$A$1:$KZ$3000,$C40,10+3*MIN(AO$3,$D$2-1)))))</f>
        <v/>
      </c>
      <c r="AP40" s="55">
        <f>IF(OR($C40="",$B$2="",$D$2=0),0,IF(AP$3&lt;0,0,N(INDEX('CURVA PREVISION'!$A$1:$KZ$3000,$C40,10+3*MIN(AP$3,$D$2-1)))))</f>
        <v/>
      </c>
      <c r="AQ40" s="55">
        <f>IF(OR($C40="",$B$2="",$D$2=0),0,IF(AQ$3&lt;0,0,N(INDEX('CURVA PREVISION'!$A$1:$KZ$3000,$C40,10+3*MIN(AQ$3,$D$2-1)))))</f>
        <v/>
      </c>
      <c r="AR40" s="55">
        <f>IF(OR($C40="",$B$2="",$D$2=0),0,IF(AR$3&lt;0,0,N(INDEX('CURVA PREVISION'!$A$1:$KZ$3000,$C40,10+3*MIN(AR$3,$D$2-1)))))</f>
        <v/>
      </c>
      <c r="AS40" s="55">
        <f>IF(OR($C40="",$B$2="",$D$2=0),0,IF(AS$3&lt;0,0,N(INDEX('CURVA PREVISION'!$A$1:$KZ$3000,$C40,10+3*MIN(AS$3,$D$2-1)))))</f>
        <v/>
      </c>
      <c r="AT40" s="55">
        <f>IF(OR($C40="",$B$2="",$D$2=0),0,IF(AT$3&lt;0,0,N(INDEX('CURVA PREVISION'!$A$1:$KZ$3000,$C40,10+3*MIN(AT$3,$D$2-1)))))</f>
        <v/>
      </c>
      <c r="AU40" s="55">
        <f>IF(OR($C40="",$B$2="",$D$2=0),0,IF(AU$3&lt;0,0,N(INDEX('CURVA PREVISION'!$A$1:$KZ$3000,$C40,10+3*MIN(AU$3,$D$2-1)))))</f>
        <v/>
      </c>
      <c r="AV40" s="55">
        <f>IF(OR($C40="",$B$2="",$D$2=0),0,IF(AV$3&lt;0,0,N(INDEX('CURVA PREVISION'!$A$1:$KZ$3000,$C40,10+3*MIN(AV$3,$D$2-1)))))</f>
        <v/>
      </c>
      <c r="AW40" s="55">
        <f>IF(OR($C40="",$B$2="",$D$2=0),0,IF(AW$3&lt;0,0,N(INDEX('CURVA PREVISION'!$A$1:$KZ$3000,$C40,10+3*MIN(AW$3,$D$2-1)))))</f>
        <v/>
      </c>
      <c r="AX40" s="55">
        <f>IF(OR($C40="",$B$2="",$D$2=0),0,IF(AX$3&lt;0,0,N(INDEX('CURVA PREVISION'!$A$1:$KZ$3000,$C40,10+3*MIN(AX$3,$D$2-1)))))</f>
        <v/>
      </c>
      <c r="AY40" s="55">
        <f>IF(OR($C40="",$B$2="",$D$2=0),0,IF(AY$3&lt;0,0,N(INDEX('CURVA PREVISION'!$A$1:$KZ$3000,$C40,10+3*MIN(AY$3,$D$2-1)))))</f>
        <v/>
      </c>
      <c r="AZ40" s="55">
        <f>IF(OR($C40="",$B$2="",$D$2=0),0,IF(AZ$3&lt;0,0,N(INDEX('CURVA PREVISION'!$A$1:$KZ$3000,$C40,10+3*MIN(AZ$3,$D$2-1)))))</f>
        <v/>
      </c>
      <c r="BA40" s="55">
        <f>IF(OR($C40="",$B$2="",$D$2=0),0,IF(BA$3&lt;0,0,N(INDEX('CURVA PREVISION'!$A$1:$KZ$3000,$C40,10+3*MIN(BA$3,$D$2-1)))))</f>
        <v/>
      </c>
      <c r="BB40" s="55">
        <f>IF(OR($C40="",$B$2="",$D$2=0),0,IF(BB$3&lt;0,0,N(INDEX('CURVA PREVISION'!$A$1:$KZ$3000,$C40,10+3*MIN(BB$3,$D$2-1)))))</f>
        <v/>
      </c>
      <c r="BC40" s="55">
        <f>IF(OR($C40="",$B$2="",$D$2=0),0,IF(BC$3&lt;0,0,N(INDEX('CURVA PREVISION'!$A$1:$KZ$3000,$C40,10+3*MIN(BC$3,$D$2-1)))))</f>
        <v/>
      </c>
      <c r="BD40" s="55">
        <f>IF(OR($C40="",$B$2="",$D$2=0),0,IF(BD$3&lt;0,0,N(INDEX('CURVA PREVISION'!$A$1:$KZ$3000,$C40,10+3*MIN(BD$3,$D$2-1)))))</f>
        <v/>
      </c>
      <c r="BE40" s="55">
        <f>IF(OR($C40="",$B$2="",$D$2=0),0,IF(BE$3&lt;0,0,N(INDEX('CURVA PREVISION'!$A$1:$KZ$3000,$C40,10+3*MIN(BE$3,$D$2-1)))))</f>
        <v/>
      </c>
      <c r="BF40" s="55">
        <f>IF(OR($C40="",$B$2="",$D$2=0),0,IF(BF$3&lt;0,0,N(INDEX('CURVA PREVISION'!$A$1:$KZ$3000,$C40,10+3*MIN(BF$3,$D$2-1)))))</f>
        <v/>
      </c>
      <c r="BG40" s="55">
        <f>IF(OR($C40="",$B$2="",$D$2=0),0,IF(BG$3&lt;0,0,N(INDEX('CURVA PREVISION'!$A$1:$KZ$3000,$C40,10+3*MIN(BG$3,$D$2-1)))))</f>
        <v/>
      </c>
      <c r="BH40" s="55">
        <f>IF(OR($C40="",$B$2="",$D$2=0),0,IF(BH$3&lt;0,0,N(INDEX('CURVA PREVISION'!$A$1:$KZ$3000,$C40,10+3*MIN(BH$3,$D$2-1)))))</f>
        <v/>
      </c>
      <c r="BI40" s="55">
        <f>IF(OR($C40="",$B$2="",$D$2=0),0,IF(BI$3&lt;0,0,N(INDEX('CURVA PREVISION'!$A$1:$KZ$3000,$C40,10+3*MIN(BI$3,$D$2-1)))))</f>
        <v/>
      </c>
      <c r="BJ40" s="55">
        <f>IF(OR($C40="",$B$2="",$D$2=0),0,IF(BJ$3&lt;0,0,N(INDEX('CURVA PREVISION'!$A$1:$KZ$3000,$C40,10+3*MIN(BJ$3,$D$2-1)))))</f>
        <v/>
      </c>
      <c r="BK40" s="55">
        <f>IF(OR($C40="",$B$2="",$D$2=0),0,IF(BK$3&lt;0,0,N(INDEX('CURVA PREVISION'!$A$1:$KZ$3000,$C40,10+3*MIN(BK$3,$D$2-1)))))</f>
        <v/>
      </c>
      <c r="BL40" s="55">
        <f>IF(OR($C40="",$B$2="",$D$2=0),0,IF(BL$3&lt;0,0,N(INDEX('CURVA PREVISION'!$A$1:$KZ$3000,$C40,10+3*MIN(BL$3,$D$2-1)))))</f>
        <v/>
      </c>
      <c r="BM40" s="55">
        <f>IF(OR($C40="",$B$2="",$D$2=0),0,IF(BM$3&lt;0,0,N(INDEX('CURVA PREVISION'!$A$1:$KZ$3000,$C40,10+3*MIN(BM$3,$D$2-1)))))</f>
        <v/>
      </c>
      <c r="BN40" s="55">
        <f>IF(OR($C40="",$B$2="",$D$2=0),0,IF(BN$3&lt;0,0,N(INDEX('CURVA PREVISION'!$A$1:$KZ$3000,$C40,10+3*MIN(BN$3,$D$2-1)))))</f>
        <v/>
      </c>
      <c r="BO40" s="55">
        <f>IF(OR($C40="",$B$2="",$D$2=0),0,IF(BO$3&lt;0,0,N(INDEX('CURVA PREVISION'!$A$1:$KZ$3000,$C40,10+3*MIN(BO$3,$D$2-1)))))</f>
        <v/>
      </c>
      <c r="BP40" s="55">
        <f>IF(OR($C40="",$B$2="",$D$2=0),0,IF(BP$3&lt;0,0,N(INDEX('CURVA PREVISION'!$A$1:$KZ$3000,$C40,10+3*MIN(BP$3,$D$2-1)))))</f>
        <v/>
      </c>
      <c r="BQ40" s="55">
        <f>IF(OR($C40="",$B$2="",$D$2=0),0,IF(BQ$3&lt;0,0,N(INDEX('CURVA PREVISION'!$A$1:$KZ$3000,$C40,10+3*MIN(BQ$3,$D$2-1)))))</f>
        <v/>
      </c>
      <c r="BR40" s="55">
        <f>IF(OR($C40="",$B$2="",$D$2=0),0,IF(BR$3&lt;0,0,N(INDEX('CURVA PREVISION'!$A$1:$KZ$3000,$C40,10+3*MIN(BR$3,$D$2-1)))))</f>
        <v/>
      </c>
      <c r="BS40" s="55">
        <f>IF(OR($C40="",$B$2="",$D$2=0),0,IF(BS$3&lt;0,0,N(INDEX('CURVA PREVISION'!$A$1:$KZ$3000,$C40,10+3*MIN(BS$3,$D$2-1)))))</f>
        <v/>
      </c>
      <c r="BT40" s="55">
        <f>IF(OR($C40="",$B$2="",$D$2=0),0,IF(BT$3&lt;0,0,N(INDEX('CURVA PREVISION'!$A$1:$KZ$3000,$C40,10+3*MIN(BT$3,$D$2-1)))))</f>
        <v/>
      </c>
      <c r="BU40" s="55">
        <f>IF(OR($C40="",$B$2="",$D$2=0),0,IF(BU$3&lt;0,0,N(INDEX('CURVA PREVISION'!$A$1:$KZ$3000,$C40,10+3*MIN(BU$3,$D$2-1)))))</f>
        <v/>
      </c>
      <c r="BV40" s="55">
        <f>IF(OR($C40="",$B$2="",$D$2=0),0,IF(BV$3&lt;0,0,N(INDEX('CURVA PREVISION'!$A$1:$KZ$3000,$C40,10+3*MIN(BV$3,$D$2-1)))))</f>
        <v/>
      </c>
      <c r="BW40" s="55">
        <f>IF(OR($C40="",$B$2="",$D$2=0),0,IF(BW$3&lt;0,0,N(INDEX('CURVA PREVISION'!$A$1:$KZ$3000,$C40,10+3*MIN(BW$3,$D$2-1)))))</f>
        <v/>
      </c>
    </row>
    <row r="41">
      <c r="A41" s="34">
        <f>'VALOR POR PL'!C47</f>
        <v/>
      </c>
      <c r="B41" s="34">
        <f>'VALOR POR PL'!D47</f>
        <v/>
      </c>
      <c r="C41" s="28">
        <f>IFERROR(MATCH(A41,'CURVA PREVISION'!$B$1:$B$3000,0),"")</f>
        <v/>
      </c>
      <c r="D41" s="55">
        <f>IF(OR($C41="",$B$2="",$D$2=0),0,IF(D$3&lt;0,0,N(INDEX('CURVA PREVISION'!$A$1:$KZ$3000,$C41,10+3*MIN(D$3,$D$2-1)))))</f>
        <v/>
      </c>
      <c r="E41" s="55">
        <f>IF(OR($C41="",$B$2="",$D$2=0),0,IF(E$3&lt;0,0,N(INDEX('CURVA PREVISION'!$A$1:$KZ$3000,$C41,10+3*MIN(E$3,$D$2-1)))))</f>
        <v/>
      </c>
      <c r="F41" s="55">
        <f>IF(OR($C41="",$B$2="",$D$2=0),0,IF(F$3&lt;0,0,N(INDEX('CURVA PREVISION'!$A$1:$KZ$3000,$C41,10+3*MIN(F$3,$D$2-1)))))</f>
        <v/>
      </c>
      <c r="G41" s="55">
        <f>IF(OR($C41="",$B$2="",$D$2=0),0,IF(G$3&lt;0,0,N(INDEX('CURVA PREVISION'!$A$1:$KZ$3000,$C41,10+3*MIN(G$3,$D$2-1)))))</f>
        <v/>
      </c>
      <c r="H41" s="55">
        <f>IF(OR($C41="",$B$2="",$D$2=0),0,IF(H$3&lt;0,0,N(INDEX('CURVA PREVISION'!$A$1:$KZ$3000,$C41,10+3*MIN(H$3,$D$2-1)))))</f>
        <v/>
      </c>
      <c r="I41" s="55">
        <f>IF(OR($C41="",$B$2="",$D$2=0),0,IF(I$3&lt;0,0,N(INDEX('CURVA PREVISION'!$A$1:$KZ$3000,$C41,10+3*MIN(I$3,$D$2-1)))))</f>
        <v/>
      </c>
      <c r="J41" s="55">
        <f>IF(OR($C41="",$B$2="",$D$2=0),0,IF(J$3&lt;0,0,N(INDEX('CURVA PREVISION'!$A$1:$KZ$3000,$C41,10+3*MIN(J$3,$D$2-1)))))</f>
        <v/>
      </c>
      <c r="K41" s="55">
        <f>IF(OR($C41="",$B$2="",$D$2=0),0,IF(K$3&lt;0,0,N(INDEX('CURVA PREVISION'!$A$1:$KZ$3000,$C41,10+3*MIN(K$3,$D$2-1)))))</f>
        <v/>
      </c>
      <c r="L41" s="55">
        <f>IF(OR($C41="",$B$2="",$D$2=0),0,IF(L$3&lt;0,0,N(INDEX('CURVA PREVISION'!$A$1:$KZ$3000,$C41,10+3*MIN(L$3,$D$2-1)))))</f>
        <v/>
      </c>
      <c r="M41" s="55">
        <f>IF(OR($C41="",$B$2="",$D$2=0),0,IF(M$3&lt;0,0,N(INDEX('CURVA PREVISION'!$A$1:$KZ$3000,$C41,10+3*MIN(M$3,$D$2-1)))))</f>
        <v/>
      </c>
      <c r="N41" s="55">
        <f>IF(OR($C41="",$B$2="",$D$2=0),0,IF(N$3&lt;0,0,N(INDEX('CURVA PREVISION'!$A$1:$KZ$3000,$C41,10+3*MIN(N$3,$D$2-1)))))</f>
        <v/>
      </c>
      <c r="O41" s="55">
        <f>IF(OR($C41="",$B$2="",$D$2=0),0,IF(O$3&lt;0,0,N(INDEX('CURVA PREVISION'!$A$1:$KZ$3000,$C41,10+3*MIN(O$3,$D$2-1)))))</f>
        <v/>
      </c>
      <c r="P41" s="55">
        <f>IF(OR($C41="",$B$2="",$D$2=0),0,IF(P$3&lt;0,0,N(INDEX('CURVA PREVISION'!$A$1:$KZ$3000,$C41,10+3*MIN(P$3,$D$2-1)))))</f>
        <v/>
      </c>
      <c r="Q41" s="55">
        <f>IF(OR($C41="",$B$2="",$D$2=0),0,IF(Q$3&lt;0,0,N(INDEX('CURVA PREVISION'!$A$1:$KZ$3000,$C41,10+3*MIN(Q$3,$D$2-1)))))</f>
        <v/>
      </c>
      <c r="R41" s="55">
        <f>IF(OR($C41="",$B$2="",$D$2=0),0,IF(R$3&lt;0,0,N(INDEX('CURVA PREVISION'!$A$1:$KZ$3000,$C41,10+3*MIN(R$3,$D$2-1)))))</f>
        <v/>
      </c>
      <c r="S41" s="55">
        <f>IF(OR($C41="",$B$2="",$D$2=0),0,IF(S$3&lt;0,0,N(INDEX('CURVA PREVISION'!$A$1:$KZ$3000,$C41,10+3*MIN(S$3,$D$2-1)))))</f>
        <v/>
      </c>
      <c r="T41" s="55">
        <f>IF(OR($C41="",$B$2="",$D$2=0),0,IF(T$3&lt;0,0,N(INDEX('CURVA PREVISION'!$A$1:$KZ$3000,$C41,10+3*MIN(T$3,$D$2-1)))))</f>
        <v/>
      </c>
      <c r="U41" s="55">
        <f>IF(OR($C41="",$B$2="",$D$2=0),0,IF(U$3&lt;0,0,N(INDEX('CURVA PREVISION'!$A$1:$KZ$3000,$C41,10+3*MIN(U$3,$D$2-1)))))</f>
        <v/>
      </c>
      <c r="V41" s="55">
        <f>IF(OR($C41="",$B$2="",$D$2=0),0,IF(V$3&lt;0,0,N(INDEX('CURVA PREVISION'!$A$1:$KZ$3000,$C41,10+3*MIN(V$3,$D$2-1)))))</f>
        <v/>
      </c>
      <c r="W41" s="55">
        <f>IF(OR($C41="",$B$2="",$D$2=0),0,IF(W$3&lt;0,0,N(INDEX('CURVA PREVISION'!$A$1:$KZ$3000,$C41,10+3*MIN(W$3,$D$2-1)))))</f>
        <v/>
      </c>
      <c r="X41" s="55">
        <f>IF(OR($C41="",$B$2="",$D$2=0),0,IF(X$3&lt;0,0,N(INDEX('CURVA PREVISION'!$A$1:$KZ$3000,$C41,10+3*MIN(X$3,$D$2-1)))))</f>
        <v/>
      </c>
      <c r="Y41" s="55">
        <f>IF(OR($C41="",$B$2="",$D$2=0),0,IF(Y$3&lt;0,0,N(INDEX('CURVA PREVISION'!$A$1:$KZ$3000,$C41,10+3*MIN(Y$3,$D$2-1)))))</f>
        <v/>
      </c>
      <c r="Z41" s="55">
        <f>IF(OR($C41="",$B$2="",$D$2=0),0,IF(Z$3&lt;0,0,N(INDEX('CURVA PREVISION'!$A$1:$KZ$3000,$C41,10+3*MIN(Z$3,$D$2-1)))))</f>
        <v/>
      </c>
      <c r="AA41" s="55">
        <f>IF(OR($C41="",$B$2="",$D$2=0),0,IF(AA$3&lt;0,0,N(INDEX('CURVA PREVISION'!$A$1:$KZ$3000,$C41,10+3*MIN(AA$3,$D$2-1)))))</f>
        <v/>
      </c>
      <c r="AB41" s="55">
        <f>IF(OR($C41="",$B$2="",$D$2=0),0,IF(AB$3&lt;0,0,N(INDEX('CURVA PREVISION'!$A$1:$KZ$3000,$C41,10+3*MIN(AB$3,$D$2-1)))))</f>
        <v/>
      </c>
      <c r="AC41" s="55">
        <f>IF(OR($C41="",$B$2="",$D$2=0),0,IF(AC$3&lt;0,0,N(INDEX('CURVA PREVISION'!$A$1:$KZ$3000,$C41,10+3*MIN(AC$3,$D$2-1)))))</f>
        <v/>
      </c>
      <c r="AD41" s="55">
        <f>IF(OR($C41="",$B$2="",$D$2=0),0,IF(AD$3&lt;0,0,N(INDEX('CURVA PREVISION'!$A$1:$KZ$3000,$C41,10+3*MIN(AD$3,$D$2-1)))))</f>
        <v/>
      </c>
      <c r="AE41" s="55">
        <f>IF(OR($C41="",$B$2="",$D$2=0),0,IF(AE$3&lt;0,0,N(INDEX('CURVA PREVISION'!$A$1:$KZ$3000,$C41,10+3*MIN(AE$3,$D$2-1)))))</f>
        <v/>
      </c>
      <c r="AF41" s="55">
        <f>IF(OR($C41="",$B$2="",$D$2=0),0,IF(AF$3&lt;0,0,N(INDEX('CURVA PREVISION'!$A$1:$KZ$3000,$C41,10+3*MIN(AF$3,$D$2-1)))))</f>
        <v/>
      </c>
      <c r="AG41" s="55">
        <f>IF(OR($C41="",$B$2="",$D$2=0),0,IF(AG$3&lt;0,0,N(INDEX('CURVA PREVISION'!$A$1:$KZ$3000,$C41,10+3*MIN(AG$3,$D$2-1)))))</f>
        <v/>
      </c>
      <c r="AH41" s="55">
        <f>IF(OR($C41="",$B$2="",$D$2=0),0,IF(AH$3&lt;0,0,N(INDEX('CURVA PREVISION'!$A$1:$KZ$3000,$C41,10+3*MIN(AH$3,$D$2-1)))))</f>
        <v/>
      </c>
      <c r="AI41" s="55">
        <f>IF(OR($C41="",$B$2="",$D$2=0),0,IF(AI$3&lt;0,0,N(INDEX('CURVA PREVISION'!$A$1:$KZ$3000,$C41,10+3*MIN(AI$3,$D$2-1)))))</f>
        <v/>
      </c>
      <c r="AJ41" s="55">
        <f>IF(OR($C41="",$B$2="",$D$2=0),0,IF(AJ$3&lt;0,0,N(INDEX('CURVA PREVISION'!$A$1:$KZ$3000,$C41,10+3*MIN(AJ$3,$D$2-1)))))</f>
        <v/>
      </c>
      <c r="AK41" s="55">
        <f>IF(OR($C41="",$B$2="",$D$2=0),0,IF(AK$3&lt;0,0,N(INDEX('CURVA PREVISION'!$A$1:$KZ$3000,$C41,10+3*MIN(AK$3,$D$2-1)))))</f>
        <v/>
      </c>
      <c r="AL41" s="55">
        <f>IF(OR($C41="",$B$2="",$D$2=0),0,IF(AL$3&lt;0,0,N(INDEX('CURVA PREVISION'!$A$1:$KZ$3000,$C41,10+3*MIN(AL$3,$D$2-1)))))</f>
        <v/>
      </c>
      <c r="AM41" s="55">
        <f>IF(OR($C41="",$B$2="",$D$2=0),0,IF(AM$3&lt;0,0,N(INDEX('CURVA PREVISION'!$A$1:$KZ$3000,$C41,10+3*MIN(AM$3,$D$2-1)))))</f>
        <v/>
      </c>
      <c r="AN41" s="55">
        <f>IF(OR($C41="",$B$2="",$D$2=0),0,IF(AN$3&lt;0,0,N(INDEX('CURVA PREVISION'!$A$1:$KZ$3000,$C41,10+3*MIN(AN$3,$D$2-1)))))</f>
        <v/>
      </c>
      <c r="AO41" s="55">
        <f>IF(OR($C41="",$B$2="",$D$2=0),0,IF(AO$3&lt;0,0,N(INDEX('CURVA PREVISION'!$A$1:$KZ$3000,$C41,10+3*MIN(AO$3,$D$2-1)))))</f>
        <v/>
      </c>
      <c r="AP41" s="55">
        <f>IF(OR($C41="",$B$2="",$D$2=0),0,IF(AP$3&lt;0,0,N(INDEX('CURVA PREVISION'!$A$1:$KZ$3000,$C41,10+3*MIN(AP$3,$D$2-1)))))</f>
        <v/>
      </c>
      <c r="AQ41" s="55">
        <f>IF(OR($C41="",$B$2="",$D$2=0),0,IF(AQ$3&lt;0,0,N(INDEX('CURVA PREVISION'!$A$1:$KZ$3000,$C41,10+3*MIN(AQ$3,$D$2-1)))))</f>
        <v/>
      </c>
      <c r="AR41" s="55">
        <f>IF(OR($C41="",$B$2="",$D$2=0),0,IF(AR$3&lt;0,0,N(INDEX('CURVA PREVISION'!$A$1:$KZ$3000,$C41,10+3*MIN(AR$3,$D$2-1)))))</f>
        <v/>
      </c>
      <c r="AS41" s="55">
        <f>IF(OR($C41="",$B$2="",$D$2=0),0,IF(AS$3&lt;0,0,N(INDEX('CURVA PREVISION'!$A$1:$KZ$3000,$C41,10+3*MIN(AS$3,$D$2-1)))))</f>
        <v/>
      </c>
      <c r="AT41" s="55">
        <f>IF(OR($C41="",$B$2="",$D$2=0),0,IF(AT$3&lt;0,0,N(INDEX('CURVA PREVISION'!$A$1:$KZ$3000,$C41,10+3*MIN(AT$3,$D$2-1)))))</f>
        <v/>
      </c>
      <c r="AU41" s="55">
        <f>IF(OR($C41="",$B$2="",$D$2=0),0,IF(AU$3&lt;0,0,N(INDEX('CURVA PREVISION'!$A$1:$KZ$3000,$C41,10+3*MIN(AU$3,$D$2-1)))))</f>
        <v/>
      </c>
      <c r="AV41" s="55">
        <f>IF(OR($C41="",$B$2="",$D$2=0),0,IF(AV$3&lt;0,0,N(INDEX('CURVA PREVISION'!$A$1:$KZ$3000,$C41,10+3*MIN(AV$3,$D$2-1)))))</f>
        <v/>
      </c>
      <c r="AW41" s="55">
        <f>IF(OR($C41="",$B$2="",$D$2=0),0,IF(AW$3&lt;0,0,N(INDEX('CURVA PREVISION'!$A$1:$KZ$3000,$C41,10+3*MIN(AW$3,$D$2-1)))))</f>
        <v/>
      </c>
      <c r="AX41" s="55">
        <f>IF(OR($C41="",$B$2="",$D$2=0),0,IF(AX$3&lt;0,0,N(INDEX('CURVA PREVISION'!$A$1:$KZ$3000,$C41,10+3*MIN(AX$3,$D$2-1)))))</f>
        <v/>
      </c>
      <c r="AY41" s="55">
        <f>IF(OR($C41="",$B$2="",$D$2=0),0,IF(AY$3&lt;0,0,N(INDEX('CURVA PREVISION'!$A$1:$KZ$3000,$C41,10+3*MIN(AY$3,$D$2-1)))))</f>
        <v/>
      </c>
      <c r="AZ41" s="55">
        <f>IF(OR($C41="",$B$2="",$D$2=0),0,IF(AZ$3&lt;0,0,N(INDEX('CURVA PREVISION'!$A$1:$KZ$3000,$C41,10+3*MIN(AZ$3,$D$2-1)))))</f>
        <v/>
      </c>
      <c r="BA41" s="55">
        <f>IF(OR($C41="",$B$2="",$D$2=0),0,IF(BA$3&lt;0,0,N(INDEX('CURVA PREVISION'!$A$1:$KZ$3000,$C41,10+3*MIN(BA$3,$D$2-1)))))</f>
        <v/>
      </c>
      <c r="BB41" s="55">
        <f>IF(OR($C41="",$B$2="",$D$2=0),0,IF(BB$3&lt;0,0,N(INDEX('CURVA PREVISION'!$A$1:$KZ$3000,$C41,10+3*MIN(BB$3,$D$2-1)))))</f>
        <v/>
      </c>
      <c r="BC41" s="55">
        <f>IF(OR($C41="",$B$2="",$D$2=0),0,IF(BC$3&lt;0,0,N(INDEX('CURVA PREVISION'!$A$1:$KZ$3000,$C41,10+3*MIN(BC$3,$D$2-1)))))</f>
        <v/>
      </c>
      <c r="BD41" s="55">
        <f>IF(OR($C41="",$B$2="",$D$2=0),0,IF(BD$3&lt;0,0,N(INDEX('CURVA PREVISION'!$A$1:$KZ$3000,$C41,10+3*MIN(BD$3,$D$2-1)))))</f>
        <v/>
      </c>
      <c r="BE41" s="55">
        <f>IF(OR($C41="",$B$2="",$D$2=0),0,IF(BE$3&lt;0,0,N(INDEX('CURVA PREVISION'!$A$1:$KZ$3000,$C41,10+3*MIN(BE$3,$D$2-1)))))</f>
        <v/>
      </c>
      <c r="BF41" s="55">
        <f>IF(OR($C41="",$B$2="",$D$2=0),0,IF(BF$3&lt;0,0,N(INDEX('CURVA PREVISION'!$A$1:$KZ$3000,$C41,10+3*MIN(BF$3,$D$2-1)))))</f>
        <v/>
      </c>
      <c r="BG41" s="55">
        <f>IF(OR($C41="",$B$2="",$D$2=0),0,IF(BG$3&lt;0,0,N(INDEX('CURVA PREVISION'!$A$1:$KZ$3000,$C41,10+3*MIN(BG$3,$D$2-1)))))</f>
        <v/>
      </c>
      <c r="BH41" s="55">
        <f>IF(OR($C41="",$B$2="",$D$2=0),0,IF(BH$3&lt;0,0,N(INDEX('CURVA PREVISION'!$A$1:$KZ$3000,$C41,10+3*MIN(BH$3,$D$2-1)))))</f>
        <v/>
      </c>
      <c r="BI41" s="55">
        <f>IF(OR($C41="",$B$2="",$D$2=0),0,IF(BI$3&lt;0,0,N(INDEX('CURVA PREVISION'!$A$1:$KZ$3000,$C41,10+3*MIN(BI$3,$D$2-1)))))</f>
        <v/>
      </c>
      <c r="BJ41" s="55">
        <f>IF(OR($C41="",$B$2="",$D$2=0),0,IF(BJ$3&lt;0,0,N(INDEX('CURVA PREVISION'!$A$1:$KZ$3000,$C41,10+3*MIN(BJ$3,$D$2-1)))))</f>
        <v/>
      </c>
      <c r="BK41" s="55">
        <f>IF(OR($C41="",$B$2="",$D$2=0),0,IF(BK$3&lt;0,0,N(INDEX('CURVA PREVISION'!$A$1:$KZ$3000,$C41,10+3*MIN(BK$3,$D$2-1)))))</f>
        <v/>
      </c>
      <c r="BL41" s="55">
        <f>IF(OR($C41="",$B$2="",$D$2=0),0,IF(BL$3&lt;0,0,N(INDEX('CURVA PREVISION'!$A$1:$KZ$3000,$C41,10+3*MIN(BL$3,$D$2-1)))))</f>
        <v/>
      </c>
      <c r="BM41" s="55">
        <f>IF(OR($C41="",$B$2="",$D$2=0),0,IF(BM$3&lt;0,0,N(INDEX('CURVA PREVISION'!$A$1:$KZ$3000,$C41,10+3*MIN(BM$3,$D$2-1)))))</f>
        <v/>
      </c>
      <c r="BN41" s="55">
        <f>IF(OR($C41="",$B$2="",$D$2=0),0,IF(BN$3&lt;0,0,N(INDEX('CURVA PREVISION'!$A$1:$KZ$3000,$C41,10+3*MIN(BN$3,$D$2-1)))))</f>
        <v/>
      </c>
      <c r="BO41" s="55">
        <f>IF(OR($C41="",$B$2="",$D$2=0),0,IF(BO$3&lt;0,0,N(INDEX('CURVA PREVISION'!$A$1:$KZ$3000,$C41,10+3*MIN(BO$3,$D$2-1)))))</f>
        <v/>
      </c>
      <c r="BP41" s="55">
        <f>IF(OR($C41="",$B$2="",$D$2=0),0,IF(BP$3&lt;0,0,N(INDEX('CURVA PREVISION'!$A$1:$KZ$3000,$C41,10+3*MIN(BP$3,$D$2-1)))))</f>
        <v/>
      </c>
      <c r="BQ41" s="55">
        <f>IF(OR($C41="",$B$2="",$D$2=0),0,IF(BQ$3&lt;0,0,N(INDEX('CURVA PREVISION'!$A$1:$KZ$3000,$C41,10+3*MIN(BQ$3,$D$2-1)))))</f>
        <v/>
      </c>
      <c r="BR41" s="55">
        <f>IF(OR($C41="",$B$2="",$D$2=0),0,IF(BR$3&lt;0,0,N(INDEX('CURVA PREVISION'!$A$1:$KZ$3000,$C41,10+3*MIN(BR$3,$D$2-1)))))</f>
        <v/>
      </c>
      <c r="BS41" s="55">
        <f>IF(OR($C41="",$B$2="",$D$2=0),0,IF(BS$3&lt;0,0,N(INDEX('CURVA PREVISION'!$A$1:$KZ$3000,$C41,10+3*MIN(BS$3,$D$2-1)))))</f>
        <v/>
      </c>
      <c r="BT41" s="55">
        <f>IF(OR($C41="",$B$2="",$D$2=0),0,IF(BT$3&lt;0,0,N(INDEX('CURVA PREVISION'!$A$1:$KZ$3000,$C41,10+3*MIN(BT$3,$D$2-1)))))</f>
        <v/>
      </c>
      <c r="BU41" s="55">
        <f>IF(OR($C41="",$B$2="",$D$2=0),0,IF(BU$3&lt;0,0,N(INDEX('CURVA PREVISION'!$A$1:$KZ$3000,$C41,10+3*MIN(BU$3,$D$2-1)))))</f>
        <v/>
      </c>
      <c r="BV41" s="55">
        <f>IF(OR($C41="",$B$2="",$D$2=0),0,IF(BV$3&lt;0,0,N(INDEX('CURVA PREVISION'!$A$1:$KZ$3000,$C41,10+3*MIN(BV$3,$D$2-1)))))</f>
        <v/>
      </c>
      <c r="BW41" s="55">
        <f>IF(OR($C41="",$B$2="",$D$2=0),0,IF(BW$3&lt;0,0,N(INDEX('CURVA PREVISION'!$A$1:$KZ$3000,$C41,10+3*MIN(BW$3,$D$2-1)))))</f>
        <v/>
      </c>
    </row>
    <row r="42">
      <c r="A42" s="34">
        <f>'VALOR POR PL'!C48</f>
        <v/>
      </c>
      <c r="B42" s="34">
        <f>'VALOR POR PL'!D48</f>
        <v/>
      </c>
      <c r="C42" s="28">
        <f>IFERROR(MATCH(A42,'CURVA PREVISION'!$B$1:$B$3000,0),"")</f>
        <v/>
      </c>
      <c r="D42" s="55">
        <f>IF(OR($C42="",$B$2="",$D$2=0),0,IF(D$3&lt;0,0,N(INDEX('CURVA PREVISION'!$A$1:$KZ$3000,$C42,10+3*MIN(D$3,$D$2-1)))))</f>
        <v/>
      </c>
      <c r="E42" s="55">
        <f>IF(OR($C42="",$B$2="",$D$2=0),0,IF(E$3&lt;0,0,N(INDEX('CURVA PREVISION'!$A$1:$KZ$3000,$C42,10+3*MIN(E$3,$D$2-1)))))</f>
        <v/>
      </c>
      <c r="F42" s="55">
        <f>IF(OR($C42="",$B$2="",$D$2=0),0,IF(F$3&lt;0,0,N(INDEX('CURVA PREVISION'!$A$1:$KZ$3000,$C42,10+3*MIN(F$3,$D$2-1)))))</f>
        <v/>
      </c>
      <c r="G42" s="55">
        <f>IF(OR($C42="",$B$2="",$D$2=0),0,IF(G$3&lt;0,0,N(INDEX('CURVA PREVISION'!$A$1:$KZ$3000,$C42,10+3*MIN(G$3,$D$2-1)))))</f>
        <v/>
      </c>
      <c r="H42" s="55">
        <f>IF(OR($C42="",$B$2="",$D$2=0),0,IF(H$3&lt;0,0,N(INDEX('CURVA PREVISION'!$A$1:$KZ$3000,$C42,10+3*MIN(H$3,$D$2-1)))))</f>
        <v/>
      </c>
      <c r="I42" s="55">
        <f>IF(OR($C42="",$B$2="",$D$2=0),0,IF(I$3&lt;0,0,N(INDEX('CURVA PREVISION'!$A$1:$KZ$3000,$C42,10+3*MIN(I$3,$D$2-1)))))</f>
        <v/>
      </c>
      <c r="J42" s="55">
        <f>IF(OR($C42="",$B$2="",$D$2=0),0,IF(J$3&lt;0,0,N(INDEX('CURVA PREVISION'!$A$1:$KZ$3000,$C42,10+3*MIN(J$3,$D$2-1)))))</f>
        <v/>
      </c>
      <c r="K42" s="55">
        <f>IF(OR($C42="",$B$2="",$D$2=0),0,IF(K$3&lt;0,0,N(INDEX('CURVA PREVISION'!$A$1:$KZ$3000,$C42,10+3*MIN(K$3,$D$2-1)))))</f>
        <v/>
      </c>
      <c r="L42" s="55">
        <f>IF(OR($C42="",$B$2="",$D$2=0),0,IF(L$3&lt;0,0,N(INDEX('CURVA PREVISION'!$A$1:$KZ$3000,$C42,10+3*MIN(L$3,$D$2-1)))))</f>
        <v/>
      </c>
      <c r="M42" s="55">
        <f>IF(OR($C42="",$B$2="",$D$2=0),0,IF(M$3&lt;0,0,N(INDEX('CURVA PREVISION'!$A$1:$KZ$3000,$C42,10+3*MIN(M$3,$D$2-1)))))</f>
        <v/>
      </c>
      <c r="N42" s="55">
        <f>IF(OR($C42="",$B$2="",$D$2=0),0,IF(N$3&lt;0,0,N(INDEX('CURVA PREVISION'!$A$1:$KZ$3000,$C42,10+3*MIN(N$3,$D$2-1)))))</f>
        <v/>
      </c>
      <c r="O42" s="55">
        <f>IF(OR($C42="",$B$2="",$D$2=0),0,IF(O$3&lt;0,0,N(INDEX('CURVA PREVISION'!$A$1:$KZ$3000,$C42,10+3*MIN(O$3,$D$2-1)))))</f>
        <v/>
      </c>
      <c r="P42" s="55">
        <f>IF(OR($C42="",$B$2="",$D$2=0),0,IF(P$3&lt;0,0,N(INDEX('CURVA PREVISION'!$A$1:$KZ$3000,$C42,10+3*MIN(P$3,$D$2-1)))))</f>
        <v/>
      </c>
      <c r="Q42" s="55">
        <f>IF(OR($C42="",$B$2="",$D$2=0),0,IF(Q$3&lt;0,0,N(INDEX('CURVA PREVISION'!$A$1:$KZ$3000,$C42,10+3*MIN(Q$3,$D$2-1)))))</f>
        <v/>
      </c>
      <c r="R42" s="55">
        <f>IF(OR($C42="",$B$2="",$D$2=0),0,IF(R$3&lt;0,0,N(INDEX('CURVA PREVISION'!$A$1:$KZ$3000,$C42,10+3*MIN(R$3,$D$2-1)))))</f>
        <v/>
      </c>
      <c r="S42" s="55">
        <f>IF(OR($C42="",$B$2="",$D$2=0),0,IF(S$3&lt;0,0,N(INDEX('CURVA PREVISION'!$A$1:$KZ$3000,$C42,10+3*MIN(S$3,$D$2-1)))))</f>
        <v/>
      </c>
      <c r="T42" s="55">
        <f>IF(OR($C42="",$B$2="",$D$2=0),0,IF(T$3&lt;0,0,N(INDEX('CURVA PREVISION'!$A$1:$KZ$3000,$C42,10+3*MIN(T$3,$D$2-1)))))</f>
        <v/>
      </c>
      <c r="U42" s="55">
        <f>IF(OR($C42="",$B$2="",$D$2=0),0,IF(U$3&lt;0,0,N(INDEX('CURVA PREVISION'!$A$1:$KZ$3000,$C42,10+3*MIN(U$3,$D$2-1)))))</f>
        <v/>
      </c>
      <c r="V42" s="55">
        <f>IF(OR($C42="",$B$2="",$D$2=0),0,IF(V$3&lt;0,0,N(INDEX('CURVA PREVISION'!$A$1:$KZ$3000,$C42,10+3*MIN(V$3,$D$2-1)))))</f>
        <v/>
      </c>
      <c r="W42" s="55">
        <f>IF(OR($C42="",$B$2="",$D$2=0),0,IF(W$3&lt;0,0,N(INDEX('CURVA PREVISION'!$A$1:$KZ$3000,$C42,10+3*MIN(W$3,$D$2-1)))))</f>
        <v/>
      </c>
      <c r="X42" s="55">
        <f>IF(OR($C42="",$B$2="",$D$2=0),0,IF(X$3&lt;0,0,N(INDEX('CURVA PREVISION'!$A$1:$KZ$3000,$C42,10+3*MIN(X$3,$D$2-1)))))</f>
        <v/>
      </c>
      <c r="Y42" s="55">
        <f>IF(OR($C42="",$B$2="",$D$2=0),0,IF(Y$3&lt;0,0,N(INDEX('CURVA PREVISION'!$A$1:$KZ$3000,$C42,10+3*MIN(Y$3,$D$2-1)))))</f>
        <v/>
      </c>
      <c r="Z42" s="55">
        <f>IF(OR($C42="",$B$2="",$D$2=0),0,IF(Z$3&lt;0,0,N(INDEX('CURVA PREVISION'!$A$1:$KZ$3000,$C42,10+3*MIN(Z$3,$D$2-1)))))</f>
        <v/>
      </c>
      <c r="AA42" s="55">
        <f>IF(OR($C42="",$B$2="",$D$2=0),0,IF(AA$3&lt;0,0,N(INDEX('CURVA PREVISION'!$A$1:$KZ$3000,$C42,10+3*MIN(AA$3,$D$2-1)))))</f>
        <v/>
      </c>
      <c r="AB42" s="55">
        <f>IF(OR($C42="",$B$2="",$D$2=0),0,IF(AB$3&lt;0,0,N(INDEX('CURVA PREVISION'!$A$1:$KZ$3000,$C42,10+3*MIN(AB$3,$D$2-1)))))</f>
        <v/>
      </c>
      <c r="AC42" s="55">
        <f>IF(OR($C42="",$B$2="",$D$2=0),0,IF(AC$3&lt;0,0,N(INDEX('CURVA PREVISION'!$A$1:$KZ$3000,$C42,10+3*MIN(AC$3,$D$2-1)))))</f>
        <v/>
      </c>
      <c r="AD42" s="55">
        <f>IF(OR($C42="",$B$2="",$D$2=0),0,IF(AD$3&lt;0,0,N(INDEX('CURVA PREVISION'!$A$1:$KZ$3000,$C42,10+3*MIN(AD$3,$D$2-1)))))</f>
        <v/>
      </c>
      <c r="AE42" s="55">
        <f>IF(OR($C42="",$B$2="",$D$2=0),0,IF(AE$3&lt;0,0,N(INDEX('CURVA PREVISION'!$A$1:$KZ$3000,$C42,10+3*MIN(AE$3,$D$2-1)))))</f>
        <v/>
      </c>
      <c r="AF42" s="55">
        <f>IF(OR($C42="",$B$2="",$D$2=0),0,IF(AF$3&lt;0,0,N(INDEX('CURVA PREVISION'!$A$1:$KZ$3000,$C42,10+3*MIN(AF$3,$D$2-1)))))</f>
        <v/>
      </c>
      <c r="AG42" s="55">
        <f>IF(OR($C42="",$B$2="",$D$2=0),0,IF(AG$3&lt;0,0,N(INDEX('CURVA PREVISION'!$A$1:$KZ$3000,$C42,10+3*MIN(AG$3,$D$2-1)))))</f>
        <v/>
      </c>
      <c r="AH42" s="55">
        <f>IF(OR($C42="",$B$2="",$D$2=0),0,IF(AH$3&lt;0,0,N(INDEX('CURVA PREVISION'!$A$1:$KZ$3000,$C42,10+3*MIN(AH$3,$D$2-1)))))</f>
        <v/>
      </c>
      <c r="AI42" s="55">
        <f>IF(OR($C42="",$B$2="",$D$2=0),0,IF(AI$3&lt;0,0,N(INDEX('CURVA PREVISION'!$A$1:$KZ$3000,$C42,10+3*MIN(AI$3,$D$2-1)))))</f>
        <v/>
      </c>
      <c r="AJ42" s="55">
        <f>IF(OR($C42="",$B$2="",$D$2=0),0,IF(AJ$3&lt;0,0,N(INDEX('CURVA PREVISION'!$A$1:$KZ$3000,$C42,10+3*MIN(AJ$3,$D$2-1)))))</f>
        <v/>
      </c>
      <c r="AK42" s="55">
        <f>IF(OR($C42="",$B$2="",$D$2=0),0,IF(AK$3&lt;0,0,N(INDEX('CURVA PREVISION'!$A$1:$KZ$3000,$C42,10+3*MIN(AK$3,$D$2-1)))))</f>
        <v/>
      </c>
      <c r="AL42" s="55">
        <f>IF(OR($C42="",$B$2="",$D$2=0),0,IF(AL$3&lt;0,0,N(INDEX('CURVA PREVISION'!$A$1:$KZ$3000,$C42,10+3*MIN(AL$3,$D$2-1)))))</f>
        <v/>
      </c>
      <c r="AM42" s="55">
        <f>IF(OR($C42="",$B$2="",$D$2=0),0,IF(AM$3&lt;0,0,N(INDEX('CURVA PREVISION'!$A$1:$KZ$3000,$C42,10+3*MIN(AM$3,$D$2-1)))))</f>
        <v/>
      </c>
      <c r="AN42" s="55">
        <f>IF(OR($C42="",$B$2="",$D$2=0),0,IF(AN$3&lt;0,0,N(INDEX('CURVA PREVISION'!$A$1:$KZ$3000,$C42,10+3*MIN(AN$3,$D$2-1)))))</f>
        <v/>
      </c>
      <c r="AO42" s="55">
        <f>IF(OR($C42="",$B$2="",$D$2=0),0,IF(AO$3&lt;0,0,N(INDEX('CURVA PREVISION'!$A$1:$KZ$3000,$C42,10+3*MIN(AO$3,$D$2-1)))))</f>
        <v/>
      </c>
      <c r="AP42" s="55">
        <f>IF(OR($C42="",$B$2="",$D$2=0),0,IF(AP$3&lt;0,0,N(INDEX('CURVA PREVISION'!$A$1:$KZ$3000,$C42,10+3*MIN(AP$3,$D$2-1)))))</f>
        <v/>
      </c>
      <c r="AQ42" s="55">
        <f>IF(OR($C42="",$B$2="",$D$2=0),0,IF(AQ$3&lt;0,0,N(INDEX('CURVA PREVISION'!$A$1:$KZ$3000,$C42,10+3*MIN(AQ$3,$D$2-1)))))</f>
        <v/>
      </c>
      <c r="AR42" s="55">
        <f>IF(OR($C42="",$B$2="",$D$2=0),0,IF(AR$3&lt;0,0,N(INDEX('CURVA PREVISION'!$A$1:$KZ$3000,$C42,10+3*MIN(AR$3,$D$2-1)))))</f>
        <v/>
      </c>
      <c r="AS42" s="55">
        <f>IF(OR($C42="",$B$2="",$D$2=0),0,IF(AS$3&lt;0,0,N(INDEX('CURVA PREVISION'!$A$1:$KZ$3000,$C42,10+3*MIN(AS$3,$D$2-1)))))</f>
        <v/>
      </c>
      <c r="AT42" s="55">
        <f>IF(OR($C42="",$B$2="",$D$2=0),0,IF(AT$3&lt;0,0,N(INDEX('CURVA PREVISION'!$A$1:$KZ$3000,$C42,10+3*MIN(AT$3,$D$2-1)))))</f>
        <v/>
      </c>
      <c r="AU42" s="55">
        <f>IF(OR($C42="",$B$2="",$D$2=0),0,IF(AU$3&lt;0,0,N(INDEX('CURVA PREVISION'!$A$1:$KZ$3000,$C42,10+3*MIN(AU$3,$D$2-1)))))</f>
        <v/>
      </c>
      <c r="AV42" s="55">
        <f>IF(OR($C42="",$B$2="",$D$2=0),0,IF(AV$3&lt;0,0,N(INDEX('CURVA PREVISION'!$A$1:$KZ$3000,$C42,10+3*MIN(AV$3,$D$2-1)))))</f>
        <v/>
      </c>
      <c r="AW42" s="55">
        <f>IF(OR($C42="",$B$2="",$D$2=0),0,IF(AW$3&lt;0,0,N(INDEX('CURVA PREVISION'!$A$1:$KZ$3000,$C42,10+3*MIN(AW$3,$D$2-1)))))</f>
        <v/>
      </c>
      <c r="AX42" s="55">
        <f>IF(OR($C42="",$B$2="",$D$2=0),0,IF(AX$3&lt;0,0,N(INDEX('CURVA PREVISION'!$A$1:$KZ$3000,$C42,10+3*MIN(AX$3,$D$2-1)))))</f>
        <v/>
      </c>
      <c r="AY42" s="55">
        <f>IF(OR($C42="",$B$2="",$D$2=0),0,IF(AY$3&lt;0,0,N(INDEX('CURVA PREVISION'!$A$1:$KZ$3000,$C42,10+3*MIN(AY$3,$D$2-1)))))</f>
        <v/>
      </c>
      <c r="AZ42" s="55">
        <f>IF(OR($C42="",$B$2="",$D$2=0),0,IF(AZ$3&lt;0,0,N(INDEX('CURVA PREVISION'!$A$1:$KZ$3000,$C42,10+3*MIN(AZ$3,$D$2-1)))))</f>
        <v/>
      </c>
      <c r="BA42" s="55">
        <f>IF(OR($C42="",$B$2="",$D$2=0),0,IF(BA$3&lt;0,0,N(INDEX('CURVA PREVISION'!$A$1:$KZ$3000,$C42,10+3*MIN(BA$3,$D$2-1)))))</f>
        <v/>
      </c>
      <c r="BB42" s="55">
        <f>IF(OR($C42="",$B$2="",$D$2=0),0,IF(BB$3&lt;0,0,N(INDEX('CURVA PREVISION'!$A$1:$KZ$3000,$C42,10+3*MIN(BB$3,$D$2-1)))))</f>
        <v/>
      </c>
      <c r="BC42" s="55">
        <f>IF(OR($C42="",$B$2="",$D$2=0),0,IF(BC$3&lt;0,0,N(INDEX('CURVA PREVISION'!$A$1:$KZ$3000,$C42,10+3*MIN(BC$3,$D$2-1)))))</f>
        <v/>
      </c>
      <c r="BD42" s="55">
        <f>IF(OR($C42="",$B$2="",$D$2=0),0,IF(BD$3&lt;0,0,N(INDEX('CURVA PREVISION'!$A$1:$KZ$3000,$C42,10+3*MIN(BD$3,$D$2-1)))))</f>
        <v/>
      </c>
      <c r="BE42" s="55">
        <f>IF(OR($C42="",$B$2="",$D$2=0),0,IF(BE$3&lt;0,0,N(INDEX('CURVA PREVISION'!$A$1:$KZ$3000,$C42,10+3*MIN(BE$3,$D$2-1)))))</f>
        <v/>
      </c>
      <c r="BF42" s="55">
        <f>IF(OR($C42="",$B$2="",$D$2=0),0,IF(BF$3&lt;0,0,N(INDEX('CURVA PREVISION'!$A$1:$KZ$3000,$C42,10+3*MIN(BF$3,$D$2-1)))))</f>
        <v/>
      </c>
      <c r="BG42" s="55">
        <f>IF(OR($C42="",$B$2="",$D$2=0),0,IF(BG$3&lt;0,0,N(INDEX('CURVA PREVISION'!$A$1:$KZ$3000,$C42,10+3*MIN(BG$3,$D$2-1)))))</f>
        <v/>
      </c>
      <c r="BH42" s="55">
        <f>IF(OR($C42="",$B$2="",$D$2=0),0,IF(BH$3&lt;0,0,N(INDEX('CURVA PREVISION'!$A$1:$KZ$3000,$C42,10+3*MIN(BH$3,$D$2-1)))))</f>
        <v/>
      </c>
      <c r="BI42" s="55">
        <f>IF(OR($C42="",$B$2="",$D$2=0),0,IF(BI$3&lt;0,0,N(INDEX('CURVA PREVISION'!$A$1:$KZ$3000,$C42,10+3*MIN(BI$3,$D$2-1)))))</f>
        <v/>
      </c>
      <c r="BJ42" s="55">
        <f>IF(OR($C42="",$B$2="",$D$2=0),0,IF(BJ$3&lt;0,0,N(INDEX('CURVA PREVISION'!$A$1:$KZ$3000,$C42,10+3*MIN(BJ$3,$D$2-1)))))</f>
        <v/>
      </c>
      <c r="BK42" s="55">
        <f>IF(OR($C42="",$B$2="",$D$2=0),0,IF(BK$3&lt;0,0,N(INDEX('CURVA PREVISION'!$A$1:$KZ$3000,$C42,10+3*MIN(BK$3,$D$2-1)))))</f>
        <v/>
      </c>
      <c r="BL42" s="55">
        <f>IF(OR($C42="",$B$2="",$D$2=0),0,IF(BL$3&lt;0,0,N(INDEX('CURVA PREVISION'!$A$1:$KZ$3000,$C42,10+3*MIN(BL$3,$D$2-1)))))</f>
        <v/>
      </c>
      <c r="BM42" s="55">
        <f>IF(OR($C42="",$B$2="",$D$2=0),0,IF(BM$3&lt;0,0,N(INDEX('CURVA PREVISION'!$A$1:$KZ$3000,$C42,10+3*MIN(BM$3,$D$2-1)))))</f>
        <v/>
      </c>
      <c r="BN42" s="55">
        <f>IF(OR($C42="",$B$2="",$D$2=0),0,IF(BN$3&lt;0,0,N(INDEX('CURVA PREVISION'!$A$1:$KZ$3000,$C42,10+3*MIN(BN$3,$D$2-1)))))</f>
        <v/>
      </c>
      <c r="BO42" s="55">
        <f>IF(OR($C42="",$B$2="",$D$2=0),0,IF(BO$3&lt;0,0,N(INDEX('CURVA PREVISION'!$A$1:$KZ$3000,$C42,10+3*MIN(BO$3,$D$2-1)))))</f>
        <v/>
      </c>
      <c r="BP42" s="55">
        <f>IF(OR($C42="",$B$2="",$D$2=0),0,IF(BP$3&lt;0,0,N(INDEX('CURVA PREVISION'!$A$1:$KZ$3000,$C42,10+3*MIN(BP$3,$D$2-1)))))</f>
        <v/>
      </c>
      <c r="BQ42" s="55">
        <f>IF(OR($C42="",$B$2="",$D$2=0),0,IF(BQ$3&lt;0,0,N(INDEX('CURVA PREVISION'!$A$1:$KZ$3000,$C42,10+3*MIN(BQ$3,$D$2-1)))))</f>
        <v/>
      </c>
      <c r="BR42" s="55">
        <f>IF(OR($C42="",$B$2="",$D$2=0),0,IF(BR$3&lt;0,0,N(INDEX('CURVA PREVISION'!$A$1:$KZ$3000,$C42,10+3*MIN(BR$3,$D$2-1)))))</f>
        <v/>
      </c>
      <c r="BS42" s="55">
        <f>IF(OR($C42="",$B$2="",$D$2=0),0,IF(BS$3&lt;0,0,N(INDEX('CURVA PREVISION'!$A$1:$KZ$3000,$C42,10+3*MIN(BS$3,$D$2-1)))))</f>
        <v/>
      </c>
      <c r="BT42" s="55">
        <f>IF(OR($C42="",$B$2="",$D$2=0),0,IF(BT$3&lt;0,0,N(INDEX('CURVA PREVISION'!$A$1:$KZ$3000,$C42,10+3*MIN(BT$3,$D$2-1)))))</f>
        <v/>
      </c>
      <c r="BU42" s="55">
        <f>IF(OR($C42="",$B$2="",$D$2=0),0,IF(BU$3&lt;0,0,N(INDEX('CURVA PREVISION'!$A$1:$KZ$3000,$C42,10+3*MIN(BU$3,$D$2-1)))))</f>
        <v/>
      </c>
      <c r="BV42" s="55">
        <f>IF(OR($C42="",$B$2="",$D$2=0),0,IF(BV$3&lt;0,0,N(INDEX('CURVA PREVISION'!$A$1:$KZ$3000,$C42,10+3*MIN(BV$3,$D$2-1)))))</f>
        <v/>
      </c>
      <c r="BW42" s="55">
        <f>IF(OR($C42="",$B$2="",$D$2=0),0,IF(BW$3&lt;0,0,N(INDEX('CURVA PREVISION'!$A$1:$KZ$3000,$C42,10+3*MIN(BW$3,$D$2-1)))))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27">
        <f>SUMPRODUCT(('DADOS BRUTOS'!$A$3:$A$500&lt;&gt;"")*(COUNTIF($B$5:$C$42,'DADOS BRUTOS'!$A$3:$A$500)=0)*(COUNTIF($A$50:$A$69,'DADOS BRUTOS'!$A$3:$A$500)=0))</f>
        <v/>
      </c>
      <c r="CB2" s="49" t="inlineStr">
        <is>
          <t>CÁLCULO AUXILIAR — soma por coluna da aba DADOS BRUTOS (não editar)</t>
        </is>
      </c>
    </row>
    <row r="3">
      <c r="D3" s="49" t="inlineStr">
        <is>
          <t>Acu até →</t>
        </is>
      </c>
      <c r="CB3" s="49">
        <f>"B"</f>
        <v/>
      </c>
      <c r="CC3" s="49">
        <f>"C"</f>
        <v/>
      </c>
      <c r="CD3" s="49">
        <f>"D"</f>
        <v/>
      </c>
      <c r="CE3" s="49">
        <f>"E"</f>
        <v/>
      </c>
      <c r="CF3" s="49">
        <f>"F"</f>
        <v/>
      </c>
      <c r="CG3" s="49">
        <f>"G"</f>
        <v/>
      </c>
      <c r="CH3" s="49">
        <f>"H"</f>
        <v/>
      </c>
      <c r="CI3" s="49">
        <f>"I"</f>
        <v/>
      </c>
      <c r="CJ3" s="49">
        <f>"J"</f>
        <v/>
      </c>
      <c r="CK3" s="49">
        <f>"K"</f>
        <v/>
      </c>
      <c r="CL3" s="49">
        <f>"L"</f>
        <v/>
      </c>
      <c r="CM3" s="49">
        <f>"M"</f>
        <v/>
      </c>
      <c r="CN3" s="49">
        <f>"N"</f>
        <v/>
      </c>
      <c r="CO3" s="49">
        <f>"O"</f>
        <v/>
      </c>
      <c r="CP3" s="49">
        <f>"P"</f>
        <v/>
      </c>
      <c r="CQ3" s="49">
        <f>"Q"</f>
        <v/>
      </c>
      <c r="CR3" s="49">
        <f>"R"</f>
        <v/>
      </c>
      <c r="CS3" s="49">
        <f>"S"</f>
        <v/>
      </c>
      <c r="CT3" s="49">
        <f>"T"</f>
        <v/>
      </c>
      <c r="CU3" s="49">
        <f>"U"</f>
        <v/>
      </c>
      <c r="CV3" s="49">
        <f>"V"</f>
        <v/>
      </c>
      <c r="CW3" s="49">
        <f>"W"</f>
        <v/>
      </c>
      <c r="CX3" s="49">
        <f>"X"</f>
        <v/>
      </c>
      <c r="CY3" s="49">
        <f>"Y"</f>
        <v/>
      </c>
      <c r="CZ3" s="49">
        <f>"Z"</f>
        <v/>
      </c>
      <c r="DA3" s="49">
        <f>"AA"</f>
        <v/>
      </c>
      <c r="DB3" s="49">
        <f>"AB"</f>
        <v/>
      </c>
      <c r="DC3" s="49">
        <f>"AC"</f>
        <v/>
      </c>
      <c r="DD3" s="49">
        <f>"AD"</f>
        <v/>
      </c>
      <c r="DE3" s="49">
        <f>"AE"</f>
        <v/>
      </c>
      <c r="DF3" s="49">
        <f>"AF"</f>
        <v/>
      </c>
      <c r="DG3" s="49">
        <f>"AG"</f>
        <v/>
      </c>
      <c r="DH3" s="49">
        <f>"AH"</f>
        <v/>
      </c>
      <c r="DI3" s="49">
        <f>"AI"</f>
        <v/>
      </c>
      <c r="DJ3" s="49">
        <f>"AJ"</f>
        <v/>
      </c>
      <c r="DK3" s="49">
        <f>"AK"</f>
        <v/>
      </c>
      <c r="DL3" s="49">
        <f>"AL"</f>
        <v/>
      </c>
      <c r="DM3" s="49">
        <f>"AM"</f>
        <v/>
      </c>
      <c r="DN3" s="49">
        <f>"AN"</f>
        <v/>
      </c>
      <c r="DO3" s="49">
        <f>"AO"</f>
        <v/>
      </c>
      <c r="DP3" s="49">
        <f>"AP"</f>
        <v/>
      </c>
      <c r="DQ3" s="49">
        <f>"AQ"</f>
        <v/>
      </c>
      <c r="DR3" s="49">
        <f>"AR"</f>
        <v/>
      </c>
      <c r="DS3" s="49">
        <f>"AS"</f>
        <v/>
      </c>
      <c r="DT3" s="49">
        <f>"AT"</f>
        <v/>
      </c>
      <c r="DU3" s="49">
        <f>"AU"</f>
        <v/>
      </c>
      <c r="DV3" s="49">
        <f>"AV"</f>
        <v/>
      </c>
      <c r="DW3" s="49">
        <f>"AW"</f>
        <v/>
      </c>
      <c r="DX3" s="49">
        <f>"AX"</f>
        <v/>
      </c>
      <c r="DY3" s="49">
        <f>"AY"</f>
        <v/>
      </c>
      <c r="DZ3" s="49">
        <f>"AZ"</f>
        <v/>
      </c>
      <c r="EA3" s="49">
        <f>"BA"</f>
        <v/>
      </c>
      <c r="EB3" s="49">
        <f>"BB"</f>
        <v/>
      </c>
      <c r="EC3" s="49">
        <f>"BC"</f>
        <v/>
      </c>
      <c r="ED3" s="49">
        <f>"BD"</f>
        <v/>
      </c>
      <c r="EE3" s="49">
        <f>"BE"</f>
        <v/>
      </c>
      <c r="EF3" s="49">
        <f>"BF"</f>
        <v/>
      </c>
      <c r="EG3" s="49">
        <f>"BG"</f>
        <v/>
      </c>
      <c r="EH3" s="49">
        <f>"BH"</f>
        <v/>
      </c>
      <c r="EI3" s="49">
        <f>"BI"</f>
        <v/>
      </c>
      <c r="EJ3" s="49">
        <f>"BJ"</f>
        <v/>
      </c>
      <c r="EK3" s="49">
        <f>"BK"</f>
        <v/>
      </c>
      <c r="EL3" s="49">
        <f>"BL"</f>
        <v/>
      </c>
      <c r="EM3" s="49">
        <f>"BM"</f>
        <v/>
      </c>
      <c r="EN3" s="49">
        <f>"BN"</f>
        <v/>
      </c>
      <c r="EO3" s="49">
        <f>"BO"</f>
        <v/>
      </c>
      <c r="EP3" s="49">
        <f>"BP"</f>
        <v/>
      </c>
      <c r="EQ3" s="49">
        <f>"BQ"</f>
        <v/>
      </c>
      <c r="ER3" s="49">
        <f>"BR"</f>
        <v/>
      </c>
      <c r="ES3" s="49">
        <f>"BS"</f>
        <v/>
      </c>
      <c r="ET3" s="49">
        <f>"BT"</f>
        <v/>
      </c>
      <c r="EU3" s="49">
        <f>"BU"</f>
        <v/>
      </c>
      <c r="EV3" s="49">
        <f>"BV"</f>
        <v/>
      </c>
      <c r="EW3" s="49">
        <f>"BW"</f>
        <v/>
      </c>
      <c r="EX3" s="49">
        <f>"BX"</f>
        <v/>
      </c>
      <c r="EY3" s="49">
        <f>"BY"</f>
        <v/>
      </c>
      <c r="EZ3" s="49">
        <f>"BZ"</f>
        <v/>
      </c>
      <c r="FA3" s="49">
        <f>"CA"</f>
        <v/>
      </c>
      <c r="FB3" s="49">
        <f>"CB"</f>
        <v/>
      </c>
      <c r="FC3" s="49">
        <f>"CC"</f>
        <v/>
      </c>
      <c r="FD3" s="49">
        <f>"CD"</f>
        <v/>
      </c>
      <c r="FE3" s="49">
        <f>"CE"</f>
        <v/>
      </c>
      <c r="FF3" s="49">
        <f>"CF"</f>
        <v/>
      </c>
      <c r="FG3" s="49">
        <f>"CG"</f>
        <v/>
      </c>
      <c r="FH3" s="49">
        <f>"CH"</f>
        <v/>
      </c>
      <c r="FI3" s="49">
        <f>"CI"</f>
        <v/>
      </c>
      <c r="FJ3" s="49">
        <f>"CJ"</f>
        <v/>
      </c>
      <c r="FK3" s="49">
        <f>"CK"</f>
        <v/>
      </c>
      <c r="FL3" s="49">
        <f>"CL"</f>
        <v/>
      </c>
      <c r="FM3" s="49">
        <f>"CM"</f>
        <v/>
      </c>
      <c r="FN3" s="49">
        <f>"CN"</f>
        <v/>
      </c>
      <c r="FO3" s="49">
        <f>"CO"</f>
        <v/>
      </c>
      <c r="FP3" s="49">
        <f>"CP"</f>
        <v/>
      </c>
      <c r="FQ3" s="49">
        <f>"CQ"</f>
        <v/>
      </c>
      <c r="FR3" s="49">
        <f>"CR"</f>
        <v/>
      </c>
      <c r="FS3" s="49">
        <f>"CS"</f>
        <v/>
      </c>
      <c r="FT3" s="49">
        <f>"CT"</f>
        <v/>
      </c>
      <c r="FU3" s="49">
        <f>"CU"</f>
        <v/>
      </c>
      <c r="FV3" s="49">
        <f>"CV"</f>
        <v/>
      </c>
      <c r="FW3" s="49">
        <f>"CW"</f>
        <v/>
      </c>
      <c r="FX3" s="49">
        <f>"CX"</f>
        <v/>
      </c>
      <c r="FY3" s="49">
        <f>"CY"</f>
        <v/>
      </c>
      <c r="FZ3" s="49">
        <f>"CZ"</f>
        <v/>
      </c>
      <c r="GA3" s="49">
        <f>"DA"</f>
        <v/>
      </c>
      <c r="GB3" s="49">
        <f>"DB"</f>
        <v/>
      </c>
      <c r="GC3" s="49">
        <f>"DC"</f>
        <v/>
      </c>
      <c r="GD3" s="49">
        <f>"DD"</f>
        <v/>
      </c>
      <c r="GE3" s="49">
        <f>"DE"</f>
        <v/>
      </c>
      <c r="GF3" s="49">
        <f>"DF"</f>
        <v/>
      </c>
      <c r="GG3" s="49">
        <f>"DG"</f>
        <v/>
      </c>
      <c r="GH3" s="49">
        <f>"DH"</f>
        <v/>
      </c>
      <c r="GI3" s="49">
        <f>"DI"</f>
        <v/>
      </c>
      <c r="GJ3" s="49">
        <f>"DJ"</f>
        <v/>
      </c>
      <c r="GK3" s="49">
        <f>"DK"</f>
        <v/>
      </c>
      <c r="GL3" s="49">
        <f>"DL"</f>
        <v/>
      </c>
      <c r="GM3" s="49">
        <f>"DM"</f>
        <v/>
      </c>
      <c r="GN3" s="49">
        <f>"DN"</f>
        <v/>
      </c>
      <c r="GO3" s="49">
        <f>"DO"</f>
        <v/>
      </c>
      <c r="GP3" s="49">
        <f>"DP"</f>
        <v/>
      </c>
      <c r="GQ3" s="49">
        <f>"DQ"</f>
        <v/>
      </c>
      <c r="GR3" s="49">
        <f>"DR"</f>
        <v/>
      </c>
      <c r="GS3" s="49">
        <f>"DS"</f>
        <v/>
      </c>
      <c r="GT3" s="49">
        <f>"DT"</f>
        <v/>
      </c>
      <c r="GU3" s="49">
        <f>"DU"</f>
        <v/>
      </c>
      <c r="GV3" s="49">
        <f>"DV"</f>
        <v/>
      </c>
      <c r="GW3" s="49">
        <f>"DW"</f>
        <v/>
      </c>
      <c r="GX3" s="49">
        <f>"DX"</f>
        <v/>
      </c>
      <c r="GY3" s="49">
        <f>"DY"</f>
        <v/>
      </c>
      <c r="GZ3" s="49">
        <f>"DZ"</f>
        <v/>
      </c>
      <c r="HA3" s="49">
        <f>"EA"</f>
        <v/>
      </c>
      <c r="HB3" s="49">
        <f>"EB"</f>
        <v/>
      </c>
      <c r="HC3" s="49">
        <f>"EC"</f>
        <v/>
      </c>
      <c r="HD3" s="49">
        <f>"ED"</f>
        <v/>
      </c>
      <c r="HE3" s="49">
        <f>"EE"</f>
        <v/>
      </c>
      <c r="HF3" s="49">
        <f>"EF"</f>
        <v/>
      </c>
      <c r="HG3" s="49">
        <f>"EG"</f>
        <v/>
      </c>
      <c r="HH3" s="49">
        <f>"EH"</f>
        <v/>
      </c>
      <c r="HI3" s="49">
        <f>"EI"</f>
        <v/>
      </c>
      <c r="HJ3" s="49">
        <f>"EJ"</f>
        <v/>
      </c>
      <c r="HK3" s="49">
        <f>"EK"</f>
        <v/>
      </c>
      <c r="HL3" s="49">
        <f>"EL"</f>
        <v/>
      </c>
      <c r="HM3" s="49">
        <f>"EM"</f>
        <v/>
      </c>
      <c r="HN3" s="49">
        <f>"EN"</f>
        <v/>
      </c>
      <c r="HO3" s="49">
        <f>"EO"</f>
        <v/>
      </c>
      <c r="HP3" s="49">
        <f>"EP"</f>
        <v/>
      </c>
      <c r="HQ3" s="49">
        <f>"EQ"</f>
        <v/>
      </c>
      <c r="HR3" s="49">
        <f>"ER"</f>
        <v/>
      </c>
      <c r="HS3" s="49">
        <f>"ES"</f>
        <v/>
      </c>
      <c r="HT3" s="49">
        <f>"ET"</f>
        <v/>
      </c>
      <c r="HU3" s="49">
        <f>"EU"</f>
        <v/>
      </c>
      <c r="HV3" s="49">
        <f>"EV"</f>
        <v/>
      </c>
      <c r="HW3" s="49">
        <f>"EW"</f>
        <v/>
      </c>
      <c r="HX3" s="49">
        <f>"EX"</f>
        <v/>
      </c>
      <c r="HY3" s="49">
        <f>"EY"</f>
        <v/>
      </c>
      <c r="HZ3" s="49">
        <f>"EZ"</f>
        <v/>
      </c>
      <c r="IA3" s="49">
        <f>"FA"</f>
        <v/>
      </c>
      <c r="IB3" s="49">
        <f>"FB"</f>
        <v/>
      </c>
      <c r="IC3" s="49">
        <f>"FC"</f>
        <v/>
      </c>
      <c r="ID3" s="49">
        <f>"FD"</f>
        <v/>
      </c>
      <c r="IE3" s="49">
        <f>"FE"</f>
        <v/>
      </c>
      <c r="IF3" s="49">
        <f>"FF"</f>
        <v/>
      </c>
      <c r="IG3" s="49">
        <f>"FG"</f>
        <v/>
      </c>
      <c r="IH3" s="49">
        <f>"FH"</f>
        <v/>
      </c>
      <c r="II3" s="49">
        <f>"FI"</f>
        <v/>
      </c>
      <c r="IJ3" s="49">
        <f>"FJ"</f>
        <v/>
      </c>
      <c r="IK3" s="49">
        <f>"FK"</f>
        <v/>
      </c>
      <c r="IL3" s="49">
        <f>"FL"</f>
        <v/>
      </c>
      <c r="IM3" s="49">
        <f>"FM"</f>
        <v/>
      </c>
      <c r="IN3" s="49">
        <f>"FN"</f>
        <v/>
      </c>
      <c r="IO3" s="49">
        <f>"FO"</f>
        <v/>
      </c>
      <c r="IP3" s="49">
        <f>"FP"</f>
        <v/>
      </c>
      <c r="IQ3" s="49">
        <f>"FQ"</f>
        <v/>
      </c>
      <c r="IR3" s="49">
        <f>"FR"</f>
        <v/>
      </c>
      <c r="IS3" s="49">
        <f>"FS"</f>
        <v/>
      </c>
      <c r="IT3" s="49">
        <f>"FT"</f>
        <v/>
      </c>
      <c r="IU3" s="49">
        <f>"FU"</f>
        <v/>
      </c>
      <c r="IV3" s="49">
        <f>"FV"</f>
        <v/>
      </c>
      <c r="IW3" s="49">
        <f>"FW"</f>
        <v/>
      </c>
      <c r="IX3" s="49">
        <f>"FX"</f>
        <v/>
      </c>
      <c r="IY3" s="49">
        <f>"FY"</f>
        <v/>
      </c>
      <c r="IZ3" s="49">
        <f>"FZ"</f>
        <v/>
      </c>
      <c r="JA3" s="49">
        <f>"GA"</f>
        <v/>
      </c>
      <c r="JB3" s="49">
        <f>"GB"</f>
        <v/>
      </c>
      <c r="JC3" s="49">
        <f>"GC"</f>
        <v/>
      </c>
      <c r="JD3" s="49">
        <f>"GD"</f>
        <v/>
      </c>
      <c r="JE3" s="49">
        <f>"GE"</f>
        <v/>
      </c>
      <c r="JF3" s="49">
        <f>"GF"</f>
        <v/>
      </c>
      <c r="JG3" s="49">
        <f>"GG"</f>
        <v/>
      </c>
      <c r="JH3" s="49">
        <f>"GH"</f>
        <v/>
      </c>
      <c r="JI3" s="49">
        <f>"GI"</f>
        <v/>
      </c>
      <c r="JJ3" s="49">
        <f>"GJ"</f>
        <v/>
      </c>
      <c r="JK3" s="49">
        <f>"GK"</f>
        <v/>
      </c>
      <c r="JL3" s="49">
        <f>"GL"</f>
        <v/>
      </c>
      <c r="JM3" s="49">
        <f>"GM"</f>
        <v/>
      </c>
      <c r="JN3" s="49">
        <f>"GN"</f>
        <v/>
      </c>
      <c r="JO3" s="49">
        <f>"GO"</f>
        <v/>
      </c>
      <c r="JP3" s="49">
        <f>"GP"</f>
        <v/>
      </c>
      <c r="JQ3" s="49">
        <f>"GQ"</f>
        <v/>
      </c>
      <c r="JR3" s="49">
        <f>"GR"</f>
        <v/>
      </c>
      <c r="JS3" s="49">
        <f>"GS"</f>
        <v/>
      </c>
    </row>
    <row r="4">
      <c r="A4" s="20" t="inlineStr">
        <is>
          <t>ITEM</t>
        </is>
      </c>
      <c r="B4" s="20" t="inlineStr">
        <is>
          <t>NOME NO ERP (1)</t>
        </is>
      </c>
      <c r="C4" s="20" t="inlineStr">
        <is>
          <t>NOME NO ERP (2)</t>
        </is>
      </c>
      <c r="D4" s="54">
        <f>'MODELO PARA BI'!H1</f>
        <v/>
      </c>
      <c r="E4" s="54">
        <f>'MODELO PARA BI'!I1</f>
        <v/>
      </c>
      <c r="F4" s="54">
        <f>'MODELO PARA BI'!J1</f>
        <v/>
      </c>
      <c r="G4" s="54">
        <f>'MODELO PARA BI'!K1</f>
        <v/>
      </c>
      <c r="H4" s="54">
        <f>'MODELO PARA BI'!L1</f>
        <v/>
      </c>
      <c r="I4" s="54">
        <f>'MODELO PARA BI'!M1</f>
        <v/>
      </c>
      <c r="J4" s="54">
        <f>'MODELO PARA BI'!N1</f>
        <v/>
      </c>
      <c r="K4" s="54">
        <f>'MODELO PARA BI'!O1</f>
        <v/>
      </c>
      <c r="L4" s="54">
        <f>'MODELO PARA BI'!P1</f>
        <v/>
      </c>
      <c r="M4" s="54">
        <f>'MODELO PARA BI'!Q1</f>
        <v/>
      </c>
      <c r="N4" s="54">
        <f>'MODELO PARA BI'!R1</f>
        <v/>
      </c>
      <c r="O4" s="54">
        <f>'MODELO PARA BI'!S1</f>
        <v/>
      </c>
      <c r="P4" s="54">
        <f>'MODELO PARA BI'!T1</f>
        <v/>
      </c>
      <c r="Q4" s="54">
        <f>'MODELO PARA BI'!U1</f>
        <v/>
      </c>
      <c r="R4" s="54">
        <f>'MODELO PARA BI'!V1</f>
        <v/>
      </c>
      <c r="S4" s="54">
        <f>'MODELO PARA BI'!W1</f>
        <v/>
      </c>
      <c r="T4" s="54">
        <f>'MODELO PARA BI'!X1</f>
        <v/>
      </c>
      <c r="U4" s="54">
        <f>'MODELO PARA BI'!Y1</f>
        <v/>
      </c>
      <c r="V4" s="54">
        <f>'MODELO PARA BI'!Z1</f>
        <v/>
      </c>
      <c r="W4" s="54">
        <f>'MODELO PARA BI'!AA1</f>
        <v/>
      </c>
      <c r="X4" s="54">
        <f>'MODELO PARA BI'!AB1</f>
        <v/>
      </c>
      <c r="Y4" s="54">
        <f>'MODELO PARA BI'!AC1</f>
        <v/>
      </c>
      <c r="Z4" s="54">
        <f>'MODELO PARA BI'!AD1</f>
        <v/>
      </c>
      <c r="AA4" s="54">
        <f>'MODELO PARA BI'!AE1</f>
        <v/>
      </c>
      <c r="AB4" s="54">
        <f>'MODELO PARA BI'!AF1</f>
        <v/>
      </c>
      <c r="AC4" s="54">
        <f>'MODELO PARA BI'!AG1</f>
        <v/>
      </c>
      <c r="AD4" s="54">
        <f>'MODELO PARA BI'!AH1</f>
        <v/>
      </c>
      <c r="AE4" s="54">
        <f>'MODELO PARA BI'!AI1</f>
        <v/>
      </c>
      <c r="AF4" s="54">
        <f>'MODELO PARA BI'!AJ1</f>
        <v/>
      </c>
      <c r="AG4" s="54">
        <f>'MODELO PARA BI'!AK1</f>
        <v/>
      </c>
      <c r="AH4" s="54">
        <f>'MODELO PARA BI'!AL1</f>
        <v/>
      </c>
      <c r="AI4" s="54">
        <f>'MODELO PARA BI'!AM1</f>
        <v/>
      </c>
      <c r="AJ4" s="54">
        <f>'MODELO PARA BI'!AN1</f>
        <v/>
      </c>
      <c r="AK4" s="54">
        <f>'MODELO PARA BI'!AO1</f>
        <v/>
      </c>
      <c r="AL4" s="54">
        <f>'MODELO PARA BI'!AP1</f>
        <v/>
      </c>
      <c r="AM4" s="54">
        <f>'MODELO PARA BI'!AQ1</f>
        <v/>
      </c>
      <c r="AN4" s="54">
        <f>'MODELO PARA BI'!AR1</f>
        <v/>
      </c>
      <c r="AO4" s="54">
        <f>'MODELO PARA BI'!AS1</f>
        <v/>
      </c>
      <c r="AP4" s="54">
        <f>'MODELO PARA BI'!AT1</f>
        <v/>
      </c>
      <c r="AQ4" s="54">
        <f>'MODELO PARA BI'!AU1</f>
        <v/>
      </c>
      <c r="AR4" s="54">
        <f>'MODELO PARA BI'!AV1</f>
        <v/>
      </c>
      <c r="AS4" s="54">
        <f>'MODELO PARA BI'!AW1</f>
        <v/>
      </c>
      <c r="AT4" s="54">
        <f>'MODELO PARA BI'!AX1</f>
        <v/>
      </c>
      <c r="AU4" s="54">
        <f>'MODELO PARA BI'!AY1</f>
        <v/>
      </c>
      <c r="AV4" s="54">
        <f>'MODELO PARA BI'!AZ1</f>
        <v/>
      </c>
      <c r="AW4" s="54">
        <f>'MODELO PARA BI'!BA1</f>
        <v/>
      </c>
      <c r="AX4" s="54">
        <f>'MODELO PARA BI'!BB1</f>
        <v/>
      </c>
      <c r="AY4" s="54">
        <f>'MODELO PARA BI'!BC1</f>
        <v/>
      </c>
      <c r="AZ4" s="54">
        <f>'MODELO PARA BI'!BD1</f>
        <v/>
      </c>
      <c r="BA4" s="54">
        <f>'MODELO PARA BI'!BE1</f>
        <v/>
      </c>
      <c r="BB4" s="54">
        <f>'MODELO PARA BI'!BF1</f>
        <v/>
      </c>
      <c r="BC4" s="54">
        <f>'MODELO PARA BI'!BG1</f>
        <v/>
      </c>
      <c r="BD4" s="54">
        <f>'MODELO PARA BI'!BH1</f>
        <v/>
      </c>
      <c r="BE4" s="54">
        <f>'MODELO PARA BI'!BI1</f>
        <v/>
      </c>
      <c r="BF4" s="54">
        <f>'MODELO PARA BI'!BJ1</f>
        <v/>
      </c>
      <c r="BG4" s="54">
        <f>'MODELO PARA BI'!BK1</f>
        <v/>
      </c>
      <c r="BH4" s="54">
        <f>'MODELO PARA BI'!BL1</f>
        <v/>
      </c>
      <c r="BI4" s="54">
        <f>'MODELO PARA BI'!BM1</f>
        <v/>
      </c>
      <c r="BJ4" s="54">
        <f>'MODELO PARA BI'!BN1</f>
        <v/>
      </c>
      <c r="BK4" s="54">
        <f>'MODELO PARA BI'!BO1</f>
        <v/>
      </c>
      <c r="BL4" s="54">
        <f>'MODELO PARA BI'!BP1</f>
        <v/>
      </c>
      <c r="BM4" s="54">
        <f>'MODELO PARA BI'!BQ1</f>
        <v/>
      </c>
      <c r="BN4" s="54">
        <f>'MODELO PARA BI'!BR1</f>
        <v/>
      </c>
      <c r="BO4" s="54">
        <f>'MODELO PARA BI'!BS1</f>
        <v/>
      </c>
      <c r="BP4" s="54">
        <f>'MODELO PARA BI'!BT1</f>
        <v/>
      </c>
      <c r="BQ4" s="54">
        <f>'MODELO PARA BI'!BU1</f>
        <v/>
      </c>
      <c r="BR4" s="54">
        <f>'MODELO PARA BI'!BV1</f>
        <v/>
      </c>
      <c r="BS4" s="54">
        <f>'MODELO PARA BI'!BW1</f>
        <v/>
      </c>
      <c r="BT4" s="54">
        <f>'MODELO PARA BI'!BX1</f>
        <v/>
      </c>
      <c r="BU4" s="54">
        <f>'MODELO PARA BI'!BY1</f>
        <v/>
      </c>
      <c r="BV4" s="54">
        <f>'MODELO PARA BI'!BZ1</f>
        <v/>
      </c>
      <c r="BW4" s="54">
        <f>'MODELO PARA BI'!CA1</f>
        <v/>
      </c>
      <c r="BX4" s="20" t="inlineStr">
        <is>
          <t>FORA DO
HORIZONTE</t>
        </is>
      </c>
      <c r="BY4" s="20" t="inlineStr">
        <is>
          <t>TOTAL NO ERP</t>
        </is>
      </c>
      <c r="CB4" s="45">
        <f>IF(ISNUMBER('DADOS BRUTOS'!B$2),DATE(YEAR('DADOS BRUTOS'!B$2),MONTH('DADOS BRUTOS'!B$2),1),"")</f>
        <v/>
      </c>
      <c r="CC4" s="45">
        <f>IF(ISNUMBER('DADOS BRUTOS'!C$2),DATE(YEAR('DADOS BRUTOS'!C$2),MONTH('DADOS BRUTOS'!C$2),1),"")</f>
        <v/>
      </c>
      <c r="CD4" s="45">
        <f>IF(ISNUMBER('DADOS BRUTOS'!D$2),DATE(YEAR('DADOS BRUTOS'!D$2),MONTH('DADOS BRUTOS'!D$2),1),"")</f>
        <v/>
      </c>
      <c r="CE4" s="45">
        <f>IF(ISNUMBER('DADOS BRUTOS'!E$2),DATE(YEAR('DADOS BRUTOS'!E$2),MONTH('DADOS BRUTOS'!E$2),1),"")</f>
        <v/>
      </c>
      <c r="CF4" s="45">
        <f>IF(ISNUMBER('DADOS BRUTOS'!F$2),DATE(YEAR('DADOS BRUTOS'!F$2),MONTH('DADOS BRUTOS'!F$2),1),"")</f>
        <v/>
      </c>
      <c r="CG4" s="45">
        <f>IF(ISNUMBER('DADOS BRUTOS'!G$2),DATE(YEAR('DADOS BRUTOS'!G$2),MONTH('DADOS BRUTOS'!G$2),1),"")</f>
        <v/>
      </c>
      <c r="CH4" s="45">
        <f>IF(ISNUMBER('DADOS BRUTOS'!H$2),DATE(YEAR('DADOS BRUTOS'!H$2),MONTH('DADOS BRUTOS'!H$2),1),"")</f>
        <v/>
      </c>
      <c r="CI4" s="45">
        <f>IF(ISNUMBER('DADOS BRUTOS'!I$2),DATE(YEAR('DADOS BRUTOS'!I$2),MONTH('DADOS BRUTOS'!I$2),1),"")</f>
        <v/>
      </c>
      <c r="CJ4" s="45">
        <f>IF(ISNUMBER('DADOS BRUTOS'!J$2),DATE(YEAR('DADOS BRUTOS'!J$2),MONTH('DADOS BRUTOS'!J$2),1),"")</f>
        <v/>
      </c>
      <c r="CK4" s="45">
        <f>IF(ISNUMBER('DADOS BRUTOS'!K$2),DATE(YEAR('DADOS BRUTOS'!K$2),MONTH('DADOS BRUTOS'!K$2),1),"")</f>
        <v/>
      </c>
      <c r="CL4" s="45">
        <f>IF(ISNUMBER('DADOS BRUTOS'!L$2),DATE(YEAR('DADOS BRUTOS'!L$2),MONTH('DADOS BRUTOS'!L$2),1),"")</f>
        <v/>
      </c>
      <c r="CM4" s="45">
        <f>IF(ISNUMBER('DADOS BRUTOS'!M$2),DATE(YEAR('DADOS BRUTOS'!M$2),MONTH('DADOS BRUTOS'!M$2),1),"")</f>
        <v/>
      </c>
      <c r="CN4" s="45">
        <f>IF(ISNUMBER('DADOS BRUTOS'!N$2),DATE(YEAR('DADOS BRUTOS'!N$2),MONTH('DADOS BRUTOS'!N$2),1),"")</f>
        <v/>
      </c>
      <c r="CO4" s="45">
        <f>IF(ISNUMBER('DADOS BRUTOS'!O$2),DATE(YEAR('DADOS BRUTOS'!O$2),MONTH('DADOS BRUTOS'!O$2),1),"")</f>
        <v/>
      </c>
      <c r="CP4" s="45">
        <f>IF(ISNUMBER('DADOS BRUTOS'!P$2),DATE(YEAR('DADOS BRUTOS'!P$2),MONTH('DADOS BRUTOS'!P$2),1),"")</f>
        <v/>
      </c>
      <c r="CQ4" s="45">
        <f>IF(ISNUMBER('DADOS BRUTOS'!Q$2),DATE(YEAR('DADOS BRUTOS'!Q$2),MONTH('DADOS BRUTOS'!Q$2),1),"")</f>
        <v/>
      </c>
      <c r="CR4" s="45">
        <f>IF(ISNUMBER('DADOS BRUTOS'!R$2),DATE(YEAR('DADOS BRUTOS'!R$2),MONTH('DADOS BRUTOS'!R$2),1),"")</f>
        <v/>
      </c>
      <c r="CS4" s="45">
        <f>IF(ISNUMBER('DADOS BRUTOS'!S$2),DATE(YEAR('DADOS BRUTOS'!S$2),MONTH('DADOS BRUTOS'!S$2),1),"")</f>
        <v/>
      </c>
      <c r="CT4" s="45">
        <f>IF(ISNUMBER('DADOS BRUTOS'!T$2),DATE(YEAR('DADOS BRUTOS'!T$2),MONTH('DADOS BRUTOS'!T$2),1),"")</f>
        <v/>
      </c>
      <c r="CU4" s="45">
        <f>IF(ISNUMBER('DADOS BRUTOS'!U$2),DATE(YEAR('DADOS BRUTOS'!U$2),MONTH('DADOS BRUTOS'!U$2),1),"")</f>
        <v/>
      </c>
      <c r="CV4" s="45">
        <f>IF(ISNUMBER('DADOS BRUTOS'!V$2),DATE(YEAR('DADOS BRUTOS'!V$2),MONTH('DADOS BRUTOS'!V$2),1),"")</f>
        <v/>
      </c>
      <c r="CW4" s="45">
        <f>IF(ISNUMBER('DADOS BRUTOS'!W$2),DATE(YEAR('DADOS BRUTOS'!W$2),MONTH('DADOS BRUTOS'!W$2),1),"")</f>
        <v/>
      </c>
      <c r="CX4" s="45">
        <f>IF(ISNUMBER('DADOS BRUTOS'!X$2),DATE(YEAR('DADOS BRUTOS'!X$2),MONTH('DADOS BRUTOS'!X$2),1),"")</f>
        <v/>
      </c>
      <c r="CY4" s="45">
        <f>IF(ISNUMBER('DADOS BRUTOS'!Y$2),DATE(YEAR('DADOS BRUTOS'!Y$2),MONTH('DADOS BRUTOS'!Y$2),1),"")</f>
        <v/>
      </c>
      <c r="CZ4" s="45">
        <f>IF(ISNUMBER('DADOS BRUTOS'!Z$2),DATE(YEAR('DADOS BRUTOS'!Z$2),MONTH('DADOS BRUTOS'!Z$2),1),"")</f>
        <v/>
      </c>
      <c r="DA4" s="45">
        <f>IF(ISNUMBER('DADOS BRUTOS'!AA$2),DATE(YEAR('DADOS BRUTOS'!AA$2),MONTH('DADOS BRUTOS'!AA$2),1),"")</f>
        <v/>
      </c>
      <c r="DB4" s="45">
        <f>IF(ISNUMBER('DADOS BRUTOS'!AB$2),DATE(YEAR('DADOS BRUTOS'!AB$2),MONTH('DADOS BRUTOS'!AB$2),1),"")</f>
        <v/>
      </c>
      <c r="DC4" s="45">
        <f>IF(ISNUMBER('DADOS BRUTOS'!AC$2),DATE(YEAR('DADOS BRUTOS'!AC$2),MONTH('DADOS BRUTOS'!AC$2),1),"")</f>
        <v/>
      </c>
      <c r="DD4" s="45">
        <f>IF(ISNUMBER('DADOS BRUTOS'!AD$2),DATE(YEAR('DADOS BRUTOS'!AD$2),MONTH('DADOS BRUTOS'!AD$2),1),"")</f>
        <v/>
      </c>
      <c r="DE4" s="45">
        <f>IF(ISNUMBER('DADOS BRUTOS'!AE$2),DATE(YEAR('DADOS BRUTOS'!AE$2),MONTH('DADOS BRUTOS'!AE$2),1),"")</f>
        <v/>
      </c>
      <c r="DF4" s="45">
        <f>IF(ISNUMBER('DADOS BRUTOS'!AF$2),DATE(YEAR('DADOS BRUTOS'!AF$2),MONTH('DADOS BRUTOS'!AF$2),1),"")</f>
        <v/>
      </c>
      <c r="DG4" s="45">
        <f>IF(ISNUMBER('DADOS BRUTOS'!AG$2),DATE(YEAR('DADOS BRUTOS'!AG$2),MONTH('DADOS BRUTOS'!AG$2),1),"")</f>
        <v/>
      </c>
      <c r="DH4" s="45">
        <f>IF(ISNUMBER('DADOS BRUTOS'!AH$2),DATE(YEAR('DADOS BRUTOS'!AH$2),MONTH('DADOS BRUTOS'!AH$2),1),"")</f>
        <v/>
      </c>
      <c r="DI4" s="45">
        <f>IF(ISNUMBER('DADOS BRUTOS'!AI$2),DATE(YEAR('DADOS BRUTOS'!AI$2),MONTH('DADOS BRUTOS'!AI$2),1),"")</f>
        <v/>
      </c>
      <c r="DJ4" s="45">
        <f>IF(ISNUMBER('DADOS BRUTOS'!AJ$2),DATE(YEAR('DADOS BRUTOS'!AJ$2),MONTH('DADOS BRUTOS'!AJ$2),1),"")</f>
        <v/>
      </c>
      <c r="DK4" s="45">
        <f>IF(ISNUMBER('DADOS BRUTOS'!AK$2),DATE(YEAR('DADOS BRUTOS'!AK$2),MONTH('DADOS BRUTOS'!AK$2),1),"")</f>
        <v/>
      </c>
      <c r="DL4" s="45">
        <f>IF(ISNUMBER('DADOS BRUTOS'!AL$2),DATE(YEAR('DADOS BRUTOS'!AL$2),MONTH('DADOS BRUTOS'!AL$2),1),"")</f>
        <v/>
      </c>
      <c r="DM4" s="45">
        <f>IF(ISNUMBER('DADOS BRUTOS'!AM$2),DATE(YEAR('DADOS BRUTOS'!AM$2),MONTH('DADOS BRUTOS'!AM$2),1),"")</f>
        <v/>
      </c>
      <c r="DN4" s="45">
        <f>IF(ISNUMBER('DADOS BRUTOS'!AN$2),DATE(YEAR('DADOS BRUTOS'!AN$2),MONTH('DADOS BRUTOS'!AN$2),1),"")</f>
        <v/>
      </c>
      <c r="DO4" s="45">
        <f>IF(ISNUMBER('DADOS BRUTOS'!AO$2),DATE(YEAR('DADOS BRUTOS'!AO$2),MONTH('DADOS BRUTOS'!AO$2),1),"")</f>
        <v/>
      </c>
      <c r="DP4" s="45">
        <f>IF(ISNUMBER('DADOS BRUTOS'!AP$2),DATE(YEAR('DADOS BRUTOS'!AP$2),MONTH('DADOS BRUTOS'!AP$2),1),"")</f>
        <v/>
      </c>
      <c r="DQ4" s="45">
        <f>IF(ISNUMBER('DADOS BRUTOS'!AQ$2),DATE(YEAR('DADOS BRUTOS'!AQ$2),MONTH('DADOS BRUTOS'!AQ$2),1),"")</f>
        <v/>
      </c>
      <c r="DR4" s="45">
        <f>IF(ISNUMBER('DADOS BRUTOS'!AR$2),DATE(YEAR('DADOS BRUTOS'!AR$2),MONTH('DADOS BRUTOS'!AR$2),1),"")</f>
        <v/>
      </c>
      <c r="DS4" s="45">
        <f>IF(ISNUMBER('DADOS BRUTOS'!AS$2),DATE(YEAR('DADOS BRUTOS'!AS$2),MONTH('DADOS BRUTOS'!AS$2),1),"")</f>
        <v/>
      </c>
      <c r="DT4" s="45">
        <f>IF(ISNUMBER('DADOS BRUTOS'!AT$2),DATE(YEAR('DADOS BRUTOS'!AT$2),MONTH('DADOS BRUTOS'!AT$2),1),"")</f>
        <v/>
      </c>
      <c r="DU4" s="45">
        <f>IF(ISNUMBER('DADOS BRUTOS'!AU$2),DATE(YEAR('DADOS BRUTOS'!AU$2),MONTH('DADOS BRUTOS'!AU$2),1),"")</f>
        <v/>
      </c>
      <c r="DV4" s="45">
        <f>IF(ISNUMBER('DADOS BRUTOS'!AV$2),DATE(YEAR('DADOS BRUTOS'!AV$2),MONTH('DADOS BRUTOS'!AV$2),1),"")</f>
        <v/>
      </c>
      <c r="DW4" s="45">
        <f>IF(ISNUMBER('DADOS BRUTOS'!AW$2),DATE(YEAR('DADOS BRUTOS'!AW$2),MONTH('DADOS BRUTOS'!AW$2),1),"")</f>
        <v/>
      </c>
      <c r="DX4" s="45">
        <f>IF(ISNUMBER('DADOS BRUTOS'!AX$2),DATE(YEAR('DADOS BRUTOS'!AX$2),MONTH('DADOS BRUTOS'!AX$2),1),"")</f>
        <v/>
      </c>
      <c r="DY4" s="45">
        <f>IF(ISNUMBER('DADOS BRUTOS'!AY$2),DATE(YEAR('DADOS BRUTOS'!AY$2),MONTH('DADOS BRUTOS'!AY$2),1),"")</f>
        <v/>
      </c>
      <c r="DZ4" s="45">
        <f>IF(ISNUMBER('DADOS BRUTOS'!AZ$2),DATE(YEAR('DADOS BRUTOS'!AZ$2),MONTH('DADOS BRUTOS'!AZ$2),1),"")</f>
        <v/>
      </c>
      <c r="EA4" s="45">
        <f>IF(ISNUMBER('DADOS BRUTOS'!BA$2),DATE(YEAR('DADOS BRUTOS'!BA$2),MONTH('DADOS BRUTOS'!BA$2),1),"")</f>
        <v/>
      </c>
      <c r="EB4" s="45">
        <f>IF(ISNUMBER('DADOS BRUTOS'!BB$2),DATE(YEAR('DADOS BRUTOS'!BB$2),MONTH('DADOS BRUTOS'!BB$2),1),"")</f>
        <v/>
      </c>
      <c r="EC4" s="45">
        <f>IF(ISNUMBER('DADOS BRUTOS'!BC$2),DATE(YEAR('DADOS BRUTOS'!BC$2),MONTH('DADOS BRUTOS'!BC$2),1),"")</f>
        <v/>
      </c>
      <c r="ED4" s="45">
        <f>IF(ISNUMBER('DADOS BRUTOS'!BD$2),DATE(YEAR('DADOS BRUTOS'!BD$2),MONTH('DADOS BRUTOS'!BD$2),1),"")</f>
        <v/>
      </c>
      <c r="EE4" s="45">
        <f>IF(ISNUMBER('DADOS BRUTOS'!BE$2),DATE(YEAR('DADOS BRUTOS'!BE$2),MONTH('DADOS BRUTOS'!BE$2),1),"")</f>
        <v/>
      </c>
      <c r="EF4" s="45">
        <f>IF(ISNUMBER('DADOS BRUTOS'!BF$2),DATE(YEAR('DADOS BRUTOS'!BF$2),MONTH('DADOS BRUTOS'!BF$2),1),"")</f>
        <v/>
      </c>
      <c r="EG4" s="45">
        <f>IF(ISNUMBER('DADOS BRUTOS'!BG$2),DATE(YEAR('DADOS BRUTOS'!BG$2),MONTH('DADOS BRUTOS'!BG$2),1),"")</f>
        <v/>
      </c>
      <c r="EH4" s="45">
        <f>IF(ISNUMBER('DADOS BRUTOS'!BH$2),DATE(YEAR('DADOS BRUTOS'!BH$2),MONTH('DADOS BRUTOS'!BH$2),1),"")</f>
        <v/>
      </c>
      <c r="EI4" s="45">
        <f>IF(ISNUMBER('DADOS BRUTOS'!BI$2),DATE(YEAR('DADOS BRUTOS'!BI$2),MONTH('DADOS BRUTOS'!BI$2),1),"")</f>
        <v/>
      </c>
      <c r="EJ4" s="45">
        <f>IF(ISNUMBER('DADOS BRUTOS'!BJ$2),DATE(YEAR('DADOS BRUTOS'!BJ$2),MONTH('DADOS BRUTOS'!BJ$2),1),"")</f>
        <v/>
      </c>
      <c r="EK4" s="45">
        <f>IF(ISNUMBER('DADOS BRUTOS'!BK$2),DATE(YEAR('DADOS BRUTOS'!BK$2),MONTH('DADOS BRUTOS'!BK$2),1),"")</f>
        <v/>
      </c>
      <c r="EL4" s="45">
        <f>IF(ISNUMBER('DADOS BRUTOS'!BL$2),DATE(YEAR('DADOS BRUTOS'!BL$2),MONTH('DADOS BRUTOS'!BL$2),1),"")</f>
        <v/>
      </c>
      <c r="EM4" s="45">
        <f>IF(ISNUMBER('DADOS BRUTOS'!BM$2),DATE(YEAR('DADOS BRUTOS'!BM$2),MONTH('DADOS BRUTOS'!BM$2),1),"")</f>
        <v/>
      </c>
      <c r="EN4" s="45">
        <f>IF(ISNUMBER('DADOS BRUTOS'!BN$2),DATE(YEAR('DADOS BRUTOS'!BN$2),MONTH('DADOS BRUTOS'!BN$2),1),"")</f>
        <v/>
      </c>
      <c r="EO4" s="45">
        <f>IF(ISNUMBER('DADOS BRUTOS'!BO$2),DATE(YEAR('DADOS BRUTOS'!BO$2),MONTH('DADOS BRUTOS'!BO$2),1),"")</f>
        <v/>
      </c>
      <c r="EP4" s="45">
        <f>IF(ISNUMBER('DADOS BRUTOS'!BP$2),DATE(YEAR('DADOS BRUTOS'!BP$2),MONTH('DADOS BRUTOS'!BP$2),1),"")</f>
        <v/>
      </c>
      <c r="EQ4" s="45">
        <f>IF(ISNUMBER('DADOS BRUTOS'!BQ$2),DATE(YEAR('DADOS BRUTOS'!BQ$2),MONTH('DADOS BRUTOS'!BQ$2),1),"")</f>
        <v/>
      </c>
      <c r="ER4" s="45">
        <f>IF(ISNUMBER('DADOS BRUTOS'!BR$2),DATE(YEAR('DADOS BRUTOS'!BR$2),MONTH('DADOS BRUTOS'!BR$2),1),"")</f>
        <v/>
      </c>
      <c r="ES4" s="45">
        <f>IF(ISNUMBER('DADOS BRUTOS'!BS$2),DATE(YEAR('DADOS BRUTOS'!BS$2),MONTH('DADOS BRUTOS'!BS$2),1),"")</f>
        <v/>
      </c>
      <c r="ET4" s="45">
        <f>IF(ISNUMBER('DADOS BRUTOS'!BT$2),DATE(YEAR('DADOS BRUTOS'!BT$2),MONTH('DADOS BRUTOS'!BT$2),1),"")</f>
        <v/>
      </c>
      <c r="EU4" s="45">
        <f>IF(ISNUMBER('DADOS BRUTOS'!BU$2),DATE(YEAR('DADOS BRUTOS'!BU$2),MONTH('DADOS BRUTOS'!BU$2),1),"")</f>
        <v/>
      </c>
      <c r="EV4" s="45">
        <f>IF(ISNUMBER('DADOS BRUTOS'!BV$2),DATE(YEAR('DADOS BRUTOS'!BV$2),MONTH('DADOS BRUTOS'!BV$2),1),"")</f>
        <v/>
      </c>
      <c r="EW4" s="45">
        <f>IF(ISNUMBER('DADOS BRUTOS'!BW$2),DATE(YEAR('DADOS BRUTOS'!BW$2),MONTH('DADOS BRUTOS'!BW$2),1),"")</f>
        <v/>
      </c>
      <c r="EX4" s="45">
        <f>IF(ISNUMBER('DADOS BRUTOS'!BX$2),DATE(YEAR('DADOS BRUTOS'!BX$2),MONTH('DADOS BRUTOS'!BX$2),1),"")</f>
        <v/>
      </c>
      <c r="EY4" s="45">
        <f>IF(ISNUMBER('DADOS BRUTOS'!BY$2),DATE(YEAR('DADOS BRUTOS'!BY$2),MONTH('DADOS BRUTOS'!BY$2),1),"")</f>
        <v/>
      </c>
      <c r="EZ4" s="45">
        <f>IF(ISNUMBER('DADOS BRUTOS'!BZ$2),DATE(YEAR('DADOS BRUTOS'!BZ$2),MONTH('DADOS BRUTOS'!BZ$2),1),"")</f>
        <v/>
      </c>
      <c r="FA4" s="45">
        <f>IF(ISNUMBER('DADOS BRUTOS'!CA$2),DATE(YEAR('DADOS BRUTOS'!CA$2),MONTH('DADOS BRUTOS'!CA$2),1),"")</f>
        <v/>
      </c>
      <c r="FB4" s="45">
        <f>IF(ISNUMBER('DADOS BRUTOS'!CB$2),DATE(YEAR('DADOS BRUTOS'!CB$2),MONTH('DADOS BRUTOS'!CB$2),1),"")</f>
        <v/>
      </c>
      <c r="FC4" s="45">
        <f>IF(ISNUMBER('DADOS BRUTOS'!CC$2),DATE(YEAR('DADOS BRUTOS'!CC$2),MONTH('DADOS BRUTOS'!CC$2),1),"")</f>
        <v/>
      </c>
      <c r="FD4" s="45">
        <f>IF(ISNUMBER('DADOS BRUTOS'!CD$2),DATE(YEAR('DADOS BRUTOS'!CD$2),MONTH('DADOS BRUTOS'!CD$2),1),"")</f>
        <v/>
      </c>
      <c r="FE4" s="45">
        <f>IF(ISNUMBER('DADOS BRUTOS'!CE$2),DATE(YEAR('DADOS BRUTOS'!CE$2),MONTH('DADOS BRUTOS'!CE$2),1),"")</f>
        <v/>
      </c>
      <c r="FF4" s="45">
        <f>IF(ISNUMBER('DADOS BRUTOS'!CF$2),DATE(YEAR('DADOS BRUTOS'!CF$2),MONTH('DADOS BRUTOS'!CF$2),1),"")</f>
        <v/>
      </c>
      <c r="FG4" s="45">
        <f>IF(ISNUMBER('DADOS BRUTOS'!CG$2),DATE(YEAR('DADOS BRUTOS'!CG$2),MONTH('DADOS BRUTOS'!CG$2),1),"")</f>
        <v/>
      </c>
      <c r="FH4" s="45">
        <f>IF(ISNUMBER('DADOS BRUTOS'!CH$2),DATE(YEAR('DADOS BRUTOS'!CH$2),MONTH('DADOS BRUTOS'!CH$2),1),"")</f>
        <v/>
      </c>
      <c r="FI4" s="45">
        <f>IF(ISNUMBER('DADOS BRUTOS'!CI$2),DATE(YEAR('DADOS BRUTOS'!CI$2),MONTH('DADOS BRUTOS'!CI$2),1),"")</f>
        <v/>
      </c>
      <c r="FJ4" s="45">
        <f>IF(ISNUMBER('DADOS BRUTOS'!CJ$2),DATE(YEAR('DADOS BRUTOS'!CJ$2),MONTH('DADOS BRUTOS'!CJ$2),1),"")</f>
        <v/>
      </c>
      <c r="FK4" s="45">
        <f>IF(ISNUMBER('DADOS BRUTOS'!CK$2),DATE(YEAR('DADOS BRUTOS'!CK$2),MONTH('DADOS BRUTOS'!CK$2),1),"")</f>
        <v/>
      </c>
      <c r="FL4" s="45">
        <f>IF(ISNUMBER('DADOS BRUTOS'!CL$2),DATE(YEAR('DADOS BRUTOS'!CL$2),MONTH('DADOS BRUTOS'!CL$2),1),"")</f>
        <v/>
      </c>
      <c r="FM4" s="45">
        <f>IF(ISNUMBER('DADOS BRUTOS'!CM$2),DATE(YEAR('DADOS BRUTOS'!CM$2),MONTH('DADOS BRUTOS'!CM$2),1),"")</f>
        <v/>
      </c>
      <c r="FN4" s="45">
        <f>IF(ISNUMBER('DADOS BRUTOS'!CN$2),DATE(YEAR('DADOS BRUTOS'!CN$2),MONTH('DADOS BRUTOS'!CN$2),1),"")</f>
        <v/>
      </c>
      <c r="FO4" s="45">
        <f>IF(ISNUMBER('DADOS BRUTOS'!CO$2),DATE(YEAR('DADOS BRUTOS'!CO$2),MONTH('DADOS BRUTOS'!CO$2),1),"")</f>
        <v/>
      </c>
      <c r="FP4" s="45">
        <f>IF(ISNUMBER('DADOS BRUTOS'!CP$2),DATE(YEAR('DADOS BRUTOS'!CP$2),MONTH('DADOS BRUTOS'!CP$2),1),"")</f>
        <v/>
      </c>
      <c r="FQ4" s="45">
        <f>IF(ISNUMBER('DADOS BRUTOS'!CQ$2),DATE(YEAR('DADOS BRUTOS'!CQ$2),MONTH('DADOS BRUTOS'!CQ$2),1),"")</f>
        <v/>
      </c>
      <c r="FR4" s="45">
        <f>IF(ISNUMBER('DADOS BRUTOS'!CR$2),DATE(YEAR('DADOS BRUTOS'!CR$2),MONTH('DADOS BRUTOS'!CR$2),1),"")</f>
        <v/>
      </c>
      <c r="FS4" s="45">
        <f>IF(ISNUMBER('DADOS BRUTOS'!CS$2),DATE(YEAR('DADOS BRUTOS'!CS$2),MONTH('DADOS BRUTOS'!CS$2),1),"")</f>
        <v/>
      </c>
      <c r="FT4" s="45">
        <f>IF(ISNUMBER('DADOS BRUTOS'!CT$2),DATE(YEAR('DADOS BRUTOS'!CT$2),MONTH('DADOS BRUTOS'!CT$2),1),"")</f>
        <v/>
      </c>
      <c r="FU4" s="45">
        <f>IF(ISNUMBER('DADOS BRUTOS'!CU$2),DATE(YEAR('DADOS BRUTOS'!CU$2),MONTH('DADOS BRUTOS'!CU$2),1),"")</f>
        <v/>
      </c>
      <c r="FV4" s="45">
        <f>IF(ISNUMBER('DADOS BRUTOS'!CV$2),DATE(YEAR('DADOS BRUTOS'!CV$2),MONTH('DADOS BRUTOS'!CV$2),1),"")</f>
        <v/>
      </c>
      <c r="FW4" s="45">
        <f>IF(ISNUMBER('DADOS BRUTOS'!CW$2),DATE(YEAR('DADOS BRUTOS'!CW$2),MONTH('DADOS BRUTOS'!CW$2),1),"")</f>
        <v/>
      </c>
      <c r="FX4" s="45">
        <f>IF(ISNUMBER('DADOS BRUTOS'!CX$2),DATE(YEAR('DADOS BRUTOS'!CX$2),MONTH('DADOS BRUTOS'!CX$2),1),"")</f>
        <v/>
      </c>
      <c r="FY4" s="45">
        <f>IF(ISNUMBER('DADOS BRUTOS'!CY$2),DATE(YEAR('DADOS BRUTOS'!CY$2),MONTH('DADOS BRUTOS'!CY$2),1),"")</f>
        <v/>
      </c>
      <c r="FZ4" s="45">
        <f>IF(ISNUMBER('DADOS BRUTOS'!CZ$2),DATE(YEAR('DADOS BRUTOS'!CZ$2),MONTH('DADOS BRUTOS'!CZ$2),1),"")</f>
        <v/>
      </c>
      <c r="GA4" s="45">
        <f>IF(ISNUMBER('DADOS BRUTOS'!DA$2),DATE(YEAR('DADOS BRUTOS'!DA$2),MONTH('DADOS BRUTOS'!DA$2),1),"")</f>
        <v/>
      </c>
      <c r="GB4" s="45">
        <f>IF(ISNUMBER('DADOS BRUTOS'!DB$2),DATE(YEAR('DADOS BRUTOS'!DB$2),MONTH('DADOS BRUTOS'!DB$2),1),"")</f>
        <v/>
      </c>
      <c r="GC4" s="45">
        <f>IF(ISNUMBER('DADOS BRUTOS'!DC$2),DATE(YEAR('DADOS BRUTOS'!DC$2),MONTH('DADOS BRUTOS'!DC$2),1),"")</f>
        <v/>
      </c>
      <c r="GD4" s="45">
        <f>IF(ISNUMBER('DADOS BRUTOS'!DD$2),DATE(YEAR('DADOS BRUTOS'!DD$2),MONTH('DADOS BRUTOS'!DD$2),1),"")</f>
        <v/>
      </c>
      <c r="GE4" s="45">
        <f>IF(ISNUMBER('DADOS BRUTOS'!DE$2),DATE(YEAR('DADOS BRUTOS'!DE$2),MONTH('DADOS BRUTOS'!DE$2),1),"")</f>
        <v/>
      </c>
      <c r="GF4" s="45">
        <f>IF(ISNUMBER('DADOS BRUTOS'!DF$2),DATE(YEAR('DADOS BRUTOS'!DF$2),MONTH('DADOS BRUTOS'!DF$2),1),"")</f>
        <v/>
      </c>
      <c r="GG4" s="45">
        <f>IF(ISNUMBER('DADOS BRUTOS'!DG$2),DATE(YEAR('DADOS BRUTOS'!DG$2),MONTH('DADOS BRUTOS'!DG$2),1),"")</f>
        <v/>
      </c>
      <c r="GH4" s="45">
        <f>IF(ISNUMBER('DADOS BRUTOS'!DH$2),DATE(YEAR('DADOS BRUTOS'!DH$2),MONTH('DADOS BRUTOS'!DH$2),1),"")</f>
        <v/>
      </c>
      <c r="GI4" s="45">
        <f>IF(ISNUMBER('DADOS BRUTOS'!DI$2),DATE(YEAR('DADOS BRUTOS'!DI$2),MONTH('DADOS BRUTOS'!DI$2),1),"")</f>
        <v/>
      </c>
      <c r="GJ4" s="45">
        <f>IF(ISNUMBER('DADOS BRUTOS'!DJ$2),DATE(YEAR('DADOS BRUTOS'!DJ$2),MONTH('DADOS BRUTOS'!DJ$2),1),"")</f>
        <v/>
      </c>
      <c r="GK4" s="45">
        <f>IF(ISNUMBER('DADOS BRUTOS'!DK$2),DATE(YEAR('DADOS BRUTOS'!DK$2),MONTH('DADOS BRUTOS'!DK$2),1),"")</f>
        <v/>
      </c>
      <c r="GL4" s="45">
        <f>IF(ISNUMBER('DADOS BRUTOS'!DL$2),DATE(YEAR('DADOS BRUTOS'!DL$2),MONTH('DADOS BRUTOS'!DL$2),1),"")</f>
        <v/>
      </c>
      <c r="GM4" s="45">
        <f>IF(ISNUMBER('DADOS BRUTOS'!DM$2),DATE(YEAR('DADOS BRUTOS'!DM$2),MONTH('DADOS BRUTOS'!DM$2),1),"")</f>
        <v/>
      </c>
      <c r="GN4" s="45">
        <f>IF(ISNUMBER('DADOS BRUTOS'!DN$2),DATE(YEAR('DADOS BRUTOS'!DN$2),MONTH('DADOS BRUTOS'!DN$2),1),"")</f>
        <v/>
      </c>
      <c r="GO4" s="45">
        <f>IF(ISNUMBER('DADOS BRUTOS'!DO$2),DATE(YEAR('DADOS BRUTOS'!DO$2),MONTH('DADOS BRUTOS'!DO$2),1),"")</f>
        <v/>
      </c>
      <c r="GP4" s="45">
        <f>IF(ISNUMBER('DADOS BRUTOS'!DP$2),DATE(YEAR('DADOS BRUTOS'!DP$2),MONTH('DADOS BRUTOS'!DP$2),1),"")</f>
        <v/>
      </c>
      <c r="GQ4" s="45">
        <f>IF(ISNUMBER('DADOS BRUTOS'!DQ$2),DATE(YEAR('DADOS BRUTOS'!DQ$2),MONTH('DADOS BRUTOS'!DQ$2),1),"")</f>
        <v/>
      </c>
      <c r="GR4" s="45">
        <f>IF(ISNUMBER('DADOS BRUTOS'!DR$2),DATE(YEAR('DADOS BRUTOS'!DR$2),MONTH('DADOS BRUTOS'!DR$2),1),"")</f>
        <v/>
      </c>
      <c r="GS4" s="45">
        <f>IF(ISNUMBER('DADOS BRUTOS'!DS$2),DATE(YEAR('DADOS BRUTOS'!DS$2),MONTH('DADOS BRUTOS'!DS$2),1),"")</f>
        <v/>
      </c>
      <c r="GT4" s="45">
        <f>IF(ISNUMBER('DADOS BRUTOS'!DT$2),DATE(YEAR('DADOS BRUTOS'!DT$2),MONTH('DADOS BRUTOS'!DT$2),1),"")</f>
        <v/>
      </c>
      <c r="GU4" s="45">
        <f>IF(ISNUMBER('DADOS BRUTOS'!DU$2),DATE(YEAR('DADOS BRUTOS'!DU$2),MONTH('DADOS BRUTOS'!DU$2),1),"")</f>
        <v/>
      </c>
      <c r="GV4" s="45">
        <f>IF(ISNUMBER('DADOS BRUTOS'!DV$2),DATE(YEAR('DADOS BRUTOS'!DV$2),MONTH('DADOS BRUTOS'!DV$2),1),"")</f>
        <v/>
      </c>
      <c r="GW4" s="45">
        <f>IF(ISNUMBER('DADOS BRUTOS'!DW$2),DATE(YEAR('DADOS BRUTOS'!DW$2),MONTH('DADOS BRUTOS'!DW$2),1),"")</f>
        <v/>
      </c>
      <c r="GX4" s="45">
        <f>IF(ISNUMBER('DADOS BRUTOS'!DX$2),DATE(YEAR('DADOS BRUTOS'!DX$2),MONTH('DADOS BRUTOS'!DX$2),1),"")</f>
        <v/>
      </c>
      <c r="GY4" s="45">
        <f>IF(ISNUMBER('DADOS BRUTOS'!DY$2),DATE(YEAR('DADOS BRUTOS'!DY$2),MONTH('DADOS BRUTOS'!DY$2),1),"")</f>
        <v/>
      </c>
      <c r="GZ4" s="45">
        <f>IF(ISNUMBER('DADOS BRUTOS'!DZ$2),DATE(YEAR('DADOS BRUTOS'!DZ$2),MONTH('DADOS BRUTOS'!DZ$2),1),"")</f>
        <v/>
      </c>
      <c r="HA4" s="45">
        <f>IF(ISNUMBER('DADOS BRUTOS'!EA$2),DATE(YEAR('DADOS BRUTOS'!EA$2),MONTH('DADOS BRUTOS'!EA$2),1),"")</f>
        <v/>
      </c>
      <c r="HB4" s="45">
        <f>IF(ISNUMBER('DADOS BRUTOS'!EB$2),DATE(YEAR('DADOS BRUTOS'!EB$2),MONTH('DADOS BRUTOS'!EB$2),1),"")</f>
        <v/>
      </c>
      <c r="HC4" s="45">
        <f>IF(ISNUMBER('DADOS BRUTOS'!EC$2),DATE(YEAR('DADOS BRUTOS'!EC$2),MONTH('DADOS BRUTOS'!EC$2),1),"")</f>
        <v/>
      </c>
      <c r="HD4" s="45">
        <f>IF(ISNUMBER('DADOS BRUTOS'!ED$2),DATE(YEAR('DADOS BRUTOS'!ED$2),MONTH('DADOS BRUTOS'!ED$2),1),"")</f>
        <v/>
      </c>
      <c r="HE4" s="45">
        <f>IF(ISNUMBER('DADOS BRUTOS'!EE$2),DATE(YEAR('DADOS BRUTOS'!EE$2),MONTH('DADOS BRUTOS'!EE$2),1),"")</f>
        <v/>
      </c>
      <c r="HF4" s="45">
        <f>IF(ISNUMBER('DADOS BRUTOS'!EF$2),DATE(YEAR('DADOS BRUTOS'!EF$2),MONTH('DADOS BRUTOS'!EF$2),1),"")</f>
        <v/>
      </c>
      <c r="HG4" s="45">
        <f>IF(ISNUMBER('DADOS BRUTOS'!EG$2),DATE(YEAR('DADOS BRUTOS'!EG$2),MONTH('DADOS BRUTOS'!EG$2),1),"")</f>
        <v/>
      </c>
      <c r="HH4" s="45">
        <f>IF(ISNUMBER('DADOS BRUTOS'!EH$2),DATE(YEAR('DADOS BRUTOS'!EH$2),MONTH('DADOS BRUTOS'!EH$2),1),"")</f>
        <v/>
      </c>
      <c r="HI4" s="45">
        <f>IF(ISNUMBER('DADOS BRUTOS'!EI$2),DATE(YEAR('DADOS BRUTOS'!EI$2),MONTH('DADOS BRUTOS'!EI$2),1),"")</f>
        <v/>
      </c>
      <c r="HJ4" s="45">
        <f>IF(ISNUMBER('DADOS BRUTOS'!EJ$2),DATE(YEAR('DADOS BRUTOS'!EJ$2),MONTH('DADOS BRUTOS'!EJ$2),1),"")</f>
        <v/>
      </c>
      <c r="HK4" s="45">
        <f>IF(ISNUMBER('DADOS BRUTOS'!EK$2),DATE(YEAR('DADOS BRUTOS'!EK$2),MONTH('DADOS BRUTOS'!EK$2),1),"")</f>
        <v/>
      </c>
      <c r="HL4" s="45">
        <f>IF(ISNUMBER('DADOS BRUTOS'!EL$2),DATE(YEAR('DADOS BRUTOS'!EL$2),MONTH('DADOS BRUTOS'!EL$2),1),"")</f>
        <v/>
      </c>
      <c r="HM4" s="45">
        <f>IF(ISNUMBER('DADOS BRUTOS'!EM$2),DATE(YEAR('DADOS BRUTOS'!EM$2),MONTH('DADOS BRUTOS'!EM$2),1),"")</f>
        <v/>
      </c>
      <c r="HN4" s="45">
        <f>IF(ISNUMBER('DADOS BRUTOS'!EN$2),DATE(YEAR('DADOS BRUTOS'!EN$2),MONTH('DADOS BRUTOS'!EN$2),1),"")</f>
        <v/>
      </c>
      <c r="HO4" s="45">
        <f>IF(ISNUMBER('DADOS BRUTOS'!EO$2),DATE(YEAR('DADOS BRUTOS'!EO$2),MONTH('DADOS BRUTOS'!EO$2),1),"")</f>
        <v/>
      </c>
      <c r="HP4" s="45">
        <f>IF(ISNUMBER('DADOS BRUTOS'!EP$2),DATE(YEAR('DADOS BRUTOS'!EP$2),MONTH('DADOS BRUTOS'!EP$2),1),"")</f>
        <v/>
      </c>
      <c r="HQ4" s="45">
        <f>IF(ISNUMBER('DADOS BRUTOS'!EQ$2),DATE(YEAR('DADOS BRUTOS'!EQ$2),MONTH('DADOS BRUTOS'!EQ$2),1),"")</f>
        <v/>
      </c>
      <c r="HR4" s="45">
        <f>IF(ISNUMBER('DADOS BRUTOS'!ER$2),DATE(YEAR('DADOS BRUTOS'!ER$2),MONTH('DADOS BRUTOS'!ER$2),1),"")</f>
        <v/>
      </c>
      <c r="HS4" s="45">
        <f>IF(ISNUMBER('DADOS BRUTOS'!ES$2),DATE(YEAR('DADOS BRUTOS'!ES$2),MONTH('DADOS BRUTOS'!ES$2),1),"")</f>
        <v/>
      </c>
      <c r="HT4" s="45">
        <f>IF(ISNUMBER('DADOS BRUTOS'!ET$2),DATE(YEAR('DADOS BRUTOS'!ET$2),MONTH('DADOS BRUTOS'!ET$2),1),"")</f>
        <v/>
      </c>
      <c r="HU4" s="45">
        <f>IF(ISNUMBER('DADOS BRUTOS'!EU$2),DATE(YEAR('DADOS BRUTOS'!EU$2),MONTH('DADOS BRUTOS'!EU$2),1),"")</f>
        <v/>
      </c>
      <c r="HV4" s="45">
        <f>IF(ISNUMBER('DADOS BRUTOS'!EV$2),DATE(YEAR('DADOS BRUTOS'!EV$2),MONTH('DADOS BRUTOS'!EV$2),1),"")</f>
        <v/>
      </c>
      <c r="HW4" s="45">
        <f>IF(ISNUMBER('DADOS BRUTOS'!EW$2),DATE(YEAR('DADOS BRUTOS'!EW$2),MONTH('DADOS BRUTOS'!EW$2),1),"")</f>
        <v/>
      </c>
      <c r="HX4" s="45">
        <f>IF(ISNUMBER('DADOS BRUTOS'!EX$2),DATE(YEAR('DADOS BRUTOS'!EX$2),MONTH('DADOS BRUTOS'!EX$2),1),"")</f>
        <v/>
      </c>
      <c r="HY4" s="45">
        <f>IF(ISNUMBER('DADOS BRUTOS'!EY$2),DATE(YEAR('DADOS BRUTOS'!EY$2),MONTH('DADOS BRUTOS'!EY$2),1),"")</f>
        <v/>
      </c>
      <c r="HZ4" s="45">
        <f>IF(ISNUMBER('DADOS BRUTOS'!EZ$2),DATE(YEAR('DADOS BRUTOS'!EZ$2),MONTH('DADOS BRUTOS'!EZ$2),1),"")</f>
        <v/>
      </c>
      <c r="IA4" s="45">
        <f>IF(ISNUMBER('DADOS BRUTOS'!FA$2),DATE(YEAR('DADOS BRUTOS'!FA$2),MONTH('DADOS BRUTOS'!FA$2),1),"")</f>
        <v/>
      </c>
      <c r="IB4" s="45">
        <f>IF(ISNUMBER('DADOS BRUTOS'!FB$2),DATE(YEAR('DADOS BRUTOS'!FB$2),MONTH('DADOS BRUTOS'!FB$2),1),"")</f>
        <v/>
      </c>
      <c r="IC4" s="45">
        <f>IF(ISNUMBER('DADOS BRUTOS'!FC$2),DATE(YEAR('DADOS BRUTOS'!FC$2),MONTH('DADOS BRUTOS'!FC$2),1),"")</f>
        <v/>
      </c>
      <c r="ID4" s="45">
        <f>IF(ISNUMBER('DADOS BRUTOS'!FD$2),DATE(YEAR('DADOS BRUTOS'!FD$2),MONTH('DADOS BRUTOS'!FD$2),1),"")</f>
        <v/>
      </c>
      <c r="IE4" s="45">
        <f>IF(ISNUMBER('DADOS BRUTOS'!FE$2),DATE(YEAR('DADOS BRUTOS'!FE$2),MONTH('DADOS BRUTOS'!FE$2),1),"")</f>
        <v/>
      </c>
      <c r="IF4" s="45">
        <f>IF(ISNUMBER('DADOS BRUTOS'!FF$2),DATE(YEAR('DADOS BRUTOS'!FF$2),MONTH('DADOS BRUTOS'!FF$2),1),"")</f>
        <v/>
      </c>
      <c r="IG4" s="45">
        <f>IF(ISNUMBER('DADOS BRUTOS'!FG$2),DATE(YEAR('DADOS BRUTOS'!FG$2),MONTH('DADOS BRUTOS'!FG$2),1),"")</f>
        <v/>
      </c>
      <c r="IH4" s="45">
        <f>IF(ISNUMBER('DADOS BRUTOS'!FH$2),DATE(YEAR('DADOS BRUTOS'!FH$2),MONTH('DADOS BRUTOS'!FH$2),1),"")</f>
        <v/>
      </c>
      <c r="II4" s="45">
        <f>IF(ISNUMBER('DADOS BRUTOS'!FI$2),DATE(YEAR('DADOS BRUTOS'!FI$2),MONTH('DADOS BRUTOS'!FI$2),1),"")</f>
        <v/>
      </c>
      <c r="IJ4" s="45">
        <f>IF(ISNUMBER('DADOS BRUTOS'!FJ$2),DATE(YEAR('DADOS BRUTOS'!FJ$2),MONTH('DADOS BRUTOS'!FJ$2),1),"")</f>
        <v/>
      </c>
      <c r="IK4" s="45">
        <f>IF(ISNUMBER('DADOS BRUTOS'!FK$2),DATE(YEAR('DADOS BRUTOS'!FK$2),MONTH('DADOS BRUTOS'!FK$2),1),"")</f>
        <v/>
      </c>
      <c r="IL4" s="45">
        <f>IF(ISNUMBER('DADOS BRUTOS'!FL$2),DATE(YEAR('DADOS BRUTOS'!FL$2),MONTH('DADOS BRUTOS'!FL$2),1),"")</f>
        <v/>
      </c>
      <c r="IM4" s="45">
        <f>IF(ISNUMBER('DADOS BRUTOS'!FM$2),DATE(YEAR('DADOS BRUTOS'!FM$2),MONTH('DADOS BRUTOS'!FM$2),1),"")</f>
        <v/>
      </c>
      <c r="IN4" s="45">
        <f>IF(ISNUMBER('DADOS BRUTOS'!FN$2),DATE(YEAR('DADOS BRUTOS'!FN$2),MONTH('DADOS BRUTOS'!FN$2),1),"")</f>
        <v/>
      </c>
      <c r="IO4" s="45">
        <f>IF(ISNUMBER('DADOS BRUTOS'!FO$2),DATE(YEAR('DADOS BRUTOS'!FO$2),MONTH('DADOS BRUTOS'!FO$2),1),"")</f>
        <v/>
      </c>
      <c r="IP4" s="45">
        <f>IF(ISNUMBER('DADOS BRUTOS'!FP$2),DATE(YEAR('DADOS BRUTOS'!FP$2),MONTH('DADOS BRUTOS'!FP$2),1),"")</f>
        <v/>
      </c>
      <c r="IQ4" s="45">
        <f>IF(ISNUMBER('DADOS BRUTOS'!FQ$2),DATE(YEAR('DADOS BRUTOS'!FQ$2),MONTH('DADOS BRUTOS'!FQ$2),1),"")</f>
        <v/>
      </c>
      <c r="IR4" s="45">
        <f>IF(ISNUMBER('DADOS BRUTOS'!FR$2),DATE(YEAR('DADOS BRUTOS'!FR$2),MONTH('DADOS BRUTOS'!FR$2),1),"")</f>
        <v/>
      </c>
      <c r="IS4" s="45">
        <f>IF(ISNUMBER('DADOS BRUTOS'!FS$2),DATE(YEAR('DADOS BRUTOS'!FS$2),MONTH('DADOS BRUTOS'!FS$2),1),"")</f>
        <v/>
      </c>
      <c r="IT4" s="45">
        <f>IF(ISNUMBER('DADOS BRUTOS'!FT$2),DATE(YEAR('DADOS BRUTOS'!FT$2),MONTH('DADOS BRUTOS'!FT$2),1),"")</f>
        <v/>
      </c>
      <c r="IU4" s="45">
        <f>IF(ISNUMBER('DADOS BRUTOS'!FU$2),DATE(YEAR('DADOS BRUTOS'!FU$2),MONTH('DADOS BRUTOS'!FU$2),1),"")</f>
        <v/>
      </c>
      <c r="IV4" s="45">
        <f>IF(ISNUMBER('DADOS BRUTOS'!FV$2),DATE(YEAR('DADOS BRUTOS'!FV$2),MONTH('DADOS BRUTOS'!FV$2),1),"")</f>
        <v/>
      </c>
      <c r="IW4" s="45">
        <f>IF(ISNUMBER('DADOS BRUTOS'!FW$2),DATE(YEAR('DADOS BRUTOS'!FW$2),MONTH('DADOS BRUTOS'!FW$2),1),"")</f>
        <v/>
      </c>
      <c r="IX4" s="45">
        <f>IF(ISNUMBER('DADOS BRUTOS'!FX$2),DATE(YEAR('DADOS BRUTOS'!FX$2),MONTH('DADOS BRUTOS'!FX$2),1),"")</f>
        <v/>
      </c>
      <c r="IY4" s="45">
        <f>IF(ISNUMBER('DADOS BRUTOS'!FY$2),DATE(YEAR('DADOS BRUTOS'!FY$2),MONTH('DADOS BRUTOS'!FY$2),1),"")</f>
        <v/>
      </c>
      <c r="IZ4" s="45">
        <f>IF(ISNUMBER('DADOS BRUTOS'!FZ$2),DATE(YEAR('DADOS BRUTOS'!FZ$2),MONTH('DADOS BRUTOS'!FZ$2),1),"")</f>
        <v/>
      </c>
      <c r="JA4" s="45">
        <f>IF(ISNUMBER('DADOS BRUTOS'!GA$2),DATE(YEAR('DADOS BRUTOS'!GA$2),MONTH('DADOS BRUTOS'!GA$2),1),"")</f>
        <v/>
      </c>
      <c r="JB4" s="45">
        <f>IF(ISNUMBER('DADOS BRUTOS'!GB$2),DATE(YEAR('DADOS BRUTOS'!GB$2),MONTH('DADOS BRUTOS'!GB$2),1),"")</f>
        <v/>
      </c>
      <c r="JC4" s="45">
        <f>IF(ISNUMBER('DADOS BRUTOS'!GC$2),DATE(YEAR('DADOS BRUTOS'!GC$2),MONTH('DADOS BRUTOS'!GC$2),1),"")</f>
        <v/>
      </c>
      <c r="JD4" s="45">
        <f>IF(ISNUMBER('DADOS BRUTOS'!GD$2),DATE(YEAR('DADOS BRUTOS'!GD$2),MONTH('DADOS BRUTOS'!GD$2),1),"")</f>
        <v/>
      </c>
      <c r="JE4" s="45">
        <f>IF(ISNUMBER('DADOS BRUTOS'!GE$2),DATE(YEAR('DADOS BRUTOS'!GE$2),MONTH('DADOS BRUTOS'!GE$2),1),"")</f>
        <v/>
      </c>
      <c r="JF4" s="45">
        <f>IF(ISNUMBER('DADOS BRUTOS'!GF$2),DATE(YEAR('DADOS BRUTOS'!GF$2),MONTH('DADOS BRUTOS'!GF$2),1),"")</f>
        <v/>
      </c>
      <c r="JG4" s="45">
        <f>IF(ISNUMBER('DADOS BRUTOS'!GG$2),DATE(YEAR('DADOS BRUTOS'!GG$2),MONTH('DADOS BRUTOS'!GG$2),1),"")</f>
        <v/>
      </c>
      <c r="JH4" s="45">
        <f>IF(ISNUMBER('DADOS BRUTOS'!GH$2),DATE(YEAR('DADOS BRUTOS'!GH$2),MONTH('DADOS BRUTOS'!GH$2),1),"")</f>
        <v/>
      </c>
      <c r="JI4" s="45">
        <f>IF(ISNUMBER('DADOS BRUTOS'!GI$2),DATE(YEAR('DADOS BRUTOS'!GI$2),MONTH('DADOS BRUTOS'!GI$2),1),"")</f>
        <v/>
      </c>
      <c r="JJ4" s="45">
        <f>IF(ISNUMBER('DADOS BRUTOS'!GJ$2),DATE(YEAR('DADOS BRUTOS'!GJ$2),MONTH('DADOS BRUTOS'!GJ$2),1),"")</f>
        <v/>
      </c>
      <c r="JK4" s="45">
        <f>IF(ISNUMBER('DADOS BRUTOS'!GK$2),DATE(YEAR('DADOS BRUTOS'!GK$2),MONTH('DADOS BRUTOS'!GK$2),1),"")</f>
        <v/>
      </c>
      <c r="JL4" s="45">
        <f>IF(ISNUMBER('DADOS BRUTOS'!GL$2),DATE(YEAR('DADOS BRUTOS'!GL$2),MONTH('DADOS BRUTOS'!GL$2),1),"")</f>
        <v/>
      </c>
      <c r="JM4" s="45">
        <f>IF(ISNUMBER('DADOS BRUTOS'!GM$2),DATE(YEAR('DADOS BRUTOS'!GM$2),MONTH('DADOS BRUTOS'!GM$2),1),"")</f>
        <v/>
      </c>
      <c r="JN4" s="45">
        <f>IF(ISNUMBER('DADOS BRUTOS'!GN$2),DATE(YEAR('DADOS BRUTOS'!GN$2),MONTH('DADOS BRUTOS'!GN$2),1),"")</f>
        <v/>
      </c>
      <c r="JO4" s="45">
        <f>IF(ISNUMBER('DADOS BRUTOS'!GO$2),DATE(YEAR('DADOS BRUTOS'!GO$2),MONTH('DADOS BRUTOS'!GO$2),1),"")</f>
        <v/>
      </c>
      <c r="JP4" s="45">
        <f>IF(ISNUMBER('DADOS BRUTOS'!GP$2),DATE(YEAR('DADOS BRUTOS'!GP$2),MONTH('DADOS BRUTOS'!GP$2),1),"")</f>
        <v/>
      </c>
      <c r="JQ4" s="45">
        <f>IF(ISNUMBER('DADOS BRUTOS'!GQ$2),DATE(YEAR('DADOS BRUTOS'!GQ$2),MONTH('DADOS BRUTOS'!GQ$2),1),"")</f>
        <v/>
      </c>
      <c r="JR4" s="45">
        <f>IF(ISNUMBER('DADOS BRUTOS'!GR$2),DATE(YEAR('DADOS BRUTOS'!GR$2),MONTH('DADOS BRUTOS'!GR$2),1),"")</f>
        <v/>
      </c>
      <c r="JS4" s="45">
        <f>IF(ISNUMBER('DADOS BRUTOS'!GS$2),DATE(YEAR('DADOS BRUTOS'!GS$2),MONTH('DADOS BRUTOS'!GS$2),1),"")</f>
        <v/>
      </c>
    </row>
    <row r="5">
      <c r="A5" s="34">
        <f>'VALOR POR PL'!D11</f>
        <v/>
      </c>
      <c r="B5" s="21" t="inlineStr">
        <is>
          <t>PROJETOS</t>
        </is>
      </c>
      <c r="C5" s="21" t="n"/>
      <c r="D5" s="17">
        <f>SUMIF($CB$4:$JS$4,"&lt;="&amp;D$4,$CB5:$JS5)</f>
        <v/>
      </c>
      <c r="E5" s="17">
        <f>SUMIF($CB$4:$JS$4,E$4,$CB5:$JS5)</f>
        <v/>
      </c>
      <c r="F5" s="17">
        <f>SUMIF($CB$4:$JS$4,F$4,$CB5:$JS5)</f>
        <v/>
      </c>
      <c r="G5" s="17">
        <f>SUMIF($CB$4:$JS$4,G$4,$CB5:$JS5)</f>
        <v/>
      </c>
      <c r="H5" s="17">
        <f>SUMIF($CB$4:$JS$4,H$4,$CB5:$JS5)</f>
        <v/>
      </c>
      <c r="I5" s="17">
        <f>SUMIF($CB$4:$JS$4,I$4,$CB5:$JS5)</f>
        <v/>
      </c>
      <c r="J5" s="17">
        <f>SUMIF($CB$4:$JS$4,J$4,$CB5:$JS5)</f>
        <v/>
      </c>
      <c r="K5" s="17">
        <f>SUMIF($CB$4:$JS$4,K$4,$CB5:$JS5)</f>
        <v/>
      </c>
      <c r="L5" s="17">
        <f>SUMIF($CB$4:$JS$4,L$4,$CB5:$JS5)</f>
        <v/>
      </c>
      <c r="M5" s="17">
        <f>SUMIF($CB$4:$JS$4,M$4,$CB5:$JS5)</f>
        <v/>
      </c>
      <c r="N5" s="17">
        <f>SUMIF($CB$4:$JS$4,N$4,$CB5:$JS5)</f>
        <v/>
      </c>
      <c r="O5" s="17">
        <f>SUMIF($CB$4:$JS$4,O$4,$CB5:$JS5)</f>
        <v/>
      </c>
      <c r="P5" s="17">
        <f>SUMIF($CB$4:$JS$4,P$4,$CB5:$JS5)</f>
        <v/>
      </c>
      <c r="Q5" s="17">
        <f>SUMIF($CB$4:$JS$4,Q$4,$CB5:$JS5)</f>
        <v/>
      </c>
      <c r="R5" s="17">
        <f>SUMIF($CB$4:$JS$4,R$4,$CB5:$JS5)</f>
        <v/>
      </c>
      <c r="S5" s="17">
        <f>SUMIF($CB$4:$JS$4,S$4,$CB5:$JS5)</f>
        <v/>
      </c>
      <c r="T5" s="17">
        <f>SUMIF($CB$4:$JS$4,T$4,$CB5:$JS5)</f>
        <v/>
      </c>
      <c r="U5" s="17">
        <f>SUMIF($CB$4:$JS$4,U$4,$CB5:$JS5)</f>
        <v/>
      </c>
      <c r="V5" s="17">
        <f>SUMIF($CB$4:$JS$4,V$4,$CB5:$JS5)</f>
        <v/>
      </c>
      <c r="W5" s="17">
        <f>SUMIF($CB$4:$JS$4,W$4,$CB5:$JS5)</f>
        <v/>
      </c>
      <c r="X5" s="17">
        <f>SUMIF($CB$4:$JS$4,X$4,$CB5:$JS5)</f>
        <v/>
      </c>
      <c r="Y5" s="17">
        <f>SUMIF($CB$4:$JS$4,Y$4,$CB5:$JS5)</f>
        <v/>
      </c>
      <c r="Z5" s="17">
        <f>SUMIF($CB$4:$JS$4,Z$4,$CB5:$JS5)</f>
        <v/>
      </c>
      <c r="AA5" s="17">
        <f>SUMIF($CB$4:$JS$4,AA$4,$CB5:$JS5)</f>
        <v/>
      </c>
      <c r="AB5" s="17">
        <f>SUMIF($CB$4:$JS$4,AB$4,$CB5:$JS5)</f>
        <v/>
      </c>
      <c r="AC5" s="17">
        <f>SUMIF($CB$4:$JS$4,AC$4,$CB5:$JS5)</f>
        <v/>
      </c>
      <c r="AD5" s="17">
        <f>SUMIF($CB$4:$JS$4,AD$4,$CB5:$JS5)</f>
        <v/>
      </c>
      <c r="AE5" s="17">
        <f>SUMIF($CB$4:$JS$4,AE$4,$CB5:$JS5)</f>
        <v/>
      </c>
      <c r="AF5" s="17">
        <f>SUMIF($CB$4:$JS$4,AF$4,$CB5:$JS5)</f>
        <v/>
      </c>
      <c r="AG5" s="17">
        <f>SUMIF($CB$4:$JS$4,AG$4,$CB5:$JS5)</f>
        <v/>
      </c>
      <c r="AH5" s="17">
        <f>SUMIF($CB$4:$JS$4,AH$4,$CB5:$JS5)</f>
        <v/>
      </c>
      <c r="AI5" s="17">
        <f>SUMIF($CB$4:$JS$4,AI$4,$CB5:$JS5)</f>
        <v/>
      </c>
      <c r="AJ5" s="17">
        <f>SUMIF($CB$4:$JS$4,AJ$4,$CB5:$JS5)</f>
        <v/>
      </c>
      <c r="AK5" s="17">
        <f>SUMIF($CB$4:$JS$4,AK$4,$CB5:$JS5)</f>
        <v/>
      </c>
      <c r="AL5" s="17">
        <f>SUMIF($CB$4:$JS$4,AL$4,$CB5:$JS5)</f>
        <v/>
      </c>
      <c r="AM5" s="17">
        <f>SUMIF($CB$4:$JS$4,AM$4,$CB5:$JS5)</f>
        <v/>
      </c>
      <c r="AN5" s="17">
        <f>SUMIF($CB$4:$JS$4,AN$4,$CB5:$JS5)</f>
        <v/>
      </c>
      <c r="AO5" s="17">
        <f>SUMIF($CB$4:$JS$4,AO$4,$CB5:$JS5)</f>
        <v/>
      </c>
      <c r="AP5" s="17">
        <f>SUMIF($CB$4:$JS$4,AP$4,$CB5:$JS5)</f>
        <v/>
      </c>
      <c r="AQ5" s="17">
        <f>SUMIF($CB$4:$JS$4,AQ$4,$CB5:$JS5)</f>
        <v/>
      </c>
      <c r="AR5" s="17">
        <f>SUMIF($CB$4:$JS$4,AR$4,$CB5:$JS5)</f>
        <v/>
      </c>
      <c r="AS5" s="17">
        <f>SUMIF($CB$4:$JS$4,AS$4,$CB5:$JS5)</f>
        <v/>
      </c>
      <c r="AT5" s="17">
        <f>SUMIF($CB$4:$JS$4,AT$4,$CB5:$JS5)</f>
        <v/>
      </c>
      <c r="AU5" s="17">
        <f>SUMIF($CB$4:$JS$4,AU$4,$CB5:$JS5)</f>
        <v/>
      </c>
      <c r="AV5" s="17">
        <f>SUMIF($CB$4:$JS$4,AV$4,$CB5:$JS5)</f>
        <v/>
      </c>
      <c r="AW5" s="17">
        <f>SUMIF($CB$4:$JS$4,AW$4,$CB5:$JS5)</f>
        <v/>
      </c>
      <c r="AX5" s="17">
        <f>SUMIF($CB$4:$JS$4,AX$4,$CB5:$JS5)</f>
        <v/>
      </c>
      <c r="AY5" s="17">
        <f>SUMIF($CB$4:$JS$4,AY$4,$CB5:$JS5)</f>
        <v/>
      </c>
      <c r="AZ5" s="17">
        <f>SUMIF($CB$4:$JS$4,AZ$4,$CB5:$JS5)</f>
        <v/>
      </c>
      <c r="BA5" s="17">
        <f>SUMIF($CB$4:$JS$4,BA$4,$CB5:$JS5)</f>
        <v/>
      </c>
      <c r="BB5" s="17">
        <f>SUMIF($CB$4:$JS$4,BB$4,$CB5:$JS5)</f>
        <v/>
      </c>
      <c r="BC5" s="17">
        <f>SUMIF($CB$4:$JS$4,BC$4,$CB5:$JS5)</f>
        <v/>
      </c>
      <c r="BD5" s="17">
        <f>SUMIF($CB$4:$JS$4,BD$4,$CB5:$JS5)</f>
        <v/>
      </c>
      <c r="BE5" s="17">
        <f>SUMIF($CB$4:$JS$4,BE$4,$CB5:$JS5)</f>
        <v/>
      </c>
      <c r="BF5" s="17">
        <f>SUMIF($CB$4:$JS$4,BF$4,$CB5:$JS5)</f>
        <v/>
      </c>
      <c r="BG5" s="17">
        <f>SUMIF($CB$4:$JS$4,BG$4,$CB5:$JS5)</f>
        <v/>
      </c>
      <c r="BH5" s="17">
        <f>SUMIF($CB$4:$JS$4,BH$4,$CB5:$JS5)</f>
        <v/>
      </c>
      <c r="BI5" s="17">
        <f>SUMIF($CB$4:$JS$4,BI$4,$CB5:$JS5)</f>
        <v/>
      </c>
      <c r="BJ5" s="17">
        <f>SUMIF($CB$4:$JS$4,BJ$4,$CB5:$JS5)</f>
        <v/>
      </c>
      <c r="BK5" s="17">
        <f>SUMIF($CB$4:$JS$4,BK$4,$CB5:$JS5)</f>
        <v/>
      </c>
      <c r="BL5" s="17">
        <f>SUMIF($CB$4:$JS$4,BL$4,$CB5:$JS5)</f>
        <v/>
      </c>
      <c r="BM5" s="17">
        <f>SUMIF($CB$4:$JS$4,BM$4,$CB5:$JS5)</f>
        <v/>
      </c>
      <c r="BN5" s="17">
        <f>SUMIF($CB$4:$JS$4,BN$4,$CB5:$JS5)</f>
        <v/>
      </c>
      <c r="BO5" s="17">
        <f>SUMIF($CB$4:$JS$4,BO$4,$CB5:$JS5)</f>
        <v/>
      </c>
      <c r="BP5" s="17">
        <f>SUMIF($CB$4:$JS$4,BP$4,$CB5:$JS5)</f>
        <v/>
      </c>
      <c r="BQ5" s="17">
        <f>SUMIF($CB$4:$JS$4,BQ$4,$CB5:$JS5)</f>
        <v/>
      </c>
      <c r="BR5" s="17">
        <f>SUMIF($CB$4:$JS$4,BR$4,$CB5:$JS5)</f>
        <v/>
      </c>
      <c r="BS5" s="17">
        <f>SUMIF($CB$4:$JS$4,BS$4,$CB5:$JS5)</f>
        <v/>
      </c>
      <c r="BT5" s="17">
        <f>SUMIF($CB$4:$JS$4,BT$4,$CB5:$JS5)</f>
        <v/>
      </c>
      <c r="BU5" s="17">
        <f>SUMIF($CB$4:$JS$4,BU$4,$CB5:$JS5)</f>
        <v/>
      </c>
      <c r="BV5" s="17">
        <f>SUMIF($CB$4:$JS$4,BV$4,$CB5:$JS5)</f>
        <v/>
      </c>
      <c r="BW5" s="17">
        <f>SUMIF($CB$4:$JS$4,BW$4,$CB5:$JS5)</f>
        <v/>
      </c>
      <c r="BX5" s="17">
        <f>SUMIF($CB$4:$JS$4,"&gt;"&amp;'VALOR POR PL'!$P$8,$CB5:$JS5)</f>
        <v/>
      </c>
      <c r="BY5" s="17">
        <f>SUM($CB5:$JS5)</f>
        <v/>
      </c>
      <c r="CB5" s="56">
        <f>IF(OR(CB$4="",$B5=""),0,SUMIF('DADOS BRUTOS'!$A$3:$A$500,$B5,'DADOS BRUTOS'!B$3:B$500)+IF($C5="",0,SUMIF('DADOS BRUTOS'!$A$3:$A$500,$C5,'DADOS BRUTOS'!B$3:B$500)))</f>
        <v/>
      </c>
      <c r="CC5" s="56">
        <f>IF(OR(CC$4="",$B5=""),0,SUMIF('DADOS BRUTOS'!$A$3:$A$500,$B5,'DADOS BRUTOS'!C$3:C$500)+IF($C5="",0,SUMIF('DADOS BRUTOS'!$A$3:$A$500,$C5,'DADOS BRUTOS'!C$3:C$500)))</f>
        <v/>
      </c>
      <c r="CD5" s="56">
        <f>IF(OR(CD$4="",$B5=""),0,SUMIF('DADOS BRUTOS'!$A$3:$A$500,$B5,'DADOS BRUTOS'!D$3:D$500)+IF($C5="",0,SUMIF('DADOS BRUTOS'!$A$3:$A$500,$C5,'DADOS BRUTOS'!D$3:D$500)))</f>
        <v/>
      </c>
      <c r="CE5" s="56">
        <f>IF(OR(CE$4="",$B5=""),0,SUMIF('DADOS BRUTOS'!$A$3:$A$500,$B5,'DADOS BRUTOS'!E$3:E$500)+IF($C5="",0,SUMIF('DADOS BRUTOS'!$A$3:$A$500,$C5,'DADOS BRUTOS'!E$3:E$500)))</f>
        <v/>
      </c>
      <c r="CF5" s="56">
        <f>IF(OR(CF$4="",$B5=""),0,SUMIF('DADOS BRUTOS'!$A$3:$A$500,$B5,'DADOS BRUTOS'!F$3:F$500)+IF($C5="",0,SUMIF('DADOS BRUTOS'!$A$3:$A$500,$C5,'DADOS BRUTOS'!F$3:F$500)))</f>
        <v/>
      </c>
      <c r="CG5" s="56">
        <f>IF(OR(CG$4="",$B5=""),0,SUMIF('DADOS BRUTOS'!$A$3:$A$500,$B5,'DADOS BRUTOS'!G$3:G$500)+IF($C5="",0,SUMIF('DADOS BRUTOS'!$A$3:$A$500,$C5,'DADOS BRUTOS'!G$3:G$500)))</f>
        <v/>
      </c>
      <c r="CH5" s="56">
        <f>IF(OR(CH$4="",$B5=""),0,SUMIF('DADOS BRUTOS'!$A$3:$A$500,$B5,'DADOS BRUTOS'!H$3:H$500)+IF($C5="",0,SUMIF('DADOS BRUTOS'!$A$3:$A$500,$C5,'DADOS BRUTOS'!H$3:H$500)))</f>
        <v/>
      </c>
      <c r="CI5" s="56">
        <f>IF(OR(CI$4="",$B5=""),0,SUMIF('DADOS BRUTOS'!$A$3:$A$500,$B5,'DADOS BRUTOS'!I$3:I$500)+IF($C5="",0,SUMIF('DADOS BRUTOS'!$A$3:$A$500,$C5,'DADOS BRUTOS'!I$3:I$500)))</f>
        <v/>
      </c>
      <c r="CJ5" s="56">
        <f>IF(OR(CJ$4="",$B5=""),0,SUMIF('DADOS BRUTOS'!$A$3:$A$500,$B5,'DADOS BRUTOS'!J$3:J$500)+IF($C5="",0,SUMIF('DADOS BRUTOS'!$A$3:$A$500,$C5,'DADOS BRUTOS'!J$3:J$500)))</f>
        <v/>
      </c>
      <c r="CK5" s="56">
        <f>IF(OR(CK$4="",$B5=""),0,SUMIF('DADOS BRUTOS'!$A$3:$A$500,$B5,'DADOS BRUTOS'!K$3:K$500)+IF($C5="",0,SUMIF('DADOS BRUTOS'!$A$3:$A$500,$C5,'DADOS BRUTOS'!K$3:K$500)))</f>
        <v/>
      </c>
      <c r="CL5" s="56">
        <f>IF(OR(CL$4="",$B5=""),0,SUMIF('DADOS BRUTOS'!$A$3:$A$500,$B5,'DADOS BRUTOS'!L$3:L$500)+IF($C5="",0,SUMIF('DADOS BRUTOS'!$A$3:$A$500,$C5,'DADOS BRUTOS'!L$3:L$500)))</f>
        <v/>
      </c>
      <c r="CM5" s="56">
        <f>IF(OR(CM$4="",$B5=""),0,SUMIF('DADOS BRUTOS'!$A$3:$A$500,$B5,'DADOS BRUTOS'!M$3:M$500)+IF($C5="",0,SUMIF('DADOS BRUTOS'!$A$3:$A$500,$C5,'DADOS BRUTOS'!M$3:M$500)))</f>
        <v/>
      </c>
      <c r="CN5" s="56">
        <f>IF(OR(CN$4="",$B5=""),0,SUMIF('DADOS BRUTOS'!$A$3:$A$500,$B5,'DADOS BRUTOS'!N$3:N$500)+IF($C5="",0,SUMIF('DADOS BRUTOS'!$A$3:$A$500,$C5,'DADOS BRUTOS'!N$3:N$500)))</f>
        <v/>
      </c>
      <c r="CO5" s="56">
        <f>IF(OR(CO$4="",$B5=""),0,SUMIF('DADOS BRUTOS'!$A$3:$A$500,$B5,'DADOS BRUTOS'!O$3:O$500)+IF($C5="",0,SUMIF('DADOS BRUTOS'!$A$3:$A$500,$C5,'DADOS BRUTOS'!O$3:O$500)))</f>
        <v/>
      </c>
      <c r="CP5" s="56">
        <f>IF(OR(CP$4="",$B5=""),0,SUMIF('DADOS BRUTOS'!$A$3:$A$500,$B5,'DADOS BRUTOS'!P$3:P$500)+IF($C5="",0,SUMIF('DADOS BRUTOS'!$A$3:$A$500,$C5,'DADOS BRUTOS'!P$3:P$500)))</f>
        <v/>
      </c>
      <c r="CQ5" s="56">
        <f>IF(OR(CQ$4="",$B5=""),0,SUMIF('DADOS BRUTOS'!$A$3:$A$500,$B5,'DADOS BRUTOS'!Q$3:Q$500)+IF($C5="",0,SUMIF('DADOS BRUTOS'!$A$3:$A$500,$C5,'DADOS BRUTOS'!Q$3:Q$500)))</f>
        <v/>
      </c>
      <c r="CR5" s="56">
        <f>IF(OR(CR$4="",$B5=""),0,SUMIF('DADOS BRUTOS'!$A$3:$A$500,$B5,'DADOS BRUTOS'!R$3:R$500)+IF($C5="",0,SUMIF('DADOS BRUTOS'!$A$3:$A$500,$C5,'DADOS BRUTOS'!R$3:R$500)))</f>
        <v/>
      </c>
      <c r="CS5" s="56">
        <f>IF(OR(CS$4="",$B5=""),0,SUMIF('DADOS BRUTOS'!$A$3:$A$500,$B5,'DADOS BRUTOS'!S$3:S$500)+IF($C5="",0,SUMIF('DADOS BRUTOS'!$A$3:$A$500,$C5,'DADOS BRUTOS'!S$3:S$500)))</f>
        <v/>
      </c>
      <c r="CT5" s="56">
        <f>IF(OR(CT$4="",$B5=""),0,SUMIF('DADOS BRUTOS'!$A$3:$A$500,$B5,'DADOS BRUTOS'!T$3:T$500)+IF($C5="",0,SUMIF('DADOS BRUTOS'!$A$3:$A$500,$C5,'DADOS BRUTOS'!T$3:T$500)))</f>
        <v/>
      </c>
      <c r="CU5" s="56">
        <f>IF(OR(CU$4="",$B5=""),0,SUMIF('DADOS BRUTOS'!$A$3:$A$500,$B5,'DADOS BRUTOS'!U$3:U$500)+IF($C5="",0,SUMIF('DADOS BRUTOS'!$A$3:$A$500,$C5,'DADOS BRUTOS'!U$3:U$500)))</f>
        <v/>
      </c>
      <c r="CV5" s="56">
        <f>IF(OR(CV$4="",$B5=""),0,SUMIF('DADOS BRUTOS'!$A$3:$A$500,$B5,'DADOS BRUTOS'!V$3:V$500)+IF($C5="",0,SUMIF('DADOS BRUTOS'!$A$3:$A$500,$C5,'DADOS BRUTOS'!V$3:V$500)))</f>
        <v/>
      </c>
      <c r="CW5" s="56">
        <f>IF(OR(CW$4="",$B5=""),0,SUMIF('DADOS BRUTOS'!$A$3:$A$500,$B5,'DADOS BRUTOS'!W$3:W$500)+IF($C5="",0,SUMIF('DADOS BRUTOS'!$A$3:$A$500,$C5,'DADOS BRUTOS'!W$3:W$500)))</f>
        <v/>
      </c>
      <c r="CX5" s="56">
        <f>IF(OR(CX$4="",$B5=""),0,SUMIF('DADOS BRUTOS'!$A$3:$A$500,$B5,'DADOS BRUTOS'!X$3:X$500)+IF($C5="",0,SUMIF('DADOS BRUTOS'!$A$3:$A$500,$C5,'DADOS BRUTOS'!X$3:X$500)))</f>
        <v/>
      </c>
      <c r="CY5" s="56">
        <f>IF(OR(CY$4="",$B5=""),0,SUMIF('DADOS BRUTOS'!$A$3:$A$500,$B5,'DADOS BRUTOS'!Y$3:Y$500)+IF($C5="",0,SUMIF('DADOS BRUTOS'!$A$3:$A$500,$C5,'DADOS BRUTOS'!Y$3:Y$500)))</f>
        <v/>
      </c>
      <c r="CZ5" s="56">
        <f>IF(OR(CZ$4="",$B5=""),0,SUMIF('DADOS BRUTOS'!$A$3:$A$500,$B5,'DADOS BRUTOS'!Z$3:Z$500)+IF($C5="",0,SUMIF('DADOS BRUTOS'!$A$3:$A$500,$C5,'DADOS BRUTOS'!Z$3:Z$500)))</f>
        <v/>
      </c>
      <c r="DA5" s="56">
        <f>IF(OR(DA$4="",$B5=""),0,SUMIF('DADOS BRUTOS'!$A$3:$A$500,$B5,'DADOS BRUTOS'!AA$3:AA$500)+IF($C5="",0,SUMIF('DADOS BRUTOS'!$A$3:$A$500,$C5,'DADOS BRUTOS'!AA$3:AA$500)))</f>
        <v/>
      </c>
      <c r="DB5" s="56">
        <f>IF(OR(DB$4="",$B5=""),0,SUMIF('DADOS BRUTOS'!$A$3:$A$500,$B5,'DADOS BRUTOS'!AB$3:AB$500)+IF($C5="",0,SUMIF('DADOS BRUTOS'!$A$3:$A$500,$C5,'DADOS BRUTOS'!AB$3:AB$500)))</f>
        <v/>
      </c>
      <c r="DC5" s="56">
        <f>IF(OR(DC$4="",$B5=""),0,SUMIF('DADOS BRUTOS'!$A$3:$A$500,$B5,'DADOS BRUTOS'!AC$3:AC$500)+IF($C5="",0,SUMIF('DADOS BRUTOS'!$A$3:$A$500,$C5,'DADOS BRUTOS'!AC$3:AC$500)))</f>
        <v/>
      </c>
      <c r="DD5" s="56">
        <f>IF(OR(DD$4="",$B5=""),0,SUMIF('DADOS BRUTOS'!$A$3:$A$500,$B5,'DADOS BRUTOS'!AD$3:AD$500)+IF($C5="",0,SUMIF('DADOS BRUTOS'!$A$3:$A$500,$C5,'DADOS BRUTOS'!AD$3:AD$500)))</f>
        <v/>
      </c>
      <c r="DE5" s="56">
        <f>IF(OR(DE$4="",$B5=""),0,SUMIF('DADOS BRUTOS'!$A$3:$A$500,$B5,'DADOS BRUTOS'!AE$3:AE$500)+IF($C5="",0,SUMIF('DADOS BRUTOS'!$A$3:$A$500,$C5,'DADOS BRUTOS'!AE$3:AE$500)))</f>
        <v/>
      </c>
      <c r="DF5" s="56">
        <f>IF(OR(DF$4="",$B5=""),0,SUMIF('DADOS BRUTOS'!$A$3:$A$500,$B5,'DADOS BRUTOS'!AF$3:AF$500)+IF($C5="",0,SUMIF('DADOS BRUTOS'!$A$3:$A$500,$C5,'DADOS BRUTOS'!AF$3:AF$500)))</f>
        <v/>
      </c>
      <c r="DG5" s="56">
        <f>IF(OR(DG$4="",$B5=""),0,SUMIF('DADOS BRUTOS'!$A$3:$A$500,$B5,'DADOS BRUTOS'!AG$3:AG$500)+IF($C5="",0,SUMIF('DADOS BRUTOS'!$A$3:$A$500,$C5,'DADOS BRUTOS'!AG$3:AG$500)))</f>
        <v/>
      </c>
      <c r="DH5" s="56">
        <f>IF(OR(DH$4="",$B5=""),0,SUMIF('DADOS BRUTOS'!$A$3:$A$500,$B5,'DADOS BRUTOS'!AH$3:AH$500)+IF($C5="",0,SUMIF('DADOS BRUTOS'!$A$3:$A$500,$C5,'DADOS BRUTOS'!AH$3:AH$500)))</f>
        <v/>
      </c>
      <c r="DI5" s="56">
        <f>IF(OR(DI$4="",$B5=""),0,SUMIF('DADOS BRUTOS'!$A$3:$A$500,$B5,'DADOS BRUTOS'!AI$3:AI$500)+IF($C5="",0,SUMIF('DADOS BRUTOS'!$A$3:$A$500,$C5,'DADOS BRUTOS'!AI$3:AI$500)))</f>
        <v/>
      </c>
      <c r="DJ5" s="56">
        <f>IF(OR(DJ$4="",$B5=""),0,SUMIF('DADOS BRUTOS'!$A$3:$A$500,$B5,'DADOS BRUTOS'!AJ$3:AJ$500)+IF($C5="",0,SUMIF('DADOS BRUTOS'!$A$3:$A$500,$C5,'DADOS BRUTOS'!AJ$3:AJ$500)))</f>
        <v/>
      </c>
      <c r="DK5" s="56">
        <f>IF(OR(DK$4="",$B5=""),0,SUMIF('DADOS BRUTOS'!$A$3:$A$500,$B5,'DADOS BRUTOS'!AK$3:AK$500)+IF($C5="",0,SUMIF('DADOS BRUTOS'!$A$3:$A$500,$C5,'DADOS BRUTOS'!AK$3:AK$500)))</f>
        <v/>
      </c>
      <c r="DL5" s="56">
        <f>IF(OR(DL$4="",$B5=""),0,SUMIF('DADOS BRUTOS'!$A$3:$A$500,$B5,'DADOS BRUTOS'!AL$3:AL$500)+IF($C5="",0,SUMIF('DADOS BRUTOS'!$A$3:$A$500,$C5,'DADOS BRUTOS'!AL$3:AL$500)))</f>
        <v/>
      </c>
      <c r="DM5" s="56">
        <f>IF(OR(DM$4="",$B5=""),0,SUMIF('DADOS BRUTOS'!$A$3:$A$500,$B5,'DADOS BRUTOS'!AM$3:AM$500)+IF($C5="",0,SUMIF('DADOS BRUTOS'!$A$3:$A$500,$C5,'DADOS BRUTOS'!AM$3:AM$500)))</f>
        <v/>
      </c>
      <c r="DN5" s="56">
        <f>IF(OR(DN$4="",$B5=""),0,SUMIF('DADOS BRUTOS'!$A$3:$A$500,$B5,'DADOS BRUTOS'!AN$3:AN$500)+IF($C5="",0,SUMIF('DADOS BRUTOS'!$A$3:$A$500,$C5,'DADOS BRUTOS'!AN$3:AN$500)))</f>
        <v/>
      </c>
      <c r="DO5" s="56">
        <f>IF(OR(DO$4="",$B5=""),0,SUMIF('DADOS BRUTOS'!$A$3:$A$500,$B5,'DADOS BRUTOS'!AO$3:AO$500)+IF($C5="",0,SUMIF('DADOS BRUTOS'!$A$3:$A$500,$C5,'DADOS BRUTOS'!AO$3:AO$500)))</f>
        <v/>
      </c>
      <c r="DP5" s="56">
        <f>IF(OR(DP$4="",$B5=""),0,SUMIF('DADOS BRUTOS'!$A$3:$A$500,$B5,'DADOS BRUTOS'!AP$3:AP$500)+IF($C5="",0,SUMIF('DADOS BRUTOS'!$A$3:$A$500,$C5,'DADOS BRUTOS'!AP$3:AP$500)))</f>
        <v/>
      </c>
      <c r="DQ5" s="56">
        <f>IF(OR(DQ$4="",$B5=""),0,SUMIF('DADOS BRUTOS'!$A$3:$A$500,$B5,'DADOS BRUTOS'!AQ$3:AQ$500)+IF($C5="",0,SUMIF('DADOS BRUTOS'!$A$3:$A$500,$C5,'DADOS BRUTOS'!AQ$3:AQ$500)))</f>
        <v/>
      </c>
      <c r="DR5" s="56">
        <f>IF(OR(DR$4="",$B5=""),0,SUMIF('DADOS BRUTOS'!$A$3:$A$500,$B5,'DADOS BRUTOS'!AR$3:AR$500)+IF($C5="",0,SUMIF('DADOS BRUTOS'!$A$3:$A$500,$C5,'DADOS BRUTOS'!AR$3:AR$500)))</f>
        <v/>
      </c>
      <c r="DS5" s="56">
        <f>IF(OR(DS$4="",$B5=""),0,SUMIF('DADOS BRUTOS'!$A$3:$A$500,$B5,'DADOS BRUTOS'!AS$3:AS$500)+IF($C5="",0,SUMIF('DADOS BRUTOS'!$A$3:$A$500,$C5,'DADOS BRUTOS'!AS$3:AS$500)))</f>
        <v/>
      </c>
      <c r="DT5" s="56">
        <f>IF(OR(DT$4="",$B5=""),0,SUMIF('DADOS BRUTOS'!$A$3:$A$500,$B5,'DADOS BRUTOS'!AT$3:AT$500)+IF($C5="",0,SUMIF('DADOS BRUTOS'!$A$3:$A$500,$C5,'DADOS BRUTOS'!AT$3:AT$500)))</f>
        <v/>
      </c>
      <c r="DU5" s="56">
        <f>IF(OR(DU$4="",$B5=""),0,SUMIF('DADOS BRUTOS'!$A$3:$A$500,$B5,'DADOS BRUTOS'!AU$3:AU$500)+IF($C5="",0,SUMIF('DADOS BRUTOS'!$A$3:$A$500,$C5,'DADOS BRUTOS'!AU$3:AU$500)))</f>
        <v/>
      </c>
      <c r="DV5" s="56">
        <f>IF(OR(DV$4="",$B5=""),0,SUMIF('DADOS BRUTOS'!$A$3:$A$500,$B5,'DADOS BRUTOS'!AV$3:AV$500)+IF($C5="",0,SUMIF('DADOS BRUTOS'!$A$3:$A$500,$C5,'DADOS BRUTOS'!AV$3:AV$500)))</f>
        <v/>
      </c>
      <c r="DW5" s="56">
        <f>IF(OR(DW$4="",$B5=""),0,SUMIF('DADOS BRUTOS'!$A$3:$A$500,$B5,'DADOS BRUTOS'!AW$3:AW$500)+IF($C5="",0,SUMIF('DADOS BRUTOS'!$A$3:$A$500,$C5,'DADOS BRUTOS'!AW$3:AW$500)))</f>
        <v/>
      </c>
      <c r="DX5" s="56">
        <f>IF(OR(DX$4="",$B5=""),0,SUMIF('DADOS BRUTOS'!$A$3:$A$500,$B5,'DADOS BRUTOS'!AX$3:AX$500)+IF($C5="",0,SUMIF('DADOS BRUTOS'!$A$3:$A$500,$C5,'DADOS BRUTOS'!AX$3:AX$500)))</f>
        <v/>
      </c>
      <c r="DY5" s="56">
        <f>IF(OR(DY$4="",$B5=""),0,SUMIF('DADOS BRUTOS'!$A$3:$A$500,$B5,'DADOS BRUTOS'!AY$3:AY$500)+IF($C5="",0,SUMIF('DADOS BRUTOS'!$A$3:$A$500,$C5,'DADOS BRUTOS'!AY$3:AY$500)))</f>
        <v/>
      </c>
      <c r="DZ5" s="56">
        <f>IF(OR(DZ$4="",$B5=""),0,SUMIF('DADOS BRUTOS'!$A$3:$A$500,$B5,'DADOS BRUTOS'!AZ$3:AZ$500)+IF($C5="",0,SUMIF('DADOS BRUTOS'!$A$3:$A$500,$C5,'DADOS BRUTOS'!AZ$3:AZ$500)))</f>
        <v/>
      </c>
      <c r="EA5" s="56">
        <f>IF(OR(EA$4="",$B5=""),0,SUMIF('DADOS BRUTOS'!$A$3:$A$500,$B5,'DADOS BRUTOS'!BA$3:BA$500)+IF($C5="",0,SUMIF('DADOS BRUTOS'!$A$3:$A$500,$C5,'DADOS BRUTOS'!BA$3:BA$500)))</f>
        <v/>
      </c>
      <c r="EB5" s="56">
        <f>IF(OR(EB$4="",$B5=""),0,SUMIF('DADOS BRUTOS'!$A$3:$A$500,$B5,'DADOS BRUTOS'!BB$3:BB$500)+IF($C5="",0,SUMIF('DADOS BRUTOS'!$A$3:$A$500,$C5,'DADOS BRUTOS'!BB$3:BB$500)))</f>
        <v/>
      </c>
      <c r="EC5" s="56">
        <f>IF(OR(EC$4="",$B5=""),0,SUMIF('DADOS BRUTOS'!$A$3:$A$500,$B5,'DADOS BRUTOS'!BC$3:BC$500)+IF($C5="",0,SUMIF('DADOS BRUTOS'!$A$3:$A$500,$C5,'DADOS BRUTOS'!BC$3:BC$500)))</f>
        <v/>
      </c>
      <c r="ED5" s="56">
        <f>IF(OR(ED$4="",$B5=""),0,SUMIF('DADOS BRUTOS'!$A$3:$A$500,$B5,'DADOS BRUTOS'!BD$3:BD$500)+IF($C5="",0,SUMIF('DADOS BRUTOS'!$A$3:$A$500,$C5,'DADOS BRUTOS'!BD$3:BD$500)))</f>
        <v/>
      </c>
      <c r="EE5" s="56">
        <f>IF(OR(EE$4="",$B5=""),0,SUMIF('DADOS BRUTOS'!$A$3:$A$500,$B5,'DADOS BRUTOS'!BE$3:BE$500)+IF($C5="",0,SUMIF('DADOS BRUTOS'!$A$3:$A$500,$C5,'DADOS BRUTOS'!BE$3:BE$500)))</f>
        <v/>
      </c>
      <c r="EF5" s="56">
        <f>IF(OR(EF$4="",$B5=""),0,SUMIF('DADOS BRUTOS'!$A$3:$A$500,$B5,'DADOS BRUTOS'!BF$3:BF$500)+IF($C5="",0,SUMIF('DADOS BRUTOS'!$A$3:$A$500,$C5,'DADOS BRUTOS'!BF$3:BF$500)))</f>
        <v/>
      </c>
      <c r="EG5" s="56">
        <f>IF(OR(EG$4="",$B5=""),0,SUMIF('DADOS BRUTOS'!$A$3:$A$500,$B5,'DADOS BRUTOS'!BG$3:BG$500)+IF($C5="",0,SUMIF('DADOS BRUTOS'!$A$3:$A$500,$C5,'DADOS BRUTOS'!BG$3:BG$500)))</f>
        <v/>
      </c>
      <c r="EH5" s="56">
        <f>IF(OR(EH$4="",$B5=""),0,SUMIF('DADOS BRUTOS'!$A$3:$A$500,$B5,'DADOS BRUTOS'!BH$3:BH$500)+IF($C5="",0,SUMIF('DADOS BRUTOS'!$A$3:$A$500,$C5,'DADOS BRUTOS'!BH$3:BH$500)))</f>
        <v/>
      </c>
      <c r="EI5" s="56">
        <f>IF(OR(EI$4="",$B5=""),0,SUMIF('DADOS BRUTOS'!$A$3:$A$500,$B5,'DADOS BRUTOS'!BI$3:BI$500)+IF($C5="",0,SUMIF('DADOS BRUTOS'!$A$3:$A$500,$C5,'DADOS BRUTOS'!BI$3:BI$500)))</f>
        <v/>
      </c>
      <c r="EJ5" s="56">
        <f>IF(OR(EJ$4="",$B5=""),0,SUMIF('DADOS BRUTOS'!$A$3:$A$500,$B5,'DADOS BRUTOS'!BJ$3:BJ$500)+IF($C5="",0,SUMIF('DADOS BRUTOS'!$A$3:$A$500,$C5,'DADOS BRUTOS'!BJ$3:BJ$500)))</f>
        <v/>
      </c>
      <c r="EK5" s="56">
        <f>IF(OR(EK$4="",$B5=""),0,SUMIF('DADOS BRUTOS'!$A$3:$A$500,$B5,'DADOS BRUTOS'!BK$3:BK$500)+IF($C5="",0,SUMIF('DADOS BRUTOS'!$A$3:$A$500,$C5,'DADOS BRUTOS'!BK$3:BK$500)))</f>
        <v/>
      </c>
      <c r="EL5" s="56">
        <f>IF(OR(EL$4="",$B5=""),0,SUMIF('DADOS BRUTOS'!$A$3:$A$500,$B5,'DADOS BRUTOS'!BL$3:BL$500)+IF($C5="",0,SUMIF('DADOS BRUTOS'!$A$3:$A$500,$C5,'DADOS BRUTOS'!BL$3:BL$500)))</f>
        <v/>
      </c>
      <c r="EM5" s="56">
        <f>IF(OR(EM$4="",$B5=""),0,SUMIF('DADOS BRUTOS'!$A$3:$A$500,$B5,'DADOS BRUTOS'!BM$3:BM$500)+IF($C5="",0,SUMIF('DADOS BRUTOS'!$A$3:$A$500,$C5,'DADOS BRUTOS'!BM$3:BM$500)))</f>
        <v/>
      </c>
      <c r="EN5" s="56">
        <f>IF(OR(EN$4="",$B5=""),0,SUMIF('DADOS BRUTOS'!$A$3:$A$500,$B5,'DADOS BRUTOS'!BN$3:BN$500)+IF($C5="",0,SUMIF('DADOS BRUTOS'!$A$3:$A$500,$C5,'DADOS BRUTOS'!BN$3:BN$500)))</f>
        <v/>
      </c>
      <c r="EO5" s="56">
        <f>IF(OR(EO$4="",$B5=""),0,SUMIF('DADOS BRUTOS'!$A$3:$A$500,$B5,'DADOS BRUTOS'!BO$3:BO$500)+IF($C5="",0,SUMIF('DADOS BRUTOS'!$A$3:$A$500,$C5,'DADOS BRUTOS'!BO$3:BO$500)))</f>
        <v/>
      </c>
      <c r="EP5" s="56">
        <f>IF(OR(EP$4="",$B5=""),0,SUMIF('DADOS BRUTOS'!$A$3:$A$500,$B5,'DADOS BRUTOS'!BP$3:BP$500)+IF($C5="",0,SUMIF('DADOS BRUTOS'!$A$3:$A$500,$C5,'DADOS BRUTOS'!BP$3:BP$500)))</f>
        <v/>
      </c>
      <c r="EQ5" s="56">
        <f>IF(OR(EQ$4="",$B5=""),0,SUMIF('DADOS BRUTOS'!$A$3:$A$500,$B5,'DADOS BRUTOS'!BQ$3:BQ$500)+IF($C5="",0,SUMIF('DADOS BRUTOS'!$A$3:$A$500,$C5,'DADOS BRUTOS'!BQ$3:BQ$500)))</f>
        <v/>
      </c>
      <c r="ER5" s="56">
        <f>IF(OR(ER$4="",$B5=""),0,SUMIF('DADOS BRUTOS'!$A$3:$A$500,$B5,'DADOS BRUTOS'!BR$3:BR$500)+IF($C5="",0,SUMIF('DADOS BRUTOS'!$A$3:$A$500,$C5,'DADOS BRUTOS'!BR$3:BR$500)))</f>
        <v/>
      </c>
      <c r="ES5" s="56">
        <f>IF(OR(ES$4="",$B5=""),0,SUMIF('DADOS BRUTOS'!$A$3:$A$500,$B5,'DADOS BRUTOS'!BS$3:BS$500)+IF($C5="",0,SUMIF('DADOS BRUTOS'!$A$3:$A$500,$C5,'DADOS BRUTOS'!BS$3:BS$500)))</f>
        <v/>
      </c>
      <c r="ET5" s="56">
        <f>IF(OR(ET$4="",$B5=""),0,SUMIF('DADOS BRUTOS'!$A$3:$A$500,$B5,'DADOS BRUTOS'!BT$3:BT$500)+IF($C5="",0,SUMIF('DADOS BRUTOS'!$A$3:$A$500,$C5,'DADOS BRUTOS'!BT$3:BT$500)))</f>
        <v/>
      </c>
      <c r="EU5" s="56">
        <f>IF(OR(EU$4="",$B5=""),0,SUMIF('DADOS BRUTOS'!$A$3:$A$500,$B5,'DADOS BRUTOS'!BU$3:BU$500)+IF($C5="",0,SUMIF('DADOS BRUTOS'!$A$3:$A$500,$C5,'DADOS BRUTOS'!BU$3:BU$500)))</f>
        <v/>
      </c>
      <c r="EV5" s="56">
        <f>IF(OR(EV$4="",$B5=""),0,SUMIF('DADOS BRUTOS'!$A$3:$A$500,$B5,'DADOS BRUTOS'!BV$3:BV$500)+IF($C5="",0,SUMIF('DADOS BRUTOS'!$A$3:$A$500,$C5,'DADOS BRUTOS'!BV$3:BV$500)))</f>
        <v/>
      </c>
      <c r="EW5" s="56">
        <f>IF(OR(EW$4="",$B5=""),0,SUMIF('DADOS BRUTOS'!$A$3:$A$500,$B5,'DADOS BRUTOS'!BW$3:BW$500)+IF($C5="",0,SUMIF('DADOS BRUTOS'!$A$3:$A$500,$C5,'DADOS BRUTOS'!BW$3:BW$500)))</f>
        <v/>
      </c>
      <c r="EX5" s="56">
        <f>IF(OR(EX$4="",$B5=""),0,SUMIF('DADOS BRUTOS'!$A$3:$A$500,$B5,'DADOS BRUTOS'!BX$3:BX$500)+IF($C5="",0,SUMIF('DADOS BRUTOS'!$A$3:$A$500,$C5,'DADOS BRUTOS'!BX$3:BX$500)))</f>
        <v/>
      </c>
      <c r="EY5" s="56">
        <f>IF(OR(EY$4="",$B5=""),0,SUMIF('DADOS BRUTOS'!$A$3:$A$500,$B5,'DADOS BRUTOS'!BY$3:BY$500)+IF($C5="",0,SUMIF('DADOS BRUTOS'!$A$3:$A$500,$C5,'DADOS BRUTOS'!BY$3:BY$500)))</f>
        <v/>
      </c>
      <c r="EZ5" s="56">
        <f>IF(OR(EZ$4="",$B5=""),0,SUMIF('DADOS BRUTOS'!$A$3:$A$500,$B5,'DADOS BRUTOS'!BZ$3:BZ$500)+IF($C5="",0,SUMIF('DADOS BRUTOS'!$A$3:$A$500,$C5,'DADOS BRUTOS'!BZ$3:BZ$500)))</f>
        <v/>
      </c>
      <c r="FA5" s="56">
        <f>IF(OR(FA$4="",$B5=""),0,SUMIF('DADOS BRUTOS'!$A$3:$A$500,$B5,'DADOS BRUTOS'!CA$3:CA$500)+IF($C5="",0,SUMIF('DADOS BRUTOS'!$A$3:$A$500,$C5,'DADOS BRUTOS'!CA$3:CA$500)))</f>
        <v/>
      </c>
      <c r="FB5" s="56">
        <f>IF(OR(FB$4="",$B5=""),0,SUMIF('DADOS BRUTOS'!$A$3:$A$500,$B5,'DADOS BRUTOS'!CB$3:CB$500)+IF($C5="",0,SUMIF('DADOS BRUTOS'!$A$3:$A$500,$C5,'DADOS BRUTOS'!CB$3:CB$500)))</f>
        <v/>
      </c>
      <c r="FC5" s="56">
        <f>IF(OR(FC$4="",$B5=""),0,SUMIF('DADOS BRUTOS'!$A$3:$A$500,$B5,'DADOS BRUTOS'!CC$3:CC$500)+IF($C5="",0,SUMIF('DADOS BRUTOS'!$A$3:$A$500,$C5,'DADOS BRUTOS'!CC$3:CC$500)))</f>
        <v/>
      </c>
      <c r="FD5" s="56">
        <f>IF(OR(FD$4="",$B5=""),0,SUMIF('DADOS BRUTOS'!$A$3:$A$500,$B5,'DADOS BRUTOS'!CD$3:CD$500)+IF($C5="",0,SUMIF('DADOS BRUTOS'!$A$3:$A$500,$C5,'DADOS BRUTOS'!CD$3:CD$500)))</f>
        <v/>
      </c>
      <c r="FE5" s="56">
        <f>IF(OR(FE$4="",$B5=""),0,SUMIF('DADOS BRUTOS'!$A$3:$A$500,$B5,'DADOS BRUTOS'!CE$3:CE$500)+IF($C5="",0,SUMIF('DADOS BRUTOS'!$A$3:$A$500,$C5,'DADOS BRUTOS'!CE$3:CE$500)))</f>
        <v/>
      </c>
      <c r="FF5" s="56">
        <f>IF(OR(FF$4="",$B5=""),0,SUMIF('DADOS BRUTOS'!$A$3:$A$500,$B5,'DADOS BRUTOS'!CF$3:CF$500)+IF($C5="",0,SUMIF('DADOS BRUTOS'!$A$3:$A$500,$C5,'DADOS BRUTOS'!CF$3:CF$500)))</f>
        <v/>
      </c>
      <c r="FG5" s="56">
        <f>IF(OR(FG$4="",$B5=""),0,SUMIF('DADOS BRUTOS'!$A$3:$A$500,$B5,'DADOS BRUTOS'!CG$3:CG$500)+IF($C5="",0,SUMIF('DADOS BRUTOS'!$A$3:$A$500,$C5,'DADOS BRUTOS'!CG$3:CG$500)))</f>
        <v/>
      </c>
      <c r="FH5" s="56">
        <f>IF(OR(FH$4="",$B5=""),0,SUMIF('DADOS BRUTOS'!$A$3:$A$500,$B5,'DADOS BRUTOS'!CH$3:CH$500)+IF($C5="",0,SUMIF('DADOS BRUTOS'!$A$3:$A$500,$C5,'DADOS BRUTOS'!CH$3:CH$500)))</f>
        <v/>
      </c>
      <c r="FI5" s="56">
        <f>IF(OR(FI$4="",$B5=""),0,SUMIF('DADOS BRUTOS'!$A$3:$A$500,$B5,'DADOS BRUTOS'!CI$3:CI$500)+IF($C5="",0,SUMIF('DADOS BRUTOS'!$A$3:$A$500,$C5,'DADOS BRUTOS'!CI$3:CI$500)))</f>
        <v/>
      </c>
      <c r="FJ5" s="56">
        <f>IF(OR(FJ$4="",$B5=""),0,SUMIF('DADOS BRUTOS'!$A$3:$A$500,$B5,'DADOS BRUTOS'!CJ$3:CJ$500)+IF($C5="",0,SUMIF('DADOS BRUTOS'!$A$3:$A$500,$C5,'DADOS BRUTOS'!CJ$3:CJ$500)))</f>
        <v/>
      </c>
      <c r="FK5" s="56">
        <f>IF(OR(FK$4="",$B5=""),0,SUMIF('DADOS BRUTOS'!$A$3:$A$500,$B5,'DADOS BRUTOS'!CK$3:CK$500)+IF($C5="",0,SUMIF('DADOS BRUTOS'!$A$3:$A$500,$C5,'DADOS BRUTOS'!CK$3:CK$500)))</f>
        <v/>
      </c>
      <c r="FL5" s="56">
        <f>IF(OR(FL$4="",$B5=""),0,SUMIF('DADOS BRUTOS'!$A$3:$A$500,$B5,'DADOS BRUTOS'!CL$3:CL$500)+IF($C5="",0,SUMIF('DADOS BRUTOS'!$A$3:$A$500,$C5,'DADOS BRUTOS'!CL$3:CL$500)))</f>
        <v/>
      </c>
      <c r="FM5" s="56">
        <f>IF(OR(FM$4="",$B5=""),0,SUMIF('DADOS BRUTOS'!$A$3:$A$500,$B5,'DADOS BRUTOS'!CM$3:CM$500)+IF($C5="",0,SUMIF('DADOS BRUTOS'!$A$3:$A$500,$C5,'DADOS BRUTOS'!CM$3:CM$500)))</f>
        <v/>
      </c>
      <c r="FN5" s="56">
        <f>IF(OR(FN$4="",$B5=""),0,SUMIF('DADOS BRUTOS'!$A$3:$A$500,$B5,'DADOS BRUTOS'!CN$3:CN$500)+IF($C5="",0,SUMIF('DADOS BRUTOS'!$A$3:$A$500,$C5,'DADOS BRUTOS'!CN$3:CN$500)))</f>
        <v/>
      </c>
      <c r="FO5" s="56">
        <f>IF(OR(FO$4="",$B5=""),0,SUMIF('DADOS BRUTOS'!$A$3:$A$500,$B5,'DADOS BRUTOS'!CO$3:CO$500)+IF($C5="",0,SUMIF('DADOS BRUTOS'!$A$3:$A$500,$C5,'DADOS BRUTOS'!CO$3:CO$500)))</f>
        <v/>
      </c>
      <c r="FP5" s="56">
        <f>IF(OR(FP$4="",$B5=""),0,SUMIF('DADOS BRUTOS'!$A$3:$A$500,$B5,'DADOS BRUTOS'!CP$3:CP$500)+IF($C5="",0,SUMIF('DADOS BRUTOS'!$A$3:$A$500,$C5,'DADOS BRUTOS'!CP$3:CP$500)))</f>
        <v/>
      </c>
      <c r="FQ5" s="56">
        <f>IF(OR(FQ$4="",$B5=""),0,SUMIF('DADOS BRUTOS'!$A$3:$A$500,$B5,'DADOS BRUTOS'!CQ$3:CQ$500)+IF($C5="",0,SUMIF('DADOS BRUTOS'!$A$3:$A$500,$C5,'DADOS BRUTOS'!CQ$3:CQ$500)))</f>
        <v/>
      </c>
      <c r="FR5" s="56">
        <f>IF(OR(FR$4="",$B5=""),0,SUMIF('DADOS BRUTOS'!$A$3:$A$500,$B5,'DADOS BRUTOS'!CR$3:CR$500)+IF($C5="",0,SUMIF('DADOS BRUTOS'!$A$3:$A$500,$C5,'DADOS BRUTOS'!CR$3:CR$500)))</f>
        <v/>
      </c>
      <c r="FS5" s="56">
        <f>IF(OR(FS$4="",$B5=""),0,SUMIF('DADOS BRUTOS'!$A$3:$A$500,$B5,'DADOS BRUTOS'!CS$3:CS$500)+IF($C5="",0,SUMIF('DADOS BRUTOS'!$A$3:$A$500,$C5,'DADOS BRUTOS'!CS$3:CS$500)))</f>
        <v/>
      </c>
      <c r="FT5" s="56">
        <f>IF(OR(FT$4="",$B5=""),0,SUMIF('DADOS BRUTOS'!$A$3:$A$500,$B5,'DADOS BRUTOS'!CT$3:CT$500)+IF($C5="",0,SUMIF('DADOS BRUTOS'!$A$3:$A$500,$C5,'DADOS BRUTOS'!CT$3:CT$500)))</f>
        <v/>
      </c>
      <c r="FU5" s="56">
        <f>IF(OR(FU$4="",$B5=""),0,SUMIF('DADOS BRUTOS'!$A$3:$A$500,$B5,'DADOS BRUTOS'!CU$3:CU$500)+IF($C5="",0,SUMIF('DADOS BRUTOS'!$A$3:$A$500,$C5,'DADOS BRUTOS'!CU$3:CU$500)))</f>
        <v/>
      </c>
      <c r="FV5" s="56">
        <f>IF(OR(FV$4="",$B5=""),0,SUMIF('DADOS BRUTOS'!$A$3:$A$500,$B5,'DADOS BRUTOS'!CV$3:CV$500)+IF($C5="",0,SUMIF('DADOS BRUTOS'!$A$3:$A$500,$C5,'DADOS BRUTOS'!CV$3:CV$500)))</f>
        <v/>
      </c>
      <c r="FW5" s="56">
        <f>IF(OR(FW$4="",$B5=""),0,SUMIF('DADOS BRUTOS'!$A$3:$A$500,$B5,'DADOS BRUTOS'!CW$3:CW$500)+IF($C5="",0,SUMIF('DADOS BRUTOS'!$A$3:$A$500,$C5,'DADOS BRUTOS'!CW$3:CW$500)))</f>
        <v/>
      </c>
      <c r="FX5" s="56">
        <f>IF(OR(FX$4="",$B5=""),0,SUMIF('DADOS BRUTOS'!$A$3:$A$500,$B5,'DADOS BRUTOS'!CX$3:CX$500)+IF($C5="",0,SUMIF('DADOS BRUTOS'!$A$3:$A$500,$C5,'DADOS BRUTOS'!CX$3:CX$500)))</f>
        <v/>
      </c>
      <c r="FY5" s="56">
        <f>IF(OR(FY$4="",$B5=""),0,SUMIF('DADOS BRUTOS'!$A$3:$A$500,$B5,'DADOS BRUTOS'!CY$3:CY$500)+IF($C5="",0,SUMIF('DADOS BRUTOS'!$A$3:$A$500,$C5,'DADOS BRUTOS'!CY$3:CY$500)))</f>
        <v/>
      </c>
      <c r="FZ5" s="56">
        <f>IF(OR(FZ$4="",$B5=""),0,SUMIF('DADOS BRUTOS'!$A$3:$A$500,$B5,'DADOS BRUTOS'!CZ$3:CZ$500)+IF($C5="",0,SUMIF('DADOS BRUTOS'!$A$3:$A$500,$C5,'DADOS BRUTOS'!CZ$3:CZ$500)))</f>
        <v/>
      </c>
      <c r="GA5" s="56">
        <f>IF(OR(GA$4="",$B5=""),0,SUMIF('DADOS BRUTOS'!$A$3:$A$500,$B5,'DADOS BRUTOS'!DA$3:DA$500)+IF($C5="",0,SUMIF('DADOS BRUTOS'!$A$3:$A$500,$C5,'DADOS BRUTOS'!DA$3:DA$500)))</f>
        <v/>
      </c>
      <c r="GB5" s="56">
        <f>IF(OR(GB$4="",$B5=""),0,SUMIF('DADOS BRUTOS'!$A$3:$A$500,$B5,'DADOS BRUTOS'!DB$3:DB$500)+IF($C5="",0,SUMIF('DADOS BRUTOS'!$A$3:$A$500,$C5,'DADOS BRUTOS'!DB$3:DB$500)))</f>
        <v/>
      </c>
      <c r="GC5" s="56">
        <f>IF(OR(GC$4="",$B5=""),0,SUMIF('DADOS BRUTOS'!$A$3:$A$500,$B5,'DADOS BRUTOS'!DC$3:DC$500)+IF($C5="",0,SUMIF('DADOS BRUTOS'!$A$3:$A$500,$C5,'DADOS BRUTOS'!DC$3:DC$500)))</f>
        <v/>
      </c>
      <c r="GD5" s="56">
        <f>IF(OR(GD$4="",$B5=""),0,SUMIF('DADOS BRUTOS'!$A$3:$A$500,$B5,'DADOS BRUTOS'!DD$3:DD$500)+IF($C5="",0,SUMIF('DADOS BRUTOS'!$A$3:$A$500,$C5,'DADOS BRUTOS'!DD$3:DD$500)))</f>
        <v/>
      </c>
      <c r="GE5" s="56">
        <f>IF(OR(GE$4="",$B5=""),0,SUMIF('DADOS BRUTOS'!$A$3:$A$500,$B5,'DADOS BRUTOS'!DE$3:DE$500)+IF($C5="",0,SUMIF('DADOS BRUTOS'!$A$3:$A$500,$C5,'DADOS BRUTOS'!DE$3:DE$500)))</f>
        <v/>
      </c>
      <c r="GF5" s="56">
        <f>IF(OR(GF$4="",$B5=""),0,SUMIF('DADOS BRUTOS'!$A$3:$A$500,$B5,'DADOS BRUTOS'!DF$3:DF$500)+IF($C5="",0,SUMIF('DADOS BRUTOS'!$A$3:$A$500,$C5,'DADOS BRUTOS'!DF$3:DF$500)))</f>
        <v/>
      </c>
      <c r="GG5" s="56">
        <f>IF(OR(GG$4="",$B5=""),0,SUMIF('DADOS BRUTOS'!$A$3:$A$500,$B5,'DADOS BRUTOS'!DG$3:DG$500)+IF($C5="",0,SUMIF('DADOS BRUTOS'!$A$3:$A$500,$C5,'DADOS BRUTOS'!DG$3:DG$500)))</f>
        <v/>
      </c>
      <c r="GH5" s="56">
        <f>IF(OR(GH$4="",$B5=""),0,SUMIF('DADOS BRUTOS'!$A$3:$A$500,$B5,'DADOS BRUTOS'!DH$3:DH$500)+IF($C5="",0,SUMIF('DADOS BRUTOS'!$A$3:$A$500,$C5,'DADOS BRUTOS'!DH$3:DH$500)))</f>
        <v/>
      </c>
      <c r="GI5" s="56">
        <f>IF(OR(GI$4="",$B5=""),0,SUMIF('DADOS BRUTOS'!$A$3:$A$500,$B5,'DADOS BRUTOS'!DI$3:DI$500)+IF($C5="",0,SUMIF('DADOS BRUTOS'!$A$3:$A$500,$C5,'DADOS BRUTOS'!DI$3:DI$500)))</f>
        <v/>
      </c>
      <c r="GJ5" s="56">
        <f>IF(OR(GJ$4="",$B5=""),0,SUMIF('DADOS BRUTOS'!$A$3:$A$500,$B5,'DADOS BRUTOS'!DJ$3:DJ$500)+IF($C5="",0,SUMIF('DADOS BRUTOS'!$A$3:$A$500,$C5,'DADOS BRUTOS'!DJ$3:DJ$500)))</f>
        <v/>
      </c>
      <c r="GK5" s="56">
        <f>IF(OR(GK$4="",$B5=""),0,SUMIF('DADOS BRUTOS'!$A$3:$A$500,$B5,'DADOS BRUTOS'!DK$3:DK$500)+IF($C5="",0,SUMIF('DADOS BRUTOS'!$A$3:$A$500,$C5,'DADOS BRUTOS'!DK$3:DK$500)))</f>
        <v/>
      </c>
      <c r="GL5" s="56">
        <f>IF(OR(GL$4="",$B5=""),0,SUMIF('DADOS BRUTOS'!$A$3:$A$500,$B5,'DADOS BRUTOS'!DL$3:DL$500)+IF($C5="",0,SUMIF('DADOS BRUTOS'!$A$3:$A$500,$C5,'DADOS BRUTOS'!DL$3:DL$500)))</f>
        <v/>
      </c>
      <c r="GM5" s="56">
        <f>IF(OR(GM$4="",$B5=""),0,SUMIF('DADOS BRUTOS'!$A$3:$A$500,$B5,'DADOS BRUTOS'!DM$3:DM$500)+IF($C5="",0,SUMIF('DADOS BRUTOS'!$A$3:$A$500,$C5,'DADOS BRUTOS'!DM$3:DM$500)))</f>
        <v/>
      </c>
      <c r="GN5" s="56">
        <f>IF(OR(GN$4="",$B5=""),0,SUMIF('DADOS BRUTOS'!$A$3:$A$500,$B5,'DADOS BRUTOS'!DN$3:DN$500)+IF($C5="",0,SUMIF('DADOS BRUTOS'!$A$3:$A$500,$C5,'DADOS BRUTOS'!DN$3:DN$500)))</f>
        <v/>
      </c>
      <c r="GO5" s="56">
        <f>IF(OR(GO$4="",$B5=""),0,SUMIF('DADOS BRUTOS'!$A$3:$A$500,$B5,'DADOS BRUTOS'!DO$3:DO$500)+IF($C5="",0,SUMIF('DADOS BRUTOS'!$A$3:$A$500,$C5,'DADOS BRUTOS'!DO$3:DO$500)))</f>
        <v/>
      </c>
      <c r="GP5" s="56">
        <f>IF(OR(GP$4="",$B5=""),0,SUMIF('DADOS BRUTOS'!$A$3:$A$500,$B5,'DADOS BRUTOS'!DP$3:DP$500)+IF($C5="",0,SUMIF('DADOS BRUTOS'!$A$3:$A$500,$C5,'DADOS BRUTOS'!DP$3:DP$500)))</f>
        <v/>
      </c>
      <c r="GQ5" s="56">
        <f>IF(OR(GQ$4="",$B5=""),0,SUMIF('DADOS BRUTOS'!$A$3:$A$500,$B5,'DADOS BRUTOS'!DQ$3:DQ$500)+IF($C5="",0,SUMIF('DADOS BRUTOS'!$A$3:$A$500,$C5,'DADOS BRUTOS'!DQ$3:DQ$500)))</f>
        <v/>
      </c>
      <c r="GR5" s="56">
        <f>IF(OR(GR$4="",$B5=""),0,SUMIF('DADOS BRUTOS'!$A$3:$A$500,$B5,'DADOS BRUTOS'!DR$3:DR$500)+IF($C5="",0,SUMIF('DADOS BRUTOS'!$A$3:$A$500,$C5,'DADOS BRUTOS'!DR$3:DR$500)))</f>
        <v/>
      </c>
      <c r="GS5" s="56">
        <f>IF(OR(GS$4="",$B5=""),0,SUMIF('DADOS BRUTOS'!$A$3:$A$500,$B5,'DADOS BRUTOS'!DS$3:DS$500)+IF($C5="",0,SUMIF('DADOS BRUTOS'!$A$3:$A$500,$C5,'DADOS BRUTOS'!DS$3:DS$500)))</f>
        <v/>
      </c>
      <c r="GT5" s="56">
        <f>IF(OR(GT$4="",$B5=""),0,SUMIF('DADOS BRUTOS'!$A$3:$A$500,$B5,'DADOS BRUTOS'!DT$3:DT$500)+IF($C5="",0,SUMIF('DADOS BRUTOS'!$A$3:$A$500,$C5,'DADOS BRUTOS'!DT$3:DT$500)))</f>
        <v/>
      </c>
      <c r="GU5" s="56">
        <f>IF(OR(GU$4="",$B5=""),0,SUMIF('DADOS BRUTOS'!$A$3:$A$500,$B5,'DADOS BRUTOS'!DU$3:DU$500)+IF($C5="",0,SUMIF('DADOS BRUTOS'!$A$3:$A$500,$C5,'DADOS BRUTOS'!DU$3:DU$500)))</f>
        <v/>
      </c>
      <c r="GV5" s="56">
        <f>IF(OR(GV$4="",$B5=""),0,SUMIF('DADOS BRUTOS'!$A$3:$A$500,$B5,'DADOS BRUTOS'!DV$3:DV$500)+IF($C5="",0,SUMIF('DADOS BRUTOS'!$A$3:$A$500,$C5,'DADOS BRUTOS'!DV$3:DV$500)))</f>
        <v/>
      </c>
      <c r="GW5" s="56">
        <f>IF(OR(GW$4="",$B5=""),0,SUMIF('DADOS BRUTOS'!$A$3:$A$500,$B5,'DADOS BRUTOS'!DW$3:DW$500)+IF($C5="",0,SUMIF('DADOS BRUTOS'!$A$3:$A$500,$C5,'DADOS BRUTOS'!DW$3:DW$500)))</f>
        <v/>
      </c>
      <c r="GX5" s="56">
        <f>IF(OR(GX$4="",$B5=""),0,SUMIF('DADOS BRUTOS'!$A$3:$A$500,$B5,'DADOS BRUTOS'!DX$3:DX$500)+IF($C5="",0,SUMIF('DADOS BRUTOS'!$A$3:$A$500,$C5,'DADOS BRUTOS'!DX$3:DX$500)))</f>
        <v/>
      </c>
      <c r="GY5" s="56">
        <f>IF(OR(GY$4="",$B5=""),0,SUMIF('DADOS BRUTOS'!$A$3:$A$500,$B5,'DADOS BRUTOS'!DY$3:DY$500)+IF($C5="",0,SUMIF('DADOS BRUTOS'!$A$3:$A$500,$C5,'DADOS BRUTOS'!DY$3:DY$500)))</f>
        <v/>
      </c>
      <c r="GZ5" s="56">
        <f>IF(OR(GZ$4="",$B5=""),0,SUMIF('DADOS BRUTOS'!$A$3:$A$500,$B5,'DADOS BRUTOS'!DZ$3:DZ$500)+IF($C5="",0,SUMIF('DADOS BRUTOS'!$A$3:$A$500,$C5,'DADOS BRUTOS'!DZ$3:DZ$500)))</f>
        <v/>
      </c>
      <c r="HA5" s="56">
        <f>IF(OR(HA$4="",$B5=""),0,SUMIF('DADOS BRUTOS'!$A$3:$A$500,$B5,'DADOS BRUTOS'!EA$3:EA$500)+IF($C5="",0,SUMIF('DADOS BRUTOS'!$A$3:$A$500,$C5,'DADOS BRUTOS'!EA$3:EA$500)))</f>
        <v/>
      </c>
      <c r="HB5" s="56">
        <f>IF(OR(HB$4="",$B5=""),0,SUMIF('DADOS BRUTOS'!$A$3:$A$500,$B5,'DADOS BRUTOS'!EB$3:EB$500)+IF($C5="",0,SUMIF('DADOS BRUTOS'!$A$3:$A$500,$C5,'DADOS BRUTOS'!EB$3:EB$500)))</f>
        <v/>
      </c>
      <c r="HC5" s="56">
        <f>IF(OR(HC$4="",$B5=""),0,SUMIF('DADOS BRUTOS'!$A$3:$A$500,$B5,'DADOS BRUTOS'!EC$3:EC$500)+IF($C5="",0,SUMIF('DADOS BRUTOS'!$A$3:$A$500,$C5,'DADOS BRUTOS'!EC$3:EC$500)))</f>
        <v/>
      </c>
      <c r="HD5" s="56">
        <f>IF(OR(HD$4="",$B5=""),0,SUMIF('DADOS BRUTOS'!$A$3:$A$500,$B5,'DADOS BRUTOS'!ED$3:ED$500)+IF($C5="",0,SUMIF('DADOS BRUTOS'!$A$3:$A$500,$C5,'DADOS BRUTOS'!ED$3:ED$500)))</f>
        <v/>
      </c>
      <c r="HE5" s="56">
        <f>IF(OR(HE$4="",$B5=""),0,SUMIF('DADOS BRUTOS'!$A$3:$A$500,$B5,'DADOS BRUTOS'!EE$3:EE$500)+IF($C5="",0,SUMIF('DADOS BRUTOS'!$A$3:$A$500,$C5,'DADOS BRUTOS'!EE$3:EE$500)))</f>
        <v/>
      </c>
      <c r="HF5" s="56">
        <f>IF(OR(HF$4="",$B5=""),0,SUMIF('DADOS BRUTOS'!$A$3:$A$500,$B5,'DADOS BRUTOS'!EF$3:EF$500)+IF($C5="",0,SUMIF('DADOS BRUTOS'!$A$3:$A$500,$C5,'DADOS BRUTOS'!EF$3:EF$500)))</f>
        <v/>
      </c>
      <c r="HG5" s="56">
        <f>IF(OR(HG$4="",$B5=""),0,SUMIF('DADOS BRUTOS'!$A$3:$A$500,$B5,'DADOS BRUTOS'!EG$3:EG$500)+IF($C5="",0,SUMIF('DADOS BRUTOS'!$A$3:$A$500,$C5,'DADOS BRUTOS'!EG$3:EG$500)))</f>
        <v/>
      </c>
      <c r="HH5" s="56">
        <f>IF(OR(HH$4="",$B5=""),0,SUMIF('DADOS BRUTOS'!$A$3:$A$500,$B5,'DADOS BRUTOS'!EH$3:EH$500)+IF($C5="",0,SUMIF('DADOS BRUTOS'!$A$3:$A$500,$C5,'DADOS BRUTOS'!EH$3:EH$500)))</f>
        <v/>
      </c>
      <c r="HI5" s="56">
        <f>IF(OR(HI$4="",$B5=""),0,SUMIF('DADOS BRUTOS'!$A$3:$A$500,$B5,'DADOS BRUTOS'!EI$3:EI$500)+IF($C5="",0,SUMIF('DADOS BRUTOS'!$A$3:$A$500,$C5,'DADOS BRUTOS'!EI$3:EI$500)))</f>
        <v/>
      </c>
      <c r="HJ5" s="56">
        <f>IF(OR(HJ$4="",$B5=""),0,SUMIF('DADOS BRUTOS'!$A$3:$A$500,$B5,'DADOS BRUTOS'!EJ$3:EJ$500)+IF($C5="",0,SUMIF('DADOS BRUTOS'!$A$3:$A$500,$C5,'DADOS BRUTOS'!EJ$3:EJ$500)))</f>
        <v/>
      </c>
      <c r="HK5" s="56">
        <f>IF(OR(HK$4="",$B5=""),0,SUMIF('DADOS BRUTOS'!$A$3:$A$500,$B5,'DADOS BRUTOS'!EK$3:EK$500)+IF($C5="",0,SUMIF('DADOS BRUTOS'!$A$3:$A$500,$C5,'DADOS BRUTOS'!EK$3:EK$500)))</f>
        <v/>
      </c>
      <c r="HL5" s="56">
        <f>IF(OR(HL$4="",$B5=""),0,SUMIF('DADOS BRUTOS'!$A$3:$A$500,$B5,'DADOS BRUTOS'!EL$3:EL$500)+IF($C5="",0,SUMIF('DADOS BRUTOS'!$A$3:$A$500,$C5,'DADOS BRUTOS'!EL$3:EL$500)))</f>
        <v/>
      </c>
      <c r="HM5" s="56">
        <f>IF(OR(HM$4="",$B5=""),0,SUMIF('DADOS BRUTOS'!$A$3:$A$500,$B5,'DADOS BRUTOS'!EM$3:EM$500)+IF($C5="",0,SUMIF('DADOS BRUTOS'!$A$3:$A$500,$C5,'DADOS BRUTOS'!EM$3:EM$500)))</f>
        <v/>
      </c>
      <c r="HN5" s="56">
        <f>IF(OR(HN$4="",$B5=""),0,SUMIF('DADOS BRUTOS'!$A$3:$A$500,$B5,'DADOS BRUTOS'!EN$3:EN$500)+IF($C5="",0,SUMIF('DADOS BRUTOS'!$A$3:$A$500,$C5,'DADOS BRUTOS'!EN$3:EN$500)))</f>
        <v/>
      </c>
      <c r="HO5" s="56">
        <f>IF(OR(HO$4="",$B5=""),0,SUMIF('DADOS BRUTOS'!$A$3:$A$500,$B5,'DADOS BRUTOS'!EO$3:EO$500)+IF($C5="",0,SUMIF('DADOS BRUTOS'!$A$3:$A$500,$C5,'DADOS BRUTOS'!EO$3:EO$500)))</f>
        <v/>
      </c>
      <c r="HP5" s="56">
        <f>IF(OR(HP$4="",$B5=""),0,SUMIF('DADOS BRUTOS'!$A$3:$A$500,$B5,'DADOS BRUTOS'!EP$3:EP$500)+IF($C5="",0,SUMIF('DADOS BRUTOS'!$A$3:$A$500,$C5,'DADOS BRUTOS'!EP$3:EP$500)))</f>
        <v/>
      </c>
      <c r="HQ5" s="56">
        <f>IF(OR(HQ$4="",$B5=""),0,SUMIF('DADOS BRUTOS'!$A$3:$A$500,$B5,'DADOS BRUTOS'!EQ$3:EQ$500)+IF($C5="",0,SUMIF('DADOS BRUTOS'!$A$3:$A$500,$C5,'DADOS BRUTOS'!EQ$3:EQ$500)))</f>
        <v/>
      </c>
      <c r="HR5" s="56">
        <f>IF(OR(HR$4="",$B5=""),0,SUMIF('DADOS BRUTOS'!$A$3:$A$500,$B5,'DADOS BRUTOS'!ER$3:ER$500)+IF($C5="",0,SUMIF('DADOS BRUTOS'!$A$3:$A$500,$C5,'DADOS BRUTOS'!ER$3:ER$500)))</f>
        <v/>
      </c>
      <c r="HS5" s="56">
        <f>IF(OR(HS$4="",$B5=""),0,SUMIF('DADOS BRUTOS'!$A$3:$A$500,$B5,'DADOS BRUTOS'!ES$3:ES$500)+IF($C5="",0,SUMIF('DADOS BRUTOS'!$A$3:$A$500,$C5,'DADOS BRUTOS'!ES$3:ES$500)))</f>
        <v/>
      </c>
      <c r="HT5" s="56">
        <f>IF(OR(HT$4="",$B5=""),0,SUMIF('DADOS BRUTOS'!$A$3:$A$500,$B5,'DADOS BRUTOS'!ET$3:ET$500)+IF($C5="",0,SUMIF('DADOS BRUTOS'!$A$3:$A$500,$C5,'DADOS BRUTOS'!ET$3:ET$500)))</f>
        <v/>
      </c>
      <c r="HU5" s="56">
        <f>IF(OR(HU$4="",$B5=""),0,SUMIF('DADOS BRUTOS'!$A$3:$A$500,$B5,'DADOS BRUTOS'!EU$3:EU$500)+IF($C5="",0,SUMIF('DADOS BRUTOS'!$A$3:$A$500,$C5,'DADOS BRUTOS'!EU$3:EU$500)))</f>
        <v/>
      </c>
      <c r="HV5" s="56">
        <f>IF(OR(HV$4="",$B5=""),0,SUMIF('DADOS BRUTOS'!$A$3:$A$500,$B5,'DADOS BRUTOS'!EV$3:EV$500)+IF($C5="",0,SUMIF('DADOS BRUTOS'!$A$3:$A$500,$C5,'DADOS BRUTOS'!EV$3:EV$500)))</f>
        <v/>
      </c>
      <c r="HW5" s="56">
        <f>IF(OR(HW$4="",$B5=""),0,SUMIF('DADOS BRUTOS'!$A$3:$A$500,$B5,'DADOS BRUTOS'!EW$3:EW$500)+IF($C5="",0,SUMIF('DADOS BRUTOS'!$A$3:$A$500,$C5,'DADOS BRUTOS'!EW$3:EW$500)))</f>
        <v/>
      </c>
      <c r="HX5" s="56">
        <f>IF(OR(HX$4="",$B5=""),0,SUMIF('DADOS BRUTOS'!$A$3:$A$500,$B5,'DADOS BRUTOS'!EX$3:EX$500)+IF($C5="",0,SUMIF('DADOS BRUTOS'!$A$3:$A$500,$C5,'DADOS BRUTOS'!EX$3:EX$500)))</f>
        <v/>
      </c>
      <c r="HY5" s="56">
        <f>IF(OR(HY$4="",$B5=""),0,SUMIF('DADOS BRUTOS'!$A$3:$A$500,$B5,'DADOS BRUTOS'!EY$3:EY$500)+IF($C5="",0,SUMIF('DADOS BRUTOS'!$A$3:$A$500,$C5,'DADOS BRUTOS'!EY$3:EY$500)))</f>
        <v/>
      </c>
      <c r="HZ5" s="56">
        <f>IF(OR(HZ$4="",$B5=""),0,SUMIF('DADOS BRUTOS'!$A$3:$A$500,$B5,'DADOS BRUTOS'!EZ$3:EZ$500)+IF($C5="",0,SUMIF('DADOS BRUTOS'!$A$3:$A$500,$C5,'DADOS BRUTOS'!EZ$3:EZ$500)))</f>
        <v/>
      </c>
      <c r="IA5" s="56">
        <f>IF(OR(IA$4="",$B5=""),0,SUMIF('DADOS BRUTOS'!$A$3:$A$500,$B5,'DADOS BRUTOS'!FA$3:FA$500)+IF($C5="",0,SUMIF('DADOS BRUTOS'!$A$3:$A$500,$C5,'DADOS BRUTOS'!FA$3:FA$500)))</f>
        <v/>
      </c>
      <c r="IB5" s="56">
        <f>IF(OR(IB$4="",$B5=""),0,SUMIF('DADOS BRUTOS'!$A$3:$A$500,$B5,'DADOS BRUTOS'!FB$3:FB$500)+IF($C5="",0,SUMIF('DADOS BRUTOS'!$A$3:$A$500,$C5,'DADOS BRUTOS'!FB$3:FB$500)))</f>
        <v/>
      </c>
      <c r="IC5" s="56">
        <f>IF(OR(IC$4="",$B5=""),0,SUMIF('DADOS BRUTOS'!$A$3:$A$500,$B5,'DADOS BRUTOS'!FC$3:FC$500)+IF($C5="",0,SUMIF('DADOS BRUTOS'!$A$3:$A$500,$C5,'DADOS BRUTOS'!FC$3:FC$500)))</f>
        <v/>
      </c>
      <c r="ID5" s="56">
        <f>IF(OR(ID$4="",$B5=""),0,SUMIF('DADOS BRUTOS'!$A$3:$A$500,$B5,'DADOS BRUTOS'!FD$3:FD$500)+IF($C5="",0,SUMIF('DADOS BRUTOS'!$A$3:$A$500,$C5,'DADOS BRUTOS'!FD$3:FD$500)))</f>
        <v/>
      </c>
      <c r="IE5" s="56">
        <f>IF(OR(IE$4="",$B5=""),0,SUMIF('DADOS BRUTOS'!$A$3:$A$500,$B5,'DADOS BRUTOS'!FE$3:FE$500)+IF($C5="",0,SUMIF('DADOS BRUTOS'!$A$3:$A$500,$C5,'DADOS BRUTOS'!FE$3:FE$500)))</f>
        <v/>
      </c>
      <c r="IF5" s="56">
        <f>IF(OR(IF$4="",$B5=""),0,SUMIF('DADOS BRUTOS'!$A$3:$A$500,$B5,'DADOS BRUTOS'!FF$3:FF$500)+IF($C5="",0,SUMIF('DADOS BRUTOS'!$A$3:$A$500,$C5,'DADOS BRUTOS'!FF$3:FF$500)))</f>
        <v/>
      </c>
      <c r="IG5" s="56">
        <f>IF(OR(IG$4="",$B5=""),0,SUMIF('DADOS BRUTOS'!$A$3:$A$500,$B5,'DADOS BRUTOS'!FG$3:FG$500)+IF($C5="",0,SUMIF('DADOS BRUTOS'!$A$3:$A$500,$C5,'DADOS BRUTOS'!FG$3:FG$500)))</f>
        <v/>
      </c>
      <c r="IH5" s="56">
        <f>IF(OR(IH$4="",$B5=""),0,SUMIF('DADOS BRUTOS'!$A$3:$A$500,$B5,'DADOS BRUTOS'!FH$3:FH$500)+IF($C5="",0,SUMIF('DADOS BRUTOS'!$A$3:$A$500,$C5,'DADOS BRUTOS'!FH$3:FH$500)))</f>
        <v/>
      </c>
      <c r="II5" s="56">
        <f>IF(OR(II$4="",$B5=""),0,SUMIF('DADOS BRUTOS'!$A$3:$A$500,$B5,'DADOS BRUTOS'!FI$3:FI$500)+IF($C5="",0,SUMIF('DADOS BRUTOS'!$A$3:$A$500,$C5,'DADOS BRUTOS'!FI$3:FI$500)))</f>
        <v/>
      </c>
      <c r="IJ5" s="56">
        <f>IF(OR(IJ$4="",$B5=""),0,SUMIF('DADOS BRUTOS'!$A$3:$A$500,$B5,'DADOS BRUTOS'!FJ$3:FJ$500)+IF($C5="",0,SUMIF('DADOS BRUTOS'!$A$3:$A$500,$C5,'DADOS BRUTOS'!FJ$3:FJ$500)))</f>
        <v/>
      </c>
      <c r="IK5" s="56">
        <f>IF(OR(IK$4="",$B5=""),0,SUMIF('DADOS BRUTOS'!$A$3:$A$500,$B5,'DADOS BRUTOS'!FK$3:FK$500)+IF($C5="",0,SUMIF('DADOS BRUTOS'!$A$3:$A$500,$C5,'DADOS BRUTOS'!FK$3:FK$500)))</f>
        <v/>
      </c>
      <c r="IL5" s="56">
        <f>IF(OR(IL$4="",$B5=""),0,SUMIF('DADOS BRUTOS'!$A$3:$A$500,$B5,'DADOS BRUTOS'!FL$3:FL$500)+IF($C5="",0,SUMIF('DADOS BRUTOS'!$A$3:$A$500,$C5,'DADOS BRUTOS'!FL$3:FL$500)))</f>
        <v/>
      </c>
      <c r="IM5" s="56">
        <f>IF(OR(IM$4="",$B5=""),0,SUMIF('DADOS BRUTOS'!$A$3:$A$500,$B5,'DADOS BRUTOS'!FM$3:FM$500)+IF($C5="",0,SUMIF('DADOS BRUTOS'!$A$3:$A$500,$C5,'DADOS BRUTOS'!FM$3:FM$500)))</f>
        <v/>
      </c>
      <c r="IN5" s="56">
        <f>IF(OR(IN$4="",$B5=""),0,SUMIF('DADOS BRUTOS'!$A$3:$A$500,$B5,'DADOS BRUTOS'!FN$3:FN$500)+IF($C5="",0,SUMIF('DADOS BRUTOS'!$A$3:$A$500,$C5,'DADOS BRUTOS'!FN$3:FN$500)))</f>
        <v/>
      </c>
      <c r="IO5" s="56">
        <f>IF(OR(IO$4="",$B5=""),0,SUMIF('DADOS BRUTOS'!$A$3:$A$500,$B5,'DADOS BRUTOS'!FO$3:FO$500)+IF($C5="",0,SUMIF('DADOS BRUTOS'!$A$3:$A$500,$C5,'DADOS BRUTOS'!FO$3:FO$500)))</f>
        <v/>
      </c>
      <c r="IP5" s="56">
        <f>IF(OR(IP$4="",$B5=""),0,SUMIF('DADOS BRUTOS'!$A$3:$A$500,$B5,'DADOS BRUTOS'!FP$3:FP$500)+IF($C5="",0,SUMIF('DADOS BRUTOS'!$A$3:$A$500,$C5,'DADOS BRUTOS'!FP$3:FP$500)))</f>
        <v/>
      </c>
      <c r="IQ5" s="56">
        <f>IF(OR(IQ$4="",$B5=""),0,SUMIF('DADOS BRUTOS'!$A$3:$A$500,$B5,'DADOS BRUTOS'!FQ$3:FQ$500)+IF($C5="",0,SUMIF('DADOS BRUTOS'!$A$3:$A$500,$C5,'DADOS BRUTOS'!FQ$3:FQ$500)))</f>
        <v/>
      </c>
      <c r="IR5" s="56">
        <f>IF(OR(IR$4="",$B5=""),0,SUMIF('DADOS BRUTOS'!$A$3:$A$500,$B5,'DADOS BRUTOS'!FR$3:FR$500)+IF($C5="",0,SUMIF('DADOS BRUTOS'!$A$3:$A$500,$C5,'DADOS BRUTOS'!FR$3:FR$500)))</f>
        <v/>
      </c>
      <c r="IS5" s="56">
        <f>IF(OR(IS$4="",$B5=""),0,SUMIF('DADOS BRUTOS'!$A$3:$A$500,$B5,'DADOS BRUTOS'!FS$3:FS$500)+IF($C5="",0,SUMIF('DADOS BRUTOS'!$A$3:$A$500,$C5,'DADOS BRUTOS'!FS$3:FS$500)))</f>
        <v/>
      </c>
      <c r="IT5" s="56">
        <f>IF(OR(IT$4="",$B5=""),0,SUMIF('DADOS BRUTOS'!$A$3:$A$500,$B5,'DADOS BRUTOS'!FT$3:FT$500)+IF($C5="",0,SUMIF('DADOS BRUTOS'!$A$3:$A$500,$C5,'DADOS BRUTOS'!FT$3:FT$500)))</f>
        <v/>
      </c>
      <c r="IU5" s="56">
        <f>IF(OR(IU$4="",$B5=""),0,SUMIF('DADOS BRUTOS'!$A$3:$A$500,$B5,'DADOS BRUTOS'!FU$3:FU$500)+IF($C5="",0,SUMIF('DADOS BRUTOS'!$A$3:$A$500,$C5,'DADOS BRUTOS'!FU$3:FU$500)))</f>
        <v/>
      </c>
      <c r="IV5" s="56">
        <f>IF(OR(IV$4="",$B5=""),0,SUMIF('DADOS BRUTOS'!$A$3:$A$500,$B5,'DADOS BRUTOS'!FV$3:FV$500)+IF($C5="",0,SUMIF('DADOS BRUTOS'!$A$3:$A$500,$C5,'DADOS BRUTOS'!FV$3:FV$500)))</f>
        <v/>
      </c>
      <c r="IW5" s="56">
        <f>IF(OR(IW$4="",$B5=""),0,SUMIF('DADOS BRUTOS'!$A$3:$A$500,$B5,'DADOS BRUTOS'!FW$3:FW$500)+IF($C5="",0,SUMIF('DADOS BRUTOS'!$A$3:$A$500,$C5,'DADOS BRUTOS'!FW$3:FW$500)))</f>
        <v/>
      </c>
      <c r="IX5" s="56">
        <f>IF(OR(IX$4="",$B5=""),0,SUMIF('DADOS BRUTOS'!$A$3:$A$500,$B5,'DADOS BRUTOS'!FX$3:FX$500)+IF($C5="",0,SUMIF('DADOS BRUTOS'!$A$3:$A$500,$C5,'DADOS BRUTOS'!FX$3:FX$500)))</f>
        <v/>
      </c>
      <c r="IY5" s="56">
        <f>IF(OR(IY$4="",$B5=""),0,SUMIF('DADOS BRUTOS'!$A$3:$A$500,$B5,'DADOS BRUTOS'!FY$3:FY$500)+IF($C5="",0,SUMIF('DADOS BRUTOS'!$A$3:$A$500,$C5,'DADOS BRUTOS'!FY$3:FY$500)))</f>
        <v/>
      </c>
      <c r="IZ5" s="56">
        <f>IF(OR(IZ$4="",$B5=""),0,SUMIF('DADOS BRUTOS'!$A$3:$A$500,$B5,'DADOS BRUTOS'!FZ$3:FZ$500)+IF($C5="",0,SUMIF('DADOS BRUTOS'!$A$3:$A$500,$C5,'DADOS BRUTOS'!FZ$3:FZ$500)))</f>
        <v/>
      </c>
      <c r="JA5" s="56">
        <f>IF(OR(JA$4="",$B5=""),0,SUMIF('DADOS BRUTOS'!$A$3:$A$500,$B5,'DADOS BRUTOS'!GA$3:GA$500)+IF($C5="",0,SUMIF('DADOS BRUTOS'!$A$3:$A$500,$C5,'DADOS BRUTOS'!GA$3:GA$500)))</f>
        <v/>
      </c>
      <c r="JB5" s="56">
        <f>IF(OR(JB$4="",$B5=""),0,SUMIF('DADOS BRUTOS'!$A$3:$A$500,$B5,'DADOS BRUTOS'!GB$3:GB$500)+IF($C5="",0,SUMIF('DADOS BRUTOS'!$A$3:$A$500,$C5,'DADOS BRUTOS'!GB$3:GB$500)))</f>
        <v/>
      </c>
      <c r="JC5" s="56">
        <f>IF(OR(JC$4="",$B5=""),0,SUMIF('DADOS BRUTOS'!$A$3:$A$500,$B5,'DADOS BRUTOS'!GC$3:GC$500)+IF($C5="",0,SUMIF('DADOS BRUTOS'!$A$3:$A$500,$C5,'DADOS BRUTOS'!GC$3:GC$500)))</f>
        <v/>
      </c>
      <c r="JD5" s="56">
        <f>IF(OR(JD$4="",$B5=""),0,SUMIF('DADOS BRUTOS'!$A$3:$A$500,$B5,'DADOS BRUTOS'!GD$3:GD$500)+IF($C5="",0,SUMIF('DADOS BRUTOS'!$A$3:$A$500,$C5,'DADOS BRUTOS'!GD$3:GD$500)))</f>
        <v/>
      </c>
      <c r="JE5" s="56">
        <f>IF(OR(JE$4="",$B5=""),0,SUMIF('DADOS BRUTOS'!$A$3:$A$500,$B5,'DADOS BRUTOS'!GE$3:GE$500)+IF($C5="",0,SUMIF('DADOS BRUTOS'!$A$3:$A$500,$C5,'DADOS BRUTOS'!GE$3:GE$500)))</f>
        <v/>
      </c>
      <c r="JF5" s="56">
        <f>IF(OR(JF$4="",$B5=""),0,SUMIF('DADOS BRUTOS'!$A$3:$A$500,$B5,'DADOS BRUTOS'!GF$3:GF$500)+IF($C5="",0,SUMIF('DADOS BRUTOS'!$A$3:$A$500,$C5,'DADOS BRUTOS'!GF$3:GF$500)))</f>
        <v/>
      </c>
      <c r="JG5" s="56">
        <f>IF(OR(JG$4="",$B5=""),0,SUMIF('DADOS BRUTOS'!$A$3:$A$500,$B5,'DADOS BRUTOS'!GG$3:GG$500)+IF($C5="",0,SUMIF('DADOS BRUTOS'!$A$3:$A$500,$C5,'DADOS BRUTOS'!GG$3:GG$500)))</f>
        <v/>
      </c>
      <c r="JH5" s="56">
        <f>IF(OR(JH$4="",$B5=""),0,SUMIF('DADOS BRUTOS'!$A$3:$A$500,$B5,'DADOS BRUTOS'!GH$3:GH$500)+IF($C5="",0,SUMIF('DADOS BRUTOS'!$A$3:$A$500,$C5,'DADOS BRUTOS'!GH$3:GH$500)))</f>
        <v/>
      </c>
      <c r="JI5" s="56">
        <f>IF(OR(JI$4="",$B5=""),0,SUMIF('DADOS BRUTOS'!$A$3:$A$500,$B5,'DADOS BRUTOS'!GI$3:GI$500)+IF($C5="",0,SUMIF('DADOS BRUTOS'!$A$3:$A$500,$C5,'DADOS BRUTOS'!GI$3:GI$500)))</f>
        <v/>
      </c>
      <c r="JJ5" s="56">
        <f>IF(OR(JJ$4="",$B5=""),0,SUMIF('DADOS BRUTOS'!$A$3:$A$500,$B5,'DADOS BRUTOS'!GJ$3:GJ$500)+IF($C5="",0,SUMIF('DADOS BRUTOS'!$A$3:$A$500,$C5,'DADOS BRUTOS'!GJ$3:GJ$500)))</f>
        <v/>
      </c>
      <c r="JK5" s="56">
        <f>IF(OR(JK$4="",$B5=""),0,SUMIF('DADOS BRUTOS'!$A$3:$A$500,$B5,'DADOS BRUTOS'!GK$3:GK$500)+IF($C5="",0,SUMIF('DADOS BRUTOS'!$A$3:$A$500,$C5,'DADOS BRUTOS'!GK$3:GK$500)))</f>
        <v/>
      </c>
      <c r="JL5" s="56">
        <f>IF(OR(JL$4="",$B5=""),0,SUMIF('DADOS BRUTOS'!$A$3:$A$500,$B5,'DADOS BRUTOS'!GL$3:GL$500)+IF($C5="",0,SUMIF('DADOS BRUTOS'!$A$3:$A$500,$C5,'DADOS BRUTOS'!GL$3:GL$500)))</f>
        <v/>
      </c>
      <c r="JM5" s="56">
        <f>IF(OR(JM$4="",$B5=""),0,SUMIF('DADOS BRUTOS'!$A$3:$A$500,$B5,'DADOS BRUTOS'!GM$3:GM$500)+IF($C5="",0,SUMIF('DADOS BRUTOS'!$A$3:$A$500,$C5,'DADOS BRUTOS'!GM$3:GM$500)))</f>
        <v/>
      </c>
      <c r="JN5" s="56">
        <f>IF(OR(JN$4="",$B5=""),0,SUMIF('DADOS BRUTOS'!$A$3:$A$500,$B5,'DADOS BRUTOS'!GN$3:GN$500)+IF($C5="",0,SUMIF('DADOS BRUTOS'!$A$3:$A$500,$C5,'DADOS BRUTOS'!GN$3:GN$500)))</f>
        <v/>
      </c>
      <c r="JO5" s="56">
        <f>IF(OR(JO$4="",$B5=""),0,SUMIF('DADOS BRUTOS'!$A$3:$A$500,$B5,'DADOS BRUTOS'!GO$3:GO$500)+IF($C5="",0,SUMIF('DADOS BRUTOS'!$A$3:$A$500,$C5,'DADOS BRUTOS'!GO$3:GO$500)))</f>
        <v/>
      </c>
      <c r="JP5" s="56">
        <f>IF(OR(JP$4="",$B5=""),0,SUMIF('DADOS BRUTOS'!$A$3:$A$500,$B5,'DADOS BRUTOS'!GP$3:GP$500)+IF($C5="",0,SUMIF('DADOS BRUTOS'!$A$3:$A$500,$C5,'DADOS BRUTOS'!GP$3:GP$500)))</f>
        <v/>
      </c>
      <c r="JQ5" s="56">
        <f>IF(OR(JQ$4="",$B5=""),0,SUMIF('DADOS BRUTOS'!$A$3:$A$500,$B5,'DADOS BRUTOS'!GQ$3:GQ$500)+IF($C5="",0,SUMIF('DADOS BRUTOS'!$A$3:$A$500,$C5,'DADOS BRUTOS'!GQ$3:GQ$500)))</f>
        <v/>
      </c>
      <c r="JR5" s="56">
        <f>IF(OR(JR$4="",$B5=""),0,SUMIF('DADOS BRUTOS'!$A$3:$A$500,$B5,'DADOS BRUTOS'!GR$3:GR$500)+IF($C5="",0,SUMIF('DADOS BRUTOS'!$A$3:$A$500,$C5,'DADOS BRUTOS'!GR$3:GR$500)))</f>
        <v/>
      </c>
      <c r="JS5" s="56">
        <f>IF(OR(JS$4="",$B5=""),0,SUMIF('DADOS BRUTOS'!$A$3:$A$500,$B5,'DADOS BRUTOS'!GS$3:GS$500)+IF($C5="",0,SUMIF('DADOS BRUTOS'!$A$3:$A$500,$C5,'DADOS BRUTOS'!GS$3:GS$500)))</f>
        <v/>
      </c>
    </row>
    <row r="6">
      <c r="A6" s="34">
        <f>'VALOR POR PL'!D12</f>
        <v/>
      </c>
      <c r="B6" s="21" t="inlineStr">
        <is>
          <t>SEGUROS</t>
        </is>
      </c>
      <c r="C6" s="21" t="n"/>
      <c r="D6" s="17">
        <f>SUMIF($CB$4:$JS$4,"&lt;="&amp;D$4,$CB6:$JS6)</f>
        <v/>
      </c>
      <c r="E6" s="17">
        <f>SUMIF($CB$4:$JS$4,E$4,$CB6:$JS6)</f>
        <v/>
      </c>
      <c r="F6" s="17">
        <f>SUMIF($CB$4:$JS$4,F$4,$CB6:$JS6)</f>
        <v/>
      </c>
      <c r="G6" s="17">
        <f>SUMIF($CB$4:$JS$4,G$4,$CB6:$JS6)</f>
        <v/>
      </c>
      <c r="H6" s="17">
        <f>SUMIF($CB$4:$JS$4,H$4,$CB6:$JS6)</f>
        <v/>
      </c>
      <c r="I6" s="17">
        <f>SUMIF($CB$4:$JS$4,I$4,$CB6:$JS6)</f>
        <v/>
      </c>
      <c r="J6" s="17">
        <f>SUMIF($CB$4:$JS$4,J$4,$CB6:$JS6)</f>
        <v/>
      </c>
      <c r="K6" s="17">
        <f>SUMIF($CB$4:$JS$4,K$4,$CB6:$JS6)</f>
        <v/>
      </c>
      <c r="L6" s="17">
        <f>SUMIF($CB$4:$JS$4,L$4,$CB6:$JS6)</f>
        <v/>
      </c>
      <c r="M6" s="17">
        <f>SUMIF($CB$4:$JS$4,M$4,$CB6:$JS6)</f>
        <v/>
      </c>
      <c r="N6" s="17">
        <f>SUMIF($CB$4:$JS$4,N$4,$CB6:$JS6)</f>
        <v/>
      </c>
      <c r="O6" s="17">
        <f>SUMIF($CB$4:$JS$4,O$4,$CB6:$JS6)</f>
        <v/>
      </c>
      <c r="P6" s="17">
        <f>SUMIF($CB$4:$JS$4,P$4,$CB6:$JS6)</f>
        <v/>
      </c>
      <c r="Q6" s="17">
        <f>SUMIF($CB$4:$JS$4,Q$4,$CB6:$JS6)</f>
        <v/>
      </c>
      <c r="R6" s="17">
        <f>SUMIF($CB$4:$JS$4,R$4,$CB6:$JS6)</f>
        <v/>
      </c>
      <c r="S6" s="17">
        <f>SUMIF($CB$4:$JS$4,S$4,$CB6:$JS6)</f>
        <v/>
      </c>
      <c r="T6" s="17">
        <f>SUMIF($CB$4:$JS$4,T$4,$CB6:$JS6)</f>
        <v/>
      </c>
      <c r="U6" s="17">
        <f>SUMIF($CB$4:$JS$4,U$4,$CB6:$JS6)</f>
        <v/>
      </c>
      <c r="V6" s="17">
        <f>SUMIF($CB$4:$JS$4,V$4,$CB6:$JS6)</f>
        <v/>
      </c>
      <c r="W6" s="17">
        <f>SUMIF($CB$4:$JS$4,W$4,$CB6:$JS6)</f>
        <v/>
      </c>
      <c r="X6" s="17">
        <f>SUMIF($CB$4:$JS$4,X$4,$CB6:$JS6)</f>
        <v/>
      </c>
      <c r="Y6" s="17">
        <f>SUMIF($CB$4:$JS$4,Y$4,$CB6:$JS6)</f>
        <v/>
      </c>
      <c r="Z6" s="17">
        <f>SUMIF($CB$4:$JS$4,Z$4,$CB6:$JS6)</f>
        <v/>
      </c>
      <c r="AA6" s="17">
        <f>SUMIF($CB$4:$JS$4,AA$4,$CB6:$JS6)</f>
        <v/>
      </c>
      <c r="AB6" s="17">
        <f>SUMIF($CB$4:$JS$4,AB$4,$CB6:$JS6)</f>
        <v/>
      </c>
      <c r="AC6" s="17">
        <f>SUMIF($CB$4:$JS$4,AC$4,$CB6:$JS6)</f>
        <v/>
      </c>
      <c r="AD6" s="17">
        <f>SUMIF($CB$4:$JS$4,AD$4,$CB6:$JS6)</f>
        <v/>
      </c>
      <c r="AE6" s="17">
        <f>SUMIF($CB$4:$JS$4,AE$4,$CB6:$JS6)</f>
        <v/>
      </c>
      <c r="AF6" s="17">
        <f>SUMIF($CB$4:$JS$4,AF$4,$CB6:$JS6)</f>
        <v/>
      </c>
      <c r="AG6" s="17">
        <f>SUMIF($CB$4:$JS$4,AG$4,$CB6:$JS6)</f>
        <v/>
      </c>
      <c r="AH6" s="17">
        <f>SUMIF($CB$4:$JS$4,AH$4,$CB6:$JS6)</f>
        <v/>
      </c>
      <c r="AI6" s="17">
        <f>SUMIF($CB$4:$JS$4,AI$4,$CB6:$JS6)</f>
        <v/>
      </c>
      <c r="AJ6" s="17">
        <f>SUMIF($CB$4:$JS$4,AJ$4,$CB6:$JS6)</f>
        <v/>
      </c>
      <c r="AK6" s="17">
        <f>SUMIF($CB$4:$JS$4,AK$4,$CB6:$JS6)</f>
        <v/>
      </c>
      <c r="AL6" s="17">
        <f>SUMIF($CB$4:$JS$4,AL$4,$CB6:$JS6)</f>
        <v/>
      </c>
      <c r="AM6" s="17">
        <f>SUMIF($CB$4:$JS$4,AM$4,$CB6:$JS6)</f>
        <v/>
      </c>
      <c r="AN6" s="17">
        <f>SUMIF($CB$4:$JS$4,AN$4,$CB6:$JS6)</f>
        <v/>
      </c>
      <c r="AO6" s="17">
        <f>SUMIF($CB$4:$JS$4,AO$4,$CB6:$JS6)</f>
        <v/>
      </c>
      <c r="AP6" s="17">
        <f>SUMIF($CB$4:$JS$4,AP$4,$CB6:$JS6)</f>
        <v/>
      </c>
      <c r="AQ6" s="17">
        <f>SUMIF($CB$4:$JS$4,AQ$4,$CB6:$JS6)</f>
        <v/>
      </c>
      <c r="AR6" s="17">
        <f>SUMIF($CB$4:$JS$4,AR$4,$CB6:$JS6)</f>
        <v/>
      </c>
      <c r="AS6" s="17">
        <f>SUMIF($CB$4:$JS$4,AS$4,$CB6:$JS6)</f>
        <v/>
      </c>
      <c r="AT6" s="17">
        <f>SUMIF($CB$4:$JS$4,AT$4,$CB6:$JS6)</f>
        <v/>
      </c>
      <c r="AU6" s="17">
        <f>SUMIF($CB$4:$JS$4,AU$4,$CB6:$JS6)</f>
        <v/>
      </c>
      <c r="AV6" s="17">
        <f>SUMIF($CB$4:$JS$4,AV$4,$CB6:$JS6)</f>
        <v/>
      </c>
      <c r="AW6" s="17">
        <f>SUMIF($CB$4:$JS$4,AW$4,$CB6:$JS6)</f>
        <v/>
      </c>
      <c r="AX6" s="17">
        <f>SUMIF($CB$4:$JS$4,AX$4,$CB6:$JS6)</f>
        <v/>
      </c>
      <c r="AY6" s="17">
        <f>SUMIF($CB$4:$JS$4,AY$4,$CB6:$JS6)</f>
        <v/>
      </c>
      <c r="AZ6" s="17">
        <f>SUMIF($CB$4:$JS$4,AZ$4,$CB6:$JS6)</f>
        <v/>
      </c>
      <c r="BA6" s="17">
        <f>SUMIF($CB$4:$JS$4,BA$4,$CB6:$JS6)</f>
        <v/>
      </c>
      <c r="BB6" s="17">
        <f>SUMIF($CB$4:$JS$4,BB$4,$CB6:$JS6)</f>
        <v/>
      </c>
      <c r="BC6" s="17">
        <f>SUMIF($CB$4:$JS$4,BC$4,$CB6:$JS6)</f>
        <v/>
      </c>
      <c r="BD6" s="17">
        <f>SUMIF($CB$4:$JS$4,BD$4,$CB6:$JS6)</f>
        <v/>
      </c>
      <c r="BE6" s="17">
        <f>SUMIF($CB$4:$JS$4,BE$4,$CB6:$JS6)</f>
        <v/>
      </c>
      <c r="BF6" s="17">
        <f>SUMIF($CB$4:$JS$4,BF$4,$CB6:$JS6)</f>
        <v/>
      </c>
      <c r="BG6" s="17">
        <f>SUMIF($CB$4:$JS$4,BG$4,$CB6:$JS6)</f>
        <v/>
      </c>
      <c r="BH6" s="17">
        <f>SUMIF($CB$4:$JS$4,BH$4,$CB6:$JS6)</f>
        <v/>
      </c>
      <c r="BI6" s="17">
        <f>SUMIF($CB$4:$JS$4,BI$4,$CB6:$JS6)</f>
        <v/>
      </c>
      <c r="BJ6" s="17">
        <f>SUMIF($CB$4:$JS$4,BJ$4,$CB6:$JS6)</f>
        <v/>
      </c>
      <c r="BK6" s="17">
        <f>SUMIF($CB$4:$JS$4,BK$4,$CB6:$JS6)</f>
        <v/>
      </c>
      <c r="BL6" s="17">
        <f>SUMIF($CB$4:$JS$4,BL$4,$CB6:$JS6)</f>
        <v/>
      </c>
      <c r="BM6" s="17">
        <f>SUMIF($CB$4:$JS$4,BM$4,$CB6:$JS6)</f>
        <v/>
      </c>
      <c r="BN6" s="17">
        <f>SUMIF($CB$4:$JS$4,BN$4,$CB6:$JS6)</f>
        <v/>
      </c>
      <c r="BO6" s="17">
        <f>SUMIF($CB$4:$JS$4,BO$4,$CB6:$JS6)</f>
        <v/>
      </c>
      <c r="BP6" s="17">
        <f>SUMIF($CB$4:$JS$4,BP$4,$CB6:$JS6)</f>
        <v/>
      </c>
      <c r="BQ6" s="17">
        <f>SUMIF($CB$4:$JS$4,BQ$4,$CB6:$JS6)</f>
        <v/>
      </c>
      <c r="BR6" s="17">
        <f>SUMIF($CB$4:$JS$4,BR$4,$CB6:$JS6)</f>
        <v/>
      </c>
      <c r="BS6" s="17">
        <f>SUMIF($CB$4:$JS$4,BS$4,$CB6:$JS6)</f>
        <v/>
      </c>
      <c r="BT6" s="17">
        <f>SUMIF($CB$4:$JS$4,BT$4,$CB6:$JS6)</f>
        <v/>
      </c>
      <c r="BU6" s="17">
        <f>SUMIF($CB$4:$JS$4,BU$4,$CB6:$JS6)</f>
        <v/>
      </c>
      <c r="BV6" s="17">
        <f>SUMIF($CB$4:$JS$4,BV$4,$CB6:$JS6)</f>
        <v/>
      </c>
      <c r="BW6" s="17">
        <f>SUMIF($CB$4:$JS$4,BW$4,$CB6:$JS6)</f>
        <v/>
      </c>
      <c r="BX6" s="17">
        <f>SUMIF($CB$4:$JS$4,"&gt;"&amp;'VALOR POR PL'!$P$8,$CB6:$JS6)</f>
        <v/>
      </c>
      <c r="BY6" s="17">
        <f>SUM($CB6:$JS6)</f>
        <v/>
      </c>
      <c r="CB6" s="56">
        <f>IF(OR(CB$4="",$B6=""),0,SUMIF('DADOS BRUTOS'!$A$3:$A$500,$B6,'DADOS BRUTOS'!B$3:B$500)+IF($C6="",0,SUMIF('DADOS BRUTOS'!$A$3:$A$500,$C6,'DADOS BRUTOS'!B$3:B$500)))</f>
        <v/>
      </c>
      <c r="CC6" s="56">
        <f>IF(OR(CC$4="",$B6=""),0,SUMIF('DADOS BRUTOS'!$A$3:$A$500,$B6,'DADOS BRUTOS'!C$3:C$500)+IF($C6="",0,SUMIF('DADOS BRUTOS'!$A$3:$A$500,$C6,'DADOS BRUTOS'!C$3:C$500)))</f>
        <v/>
      </c>
      <c r="CD6" s="56">
        <f>IF(OR(CD$4="",$B6=""),0,SUMIF('DADOS BRUTOS'!$A$3:$A$500,$B6,'DADOS BRUTOS'!D$3:D$500)+IF($C6="",0,SUMIF('DADOS BRUTOS'!$A$3:$A$500,$C6,'DADOS BRUTOS'!D$3:D$500)))</f>
        <v/>
      </c>
      <c r="CE6" s="56">
        <f>IF(OR(CE$4="",$B6=""),0,SUMIF('DADOS BRUTOS'!$A$3:$A$500,$B6,'DADOS BRUTOS'!E$3:E$500)+IF($C6="",0,SUMIF('DADOS BRUTOS'!$A$3:$A$500,$C6,'DADOS BRUTOS'!E$3:E$500)))</f>
        <v/>
      </c>
      <c r="CF6" s="56">
        <f>IF(OR(CF$4="",$B6=""),0,SUMIF('DADOS BRUTOS'!$A$3:$A$500,$B6,'DADOS BRUTOS'!F$3:F$500)+IF($C6="",0,SUMIF('DADOS BRUTOS'!$A$3:$A$500,$C6,'DADOS BRUTOS'!F$3:F$500)))</f>
        <v/>
      </c>
      <c r="CG6" s="56">
        <f>IF(OR(CG$4="",$B6=""),0,SUMIF('DADOS BRUTOS'!$A$3:$A$500,$B6,'DADOS BRUTOS'!G$3:G$500)+IF($C6="",0,SUMIF('DADOS BRUTOS'!$A$3:$A$500,$C6,'DADOS BRUTOS'!G$3:G$500)))</f>
        <v/>
      </c>
      <c r="CH6" s="56">
        <f>IF(OR(CH$4="",$B6=""),0,SUMIF('DADOS BRUTOS'!$A$3:$A$500,$B6,'DADOS BRUTOS'!H$3:H$500)+IF($C6="",0,SUMIF('DADOS BRUTOS'!$A$3:$A$500,$C6,'DADOS BRUTOS'!H$3:H$500)))</f>
        <v/>
      </c>
      <c r="CI6" s="56">
        <f>IF(OR(CI$4="",$B6=""),0,SUMIF('DADOS BRUTOS'!$A$3:$A$500,$B6,'DADOS BRUTOS'!I$3:I$500)+IF($C6="",0,SUMIF('DADOS BRUTOS'!$A$3:$A$500,$C6,'DADOS BRUTOS'!I$3:I$500)))</f>
        <v/>
      </c>
      <c r="CJ6" s="56">
        <f>IF(OR(CJ$4="",$B6=""),0,SUMIF('DADOS BRUTOS'!$A$3:$A$500,$B6,'DADOS BRUTOS'!J$3:J$500)+IF($C6="",0,SUMIF('DADOS BRUTOS'!$A$3:$A$500,$C6,'DADOS BRUTOS'!J$3:J$500)))</f>
        <v/>
      </c>
      <c r="CK6" s="56">
        <f>IF(OR(CK$4="",$B6=""),0,SUMIF('DADOS BRUTOS'!$A$3:$A$500,$B6,'DADOS BRUTOS'!K$3:K$500)+IF($C6="",0,SUMIF('DADOS BRUTOS'!$A$3:$A$500,$C6,'DADOS BRUTOS'!K$3:K$500)))</f>
        <v/>
      </c>
      <c r="CL6" s="56">
        <f>IF(OR(CL$4="",$B6=""),0,SUMIF('DADOS BRUTOS'!$A$3:$A$500,$B6,'DADOS BRUTOS'!L$3:L$500)+IF($C6="",0,SUMIF('DADOS BRUTOS'!$A$3:$A$500,$C6,'DADOS BRUTOS'!L$3:L$500)))</f>
        <v/>
      </c>
      <c r="CM6" s="56">
        <f>IF(OR(CM$4="",$B6=""),0,SUMIF('DADOS BRUTOS'!$A$3:$A$500,$B6,'DADOS BRUTOS'!M$3:M$500)+IF($C6="",0,SUMIF('DADOS BRUTOS'!$A$3:$A$500,$C6,'DADOS BRUTOS'!M$3:M$500)))</f>
        <v/>
      </c>
      <c r="CN6" s="56">
        <f>IF(OR(CN$4="",$B6=""),0,SUMIF('DADOS BRUTOS'!$A$3:$A$500,$B6,'DADOS BRUTOS'!N$3:N$500)+IF($C6="",0,SUMIF('DADOS BRUTOS'!$A$3:$A$500,$C6,'DADOS BRUTOS'!N$3:N$500)))</f>
        <v/>
      </c>
      <c r="CO6" s="56">
        <f>IF(OR(CO$4="",$B6=""),0,SUMIF('DADOS BRUTOS'!$A$3:$A$500,$B6,'DADOS BRUTOS'!O$3:O$500)+IF($C6="",0,SUMIF('DADOS BRUTOS'!$A$3:$A$500,$C6,'DADOS BRUTOS'!O$3:O$500)))</f>
        <v/>
      </c>
      <c r="CP6" s="56">
        <f>IF(OR(CP$4="",$B6=""),0,SUMIF('DADOS BRUTOS'!$A$3:$A$500,$B6,'DADOS BRUTOS'!P$3:P$500)+IF($C6="",0,SUMIF('DADOS BRUTOS'!$A$3:$A$500,$C6,'DADOS BRUTOS'!P$3:P$500)))</f>
        <v/>
      </c>
      <c r="CQ6" s="56">
        <f>IF(OR(CQ$4="",$B6=""),0,SUMIF('DADOS BRUTOS'!$A$3:$A$500,$B6,'DADOS BRUTOS'!Q$3:Q$500)+IF($C6="",0,SUMIF('DADOS BRUTOS'!$A$3:$A$500,$C6,'DADOS BRUTOS'!Q$3:Q$500)))</f>
        <v/>
      </c>
      <c r="CR6" s="56">
        <f>IF(OR(CR$4="",$B6=""),0,SUMIF('DADOS BRUTOS'!$A$3:$A$500,$B6,'DADOS BRUTOS'!R$3:R$500)+IF($C6="",0,SUMIF('DADOS BRUTOS'!$A$3:$A$500,$C6,'DADOS BRUTOS'!R$3:R$500)))</f>
        <v/>
      </c>
      <c r="CS6" s="56">
        <f>IF(OR(CS$4="",$B6=""),0,SUMIF('DADOS BRUTOS'!$A$3:$A$500,$B6,'DADOS BRUTOS'!S$3:S$500)+IF($C6="",0,SUMIF('DADOS BRUTOS'!$A$3:$A$500,$C6,'DADOS BRUTOS'!S$3:S$500)))</f>
        <v/>
      </c>
      <c r="CT6" s="56">
        <f>IF(OR(CT$4="",$B6=""),0,SUMIF('DADOS BRUTOS'!$A$3:$A$500,$B6,'DADOS BRUTOS'!T$3:T$500)+IF($C6="",0,SUMIF('DADOS BRUTOS'!$A$3:$A$500,$C6,'DADOS BRUTOS'!T$3:T$500)))</f>
        <v/>
      </c>
      <c r="CU6" s="56">
        <f>IF(OR(CU$4="",$B6=""),0,SUMIF('DADOS BRUTOS'!$A$3:$A$500,$B6,'DADOS BRUTOS'!U$3:U$500)+IF($C6="",0,SUMIF('DADOS BRUTOS'!$A$3:$A$500,$C6,'DADOS BRUTOS'!U$3:U$500)))</f>
        <v/>
      </c>
      <c r="CV6" s="56">
        <f>IF(OR(CV$4="",$B6=""),0,SUMIF('DADOS BRUTOS'!$A$3:$A$500,$B6,'DADOS BRUTOS'!V$3:V$500)+IF($C6="",0,SUMIF('DADOS BRUTOS'!$A$3:$A$500,$C6,'DADOS BRUTOS'!V$3:V$500)))</f>
        <v/>
      </c>
      <c r="CW6" s="56">
        <f>IF(OR(CW$4="",$B6=""),0,SUMIF('DADOS BRUTOS'!$A$3:$A$500,$B6,'DADOS BRUTOS'!W$3:W$500)+IF($C6="",0,SUMIF('DADOS BRUTOS'!$A$3:$A$500,$C6,'DADOS BRUTOS'!W$3:W$500)))</f>
        <v/>
      </c>
      <c r="CX6" s="56">
        <f>IF(OR(CX$4="",$B6=""),0,SUMIF('DADOS BRUTOS'!$A$3:$A$500,$B6,'DADOS BRUTOS'!X$3:X$500)+IF($C6="",0,SUMIF('DADOS BRUTOS'!$A$3:$A$500,$C6,'DADOS BRUTOS'!X$3:X$500)))</f>
        <v/>
      </c>
      <c r="CY6" s="56">
        <f>IF(OR(CY$4="",$B6=""),0,SUMIF('DADOS BRUTOS'!$A$3:$A$500,$B6,'DADOS BRUTOS'!Y$3:Y$500)+IF($C6="",0,SUMIF('DADOS BRUTOS'!$A$3:$A$500,$C6,'DADOS BRUTOS'!Y$3:Y$500)))</f>
        <v/>
      </c>
      <c r="CZ6" s="56">
        <f>IF(OR(CZ$4="",$B6=""),0,SUMIF('DADOS BRUTOS'!$A$3:$A$500,$B6,'DADOS BRUTOS'!Z$3:Z$500)+IF($C6="",0,SUMIF('DADOS BRUTOS'!$A$3:$A$500,$C6,'DADOS BRUTOS'!Z$3:Z$500)))</f>
        <v/>
      </c>
      <c r="DA6" s="56">
        <f>IF(OR(DA$4="",$B6=""),0,SUMIF('DADOS BRUTOS'!$A$3:$A$500,$B6,'DADOS BRUTOS'!AA$3:AA$500)+IF($C6="",0,SUMIF('DADOS BRUTOS'!$A$3:$A$500,$C6,'DADOS BRUTOS'!AA$3:AA$500)))</f>
        <v/>
      </c>
      <c r="DB6" s="56">
        <f>IF(OR(DB$4="",$B6=""),0,SUMIF('DADOS BRUTOS'!$A$3:$A$500,$B6,'DADOS BRUTOS'!AB$3:AB$500)+IF($C6="",0,SUMIF('DADOS BRUTOS'!$A$3:$A$500,$C6,'DADOS BRUTOS'!AB$3:AB$500)))</f>
        <v/>
      </c>
      <c r="DC6" s="56">
        <f>IF(OR(DC$4="",$B6=""),0,SUMIF('DADOS BRUTOS'!$A$3:$A$500,$B6,'DADOS BRUTOS'!AC$3:AC$500)+IF($C6="",0,SUMIF('DADOS BRUTOS'!$A$3:$A$500,$C6,'DADOS BRUTOS'!AC$3:AC$500)))</f>
        <v/>
      </c>
      <c r="DD6" s="56">
        <f>IF(OR(DD$4="",$B6=""),0,SUMIF('DADOS BRUTOS'!$A$3:$A$500,$B6,'DADOS BRUTOS'!AD$3:AD$500)+IF($C6="",0,SUMIF('DADOS BRUTOS'!$A$3:$A$500,$C6,'DADOS BRUTOS'!AD$3:AD$500)))</f>
        <v/>
      </c>
      <c r="DE6" s="56">
        <f>IF(OR(DE$4="",$B6=""),0,SUMIF('DADOS BRUTOS'!$A$3:$A$500,$B6,'DADOS BRUTOS'!AE$3:AE$500)+IF($C6="",0,SUMIF('DADOS BRUTOS'!$A$3:$A$500,$C6,'DADOS BRUTOS'!AE$3:AE$500)))</f>
        <v/>
      </c>
      <c r="DF6" s="56">
        <f>IF(OR(DF$4="",$B6=""),0,SUMIF('DADOS BRUTOS'!$A$3:$A$500,$B6,'DADOS BRUTOS'!AF$3:AF$500)+IF($C6="",0,SUMIF('DADOS BRUTOS'!$A$3:$A$500,$C6,'DADOS BRUTOS'!AF$3:AF$500)))</f>
        <v/>
      </c>
      <c r="DG6" s="56">
        <f>IF(OR(DG$4="",$B6=""),0,SUMIF('DADOS BRUTOS'!$A$3:$A$500,$B6,'DADOS BRUTOS'!AG$3:AG$500)+IF($C6="",0,SUMIF('DADOS BRUTOS'!$A$3:$A$500,$C6,'DADOS BRUTOS'!AG$3:AG$500)))</f>
        <v/>
      </c>
      <c r="DH6" s="56">
        <f>IF(OR(DH$4="",$B6=""),0,SUMIF('DADOS BRUTOS'!$A$3:$A$500,$B6,'DADOS BRUTOS'!AH$3:AH$500)+IF($C6="",0,SUMIF('DADOS BRUTOS'!$A$3:$A$500,$C6,'DADOS BRUTOS'!AH$3:AH$500)))</f>
        <v/>
      </c>
      <c r="DI6" s="56">
        <f>IF(OR(DI$4="",$B6=""),0,SUMIF('DADOS BRUTOS'!$A$3:$A$500,$B6,'DADOS BRUTOS'!AI$3:AI$500)+IF($C6="",0,SUMIF('DADOS BRUTOS'!$A$3:$A$500,$C6,'DADOS BRUTOS'!AI$3:AI$500)))</f>
        <v/>
      </c>
      <c r="DJ6" s="56">
        <f>IF(OR(DJ$4="",$B6=""),0,SUMIF('DADOS BRUTOS'!$A$3:$A$500,$B6,'DADOS BRUTOS'!AJ$3:AJ$500)+IF($C6="",0,SUMIF('DADOS BRUTOS'!$A$3:$A$500,$C6,'DADOS BRUTOS'!AJ$3:AJ$500)))</f>
        <v/>
      </c>
      <c r="DK6" s="56">
        <f>IF(OR(DK$4="",$B6=""),0,SUMIF('DADOS BRUTOS'!$A$3:$A$500,$B6,'DADOS BRUTOS'!AK$3:AK$500)+IF($C6="",0,SUMIF('DADOS BRUTOS'!$A$3:$A$500,$C6,'DADOS BRUTOS'!AK$3:AK$500)))</f>
        <v/>
      </c>
      <c r="DL6" s="56">
        <f>IF(OR(DL$4="",$B6=""),0,SUMIF('DADOS BRUTOS'!$A$3:$A$500,$B6,'DADOS BRUTOS'!AL$3:AL$500)+IF($C6="",0,SUMIF('DADOS BRUTOS'!$A$3:$A$500,$C6,'DADOS BRUTOS'!AL$3:AL$500)))</f>
        <v/>
      </c>
      <c r="DM6" s="56">
        <f>IF(OR(DM$4="",$B6=""),0,SUMIF('DADOS BRUTOS'!$A$3:$A$500,$B6,'DADOS BRUTOS'!AM$3:AM$500)+IF($C6="",0,SUMIF('DADOS BRUTOS'!$A$3:$A$500,$C6,'DADOS BRUTOS'!AM$3:AM$500)))</f>
        <v/>
      </c>
      <c r="DN6" s="56">
        <f>IF(OR(DN$4="",$B6=""),0,SUMIF('DADOS BRUTOS'!$A$3:$A$500,$B6,'DADOS BRUTOS'!AN$3:AN$500)+IF($C6="",0,SUMIF('DADOS BRUTOS'!$A$3:$A$500,$C6,'DADOS BRUTOS'!AN$3:AN$500)))</f>
        <v/>
      </c>
      <c r="DO6" s="56">
        <f>IF(OR(DO$4="",$B6=""),0,SUMIF('DADOS BRUTOS'!$A$3:$A$500,$B6,'DADOS BRUTOS'!AO$3:AO$500)+IF($C6="",0,SUMIF('DADOS BRUTOS'!$A$3:$A$500,$C6,'DADOS BRUTOS'!AO$3:AO$500)))</f>
        <v/>
      </c>
      <c r="DP6" s="56">
        <f>IF(OR(DP$4="",$B6=""),0,SUMIF('DADOS BRUTOS'!$A$3:$A$500,$B6,'DADOS BRUTOS'!AP$3:AP$500)+IF($C6="",0,SUMIF('DADOS BRUTOS'!$A$3:$A$500,$C6,'DADOS BRUTOS'!AP$3:AP$500)))</f>
        <v/>
      </c>
      <c r="DQ6" s="56">
        <f>IF(OR(DQ$4="",$B6=""),0,SUMIF('DADOS BRUTOS'!$A$3:$A$500,$B6,'DADOS BRUTOS'!AQ$3:AQ$500)+IF($C6="",0,SUMIF('DADOS BRUTOS'!$A$3:$A$500,$C6,'DADOS BRUTOS'!AQ$3:AQ$500)))</f>
        <v/>
      </c>
      <c r="DR6" s="56">
        <f>IF(OR(DR$4="",$B6=""),0,SUMIF('DADOS BRUTOS'!$A$3:$A$500,$B6,'DADOS BRUTOS'!AR$3:AR$500)+IF($C6="",0,SUMIF('DADOS BRUTOS'!$A$3:$A$500,$C6,'DADOS BRUTOS'!AR$3:AR$500)))</f>
        <v/>
      </c>
      <c r="DS6" s="56">
        <f>IF(OR(DS$4="",$B6=""),0,SUMIF('DADOS BRUTOS'!$A$3:$A$500,$B6,'DADOS BRUTOS'!AS$3:AS$500)+IF($C6="",0,SUMIF('DADOS BRUTOS'!$A$3:$A$500,$C6,'DADOS BRUTOS'!AS$3:AS$500)))</f>
        <v/>
      </c>
      <c r="DT6" s="56">
        <f>IF(OR(DT$4="",$B6=""),0,SUMIF('DADOS BRUTOS'!$A$3:$A$500,$B6,'DADOS BRUTOS'!AT$3:AT$500)+IF($C6="",0,SUMIF('DADOS BRUTOS'!$A$3:$A$500,$C6,'DADOS BRUTOS'!AT$3:AT$500)))</f>
        <v/>
      </c>
      <c r="DU6" s="56">
        <f>IF(OR(DU$4="",$B6=""),0,SUMIF('DADOS BRUTOS'!$A$3:$A$500,$B6,'DADOS BRUTOS'!AU$3:AU$500)+IF($C6="",0,SUMIF('DADOS BRUTOS'!$A$3:$A$500,$C6,'DADOS BRUTOS'!AU$3:AU$500)))</f>
        <v/>
      </c>
      <c r="DV6" s="56">
        <f>IF(OR(DV$4="",$B6=""),0,SUMIF('DADOS BRUTOS'!$A$3:$A$500,$B6,'DADOS BRUTOS'!AV$3:AV$500)+IF($C6="",0,SUMIF('DADOS BRUTOS'!$A$3:$A$500,$C6,'DADOS BRUTOS'!AV$3:AV$500)))</f>
        <v/>
      </c>
      <c r="DW6" s="56">
        <f>IF(OR(DW$4="",$B6=""),0,SUMIF('DADOS BRUTOS'!$A$3:$A$500,$B6,'DADOS BRUTOS'!AW$3:AW$500)+IF($C6="",0,SUMIF('DADOS BRUTOS'!$A$3:$A$500,$C6,'DADOS BRUTOS'!AW$3:AW$500)))</f>
        <v/>
      </c>
      <c r="DX6" s="56">
        <f>IF(OR(DX$4="",$B6=""),0,SUMIF('DADOS BRUTOS'!$A$3:$A$500,$B6,'DADOS BRUTOS'!AX$3:AX$500)+IF($C6="",0,SUMIF('DADOS BRUTOS'!$A$3:$A$500,$C6,'DADOS BRUTOS'!AX$3:AX$500)))</f>
        <v/>
      </c>
      <c r="DY6" s="56">
        <f>IF(OR(DY$4="",$B6=""),0,SUMIF('DADOS BRUTOS'!$A$3:$A$500,$B6,'DADOS BRUTOS'!AY$3:AY$500)+IF($C6="",0,SUMIF('DADOS BRUTOS'!$A$3:$A$500,$C6,'DADOS BRUTOS'!AY$3:AY$500)))</f>
        <v/>
      </c>
      <c r="DZ6" s="56">
        <f>IF(OR(DZ$4="",$B6=""),0,SUMIF('DADOS BRUTOS'!$A$3:$A$500,$B6,'DADOS BRUTOS'!AZ$3:AZ$500)+IF($C6="",0,SUMIF('DADOS BRUTOS'!$A$3:$A$500,$C6,'DADOS BRUTOS'!AZ$3:AZ$500)))</f>
        <v/>
      </c>
      <c r="EA6" s="56">
        <f>IF(OR(EA$4="",$B6=""),0,SUMIF('DADOS BRUTOS'!$A$3:$A$500,$B6,'DADOS BRUTOS'!BA$3:BA$500)+IF($C6="",0,SUMIF('DADOS BRUTOS'!$A$3:$A$500,$C6,'DADOS BRUTOS'!BA$3:BA$500)))</f>
        <v/>
      </c>
      <c r="EB6" s="56">
        <f>IF(OR(EB$4="",$B6=""),0,SUMIF('DADOS BRUTOS'!$A$3:$A$500,$B6,'DADOS BRUTOS'!BB$3:BB$500)+IF($C6="",0,SUMIF('DADOS BRUTOS'!$A$3:$A$500,$C6,'DADOS BRUTOS'!BB$3:BB$500)))</f>
        <v/>
      </c>
      <c r="EC6" s="56">
        <f>IF(OR(EC$4="",$B6=""),0,SUMIF('DADOS BRUTOS'!$A$3:$A$500,$B6,'DADOS BRUTOS'!BC$3:BC$500)+IF($C6="",0,SUMIF('DADOS BRUTOS'!$A$3:$A$500,$C6,'DADOS BRUTOS'!BC$3:BC$500)))</f>
        <v/>
      </c>
      <c r="ED6" s="56">
        <f>IF(OR(ED$4="",$B6=""),0,SUMIF('DADOS BRUTOS'!$A$3:$A$500,$B6,'DADOS BRUTOS'!BD$3:BD$500)+IF($C6="",0,SUMIF('DADOS BRUTOS'!$A$3:$A$500,$C6,'DADOS BRUTOS'!BD$3:BD$500)))</f>
        <v/>
      </c>
      <c r="EE6" s="56">
        <f>IF(OR(EE$4="",$B6=""),0,SUMIF('DADOS BRUTOS'!$A$3:$A$500,$B6,'DADOS BRUTOS'!BE$3:BE$500)+IF($C6="",0,SUMIF('DADOS BRUTOS'!$A$3:$A$500,$C6,'DADOS BRUTOS'!BE$3:BE$500)))</f>
        <v/>
      </c>
      <c r="EF6" s="56">
        <f>IF(OR(EF$4="",$B6=""),0,SUMIF('DADOS BRUTOS'!$A$3:$A$500,$B6,'DADOS BRUTOS'!BF$3:BF$500)+IF($C6="",0,SUMIF('DADOS BRUTOS'!$A$3:$A$500,$C6,'DADOS BRUTOS'!BF$3:BF$500)))</f>
        <v/>
      </c>
      <c r="EG6" s="56">
        <f>IF(OR(EG$4="",$B6=""),0,SUMIF('DADOS BRUTOS'!$A$3:$A$500,$B6,'DADOS BRUTOS'!BG$3:BG$500)+IF($C6="",0,SUMIF('DADOS BRUTOS'!$A$3:$A$500,$C6,'DADOS BRUTOS'!BG$3:BG$500)))</f>
        <v/>
      </c>
      <c r="EH6" s="56">
        <f>IF(OR(EH$4="",$B6=""),0,SUMIF('DADOS BRUTOS'!$A$3:$A$500,$B6,'DADOS BRUTOS'!BH$3:BH$500)+IF($C6="",0,SUMIF('DADOS BRUTOS'!$A$3:$A$500,$C6,'DADOS BRUTOS'!BH$3:BH$500)))</f>
        <v/>
      </c>
      <c r="EI6" s="56">
        <f>IF(OR(EI$4="",$B6=""),0,SUMIF('DADOS BRUTOS'!$A$3:$A$500,$B6,'DADOS BRUTOS'!BI$3:BI$500)+IF($C6="",0,SUMIF('DADOS BRUTOS'!$A$3:$A$500,$C6,'DADOS BRUTOS'!BI$3:BI$500)))</f>
        <v/>
      </c>
      <c r="EJ6" s="56">
        <f>IF(OR(EJ$4="",$B6=""),0,SUMIF('DADOS BRUTOS'!$A$3:$A$500,$B6,'DADOS BRUTOS'!BJ$3:BJ$500)+IF($C6="",0,SUMIF('DADOS BRUTOS'!$A$3:$A$500,$C6,'DADOS BRUTOS'!BJ$3:BJ$500)))</f>
        <v/>
      </c>
      <c r="EK6" s="56">
        <f>IF(OR(EK$4="",$B6=""),0,SUMIF('DADOS BRUTOS'!$A$3:$A$500,$B6,'DADOS BRUTOS'!BK$3:BK$500)+IF($C6="",0,SUMIF('DADOS BRUTOS'!$A$3:$A$500,$C6,'DADOS BRUTOS'!BK$3:BK$500)))</f>
        <v/>
      </c>
      <c r="EL6" s="56">
        <f>IF(OR(EL$4="",$B6=""),0,SUMIF('DADOS BRUTOS'!$A$3:$A$500,$B6,'DADOS BRUTOS'!BL$3:BL$500)+IF($C6="",0,SUMIF('DADOS BRUTOS'!$A$3:$A$500,$C6,'DADOS BRUTOS'!BL$3:BL$500)))</f>
        <v/>
      </c>
      <c r="EM6" s="56">
        <f>IF(OR(EM$4="",$B6=""),0,SUMIF('DADOS BRUTOS'!$A$3:$A$500,$B6,'DADOS BRUTOS'!BM$3:BM$500)+IF($C6="",0,SUMIF('DADOS BRUTOS'!$A$3:$A$500,$C6,'DADOS BRUTOS'!BM$3:BM$500)))</f>
        <v/>
      </c>
      <c r="EN6" s="56">
        <f>IF(OR(EN$4="",$B6=""),0,SUMIF('DADOS BRUTOS'!$A$3:$A$500,$B6,'DADOS BRUTOS'!BN$3:BN$500)+IF($C6="",0,SUMIF('DADOS BRUTOS'!$A$3:$A$500,$C6,'DADOS BRUTOS'!BN$3:BN$500)))</f>
        <v/>
      </c>
      <c r="EO6" s="56">
        <f>IF(OR(EO$4="",$B6=""),0,SUMIF('DADOS BRUTOS'!$A$3:$A$500,$B6,'DADOS BRUTOS'!BO$3:BO$500)+IF($C6="",0,SUMIF('DADOS BRUTOS'!$A$3:$A$500,$C6,'DADOS BRUTOS'!BO$3:BO$500)))</f>
        <v/>
      </c>
      <c r="EP6" s="56">
        <f>IF(OR(EP$4="",$B6=""),0,SUMIF('DADOS BRUTOS'!$A$3:$A$500,$B6,'DADOS BRUTOS'!BP$3:BP$500)+IF($C6="",0,SUMIF('DADOS BRUTOS'!$A$3:$A$500,$C6,'DADOS BRUTOS'!BP$3:BP$500)))</f>
        <v/>
      </c>
      <c r="EQ6" s="56">
        <f>IF(OR(EQ$4="",$B6=""),0,SUMIF('DADOS BRUTOS'!$A$3:$A$500,$B6,'DADOS BRUTOS'!BQ$3:BQ$500)+IF($C6="",0,SUMIF('DADOS BRUTOS'!$A$3:$A$500,$C6,'DADOS BRUTOS'!BQ$3:BQ$500)))</f>
        <v/>
      </c>
      <c r="ER6" s="56">
        <f>IF(OR(ER$4="",$B6=""),0,SUMIF('DADOS BRUTOS'!$A$3:$A$500,$B6,'DADOS BRUTOS'!BR$3:BR$500)+IF($C6="",0,SUMIF('DADOS BRUTOS'!$A$3:$A$500,$C6,'DADOS BRUTOS'!BR$3:BR$500)))</f>
        <v/>
      </c>
      <c r="ES6" s="56">
        <f>IF(OR(ES$4="",$B6=""),0,SUMIF('DADOS BRUTOS'!$A$3:$A$500,$B6,'DADOS BRUTOS'!BS$3:BS$500)+IF($C6="",0,SUMIF('DADOS BRUTOS'!$A$3:$A$500,$C6,'DADOS BRUTOS'!BS$3:BS$500)))</f>
        <v/>
      </c>
      <c r="ET6" s="56">
        <f>IF(OR(ET$4="",$B6=""),0,SUMIF('DADOS BRUTOS'!$A$3:$A$500,$B6,'DADOS BRUTOS'!BT$3:BT$500)+IF($C6="",0,SUMIF('DADOS BRUTOS'!$A$3:$A$500,$C6,'DADOS BRUTOS'!BT$3:BT$500)))</f>
        <v/>
      </c>
      <c r="EU6" s="56">
        <f>IF(OR(EU$4="",$B6=""),0,SUMIF('DADOS BRUTOS'!$A$3:$A$500,$B6,'DADOS BRUTOS'!BU$3:BU$500)+IF($C6="",0,SUMIF('DADOS BRUTOS'!$A$3:$A$500,$C6,'DADOS BRUTOS'!BU$3:BU$500)))</f>
        <v/>
      </c>
      <c r="EV6" s="56">
        <f>IF(OR(EV$4="",$B6=""),0,SUMIF('DADOS BRUTOS'!$A$3:$A$500,$B6,'DADOS BRUTOS'!BV$3:BV$500)+IF($C6="",0,SUMIF('DADOS BRUTOS'!$A$3:$A$500,$C6,'DADOS BRUTOS'!BV$3:BV$500)))</f>
        <v/>
      </c>
      <c r="EW6" s="56">
        <f>IF(OR(EW$4="",$B6=""),0,SUMIF('DADOS BRUTOS'!$A$3:$A$500,$B6,'DADOS BRUTOS'!BW$3:BW$500)+IF($C6="",0,SUMIF('DADOS BRUTOS'!$A$3:$A$500,$C6,'DADOS BRUTOS'!BW$3:BW$500)))</f>
        <v/>
      </c>
      <c r="EX6" s="56">
        <f>IF(OR(EX$4="",$B6=""),0,SUMIF('DADOS BRUTOS'!$A$3:$A$500,$B6,'DADOS BRUTOS'!BX$3:BX$500)+IF($C6="",0,SUMIF('DADOS BRUTOS'!$A$3:$A$500,$C6,'DADOS BRUTOS'!BX$3:BX$500)))</f>
        <v/>
      </c>
      <c r="EY6" s="56">
        <f>IF(OR(EY$4="",$B6=""),0,SUMIF('DADOS BRUTOS'!$A$3:$A$500,$B6,'DADOS BRUTOS'!BY$3:BY$500)+IF($C6="",0,SUMIF('DADOS BRUTOS'!$A$3:$A$500,$C6,'DADOS BRUTOS'!BY$3:BY$500)))</f>
        <v/>
      </c>
      <c r="EZ6" s="56">
        <f>IF(OR(EZ$4="",$B6=""),0,SUMIF('DADOS BRUTOS'!$A$3:$A$500,$B6,'DADOS BRUTOS'!BZ$3:BZ$500)+IF($C6="",0,SUMIF('DADOS BRUTOS'!$A$3:$A$500,$C6,'DADOS BRUTOS'!BZ$3:BZ$500)))</f>
        <v/>
      </c>
      <c r="FA6" s="56">
        <f>IF(OR(FA$4="",$B6=""),0,SUMIF('DADOS BRUTOS'!$A$3:$A$500,$B6,'DADOS BRUTOS'!CA$3:CA$500)+IF($C6="",0,SUMIF('DADOS BRUTOS'!$A$3:$A$500,$C6,'DADOS BRUTOS'!CA$3:CA$500)))</f>
        <v/>
      </c>
      <c r="FB6" s="56">
        <f>IF(OR(FB$4="",$B6=""),0,SUMIF('DADOS BRUTOS'!$A$3:$A$500,$B6,'DADOS BRUTOS'!CB$3:CB$500)+IF($C6="",0,SUMIF('DADOS BRUTOS'!$A$3:$A$500,$C6,'DADOS BRUTOS'!CB$3:CB$500)))</f>
        <v/>
      </c>
      <c r="FC6" s="56">
        <f>IF(OR(FC$4="",$B6=""),0,SUMIF('DADOS BRUTOS'!$A$3:$A$500,$B6,'DADOS BRUTOS'!CC$3:CC$500)+IF($C6="",0,SUMIF('DADOS BRUTOS'!$A$3:$A$500,$C6,'DADOS BRUTOS'!CC$3:CC$500)))</f>
        <v/>
      </c>
      <c r="FD6" s="56">
        <f>IF(OR(FD$4="",$B6=""),0,SUMIF('DADOS BRUTOS'!$A$3:$A$500,$B6,'DADOS BRUTOS'!CD$3:CD$500)+IF($C6="",0,SUMIF('DADOS BRUTOS'!$A$3:$A$500,$C6,'DADOS BRUTOS'!CD$3:CD$500)))</f>
        <v/>
      </c>
      <c r="FE6" s="56">
        <f>IF(OR(FE$4="",$B6=""),0,SUMIF('DADOS BRUTOS'!$A$3:$A$500,$B6,'DADOS BRUTOS'!CE$3:CE$500)+IF($C6="",0,SUMIF('DADOS BRUTOS'!$A$3:$A$500,$C6,'DADOS BRUTOS'!CE$3:CE$500)))</f>
        <v/>
      </c>
      <c r="FF6" s="56">
        <f>IF(OR(FF$4="",$B6=""),0,SUMIF('DADOS BRUTOS'!$A$3:$A$500,$B6,'DADOS BRUTOS'!CF$3:CF$500)+IF($C6="",0,SUMIF('DADOS BRUTOS'!$A$3:$A$500,$C6,'DADOS BRUTOS'!CF$3:CF$500)))</f>
        <v/>
      </c>
      <c r="FG6" s="56">
        <f>IF(OR(FG$4="",$B6=""),0,SUMIF('DADOS BRUTOS'!$A$3:$A$500,$B6,'DADOS BRUTOS'!CG$3:CG$500)+IF($C6="",0,SUMIF('DADOS BRUTOS'!$A$3:$A$500,$C6,'DADOS BRUTOS'!CG$3:CG$500)))</f>
        <v/>
      </c>
      <c r="FH6" s="56">
        <f>IF(OR(FH$4="",$B6=""),0,SUMIF('DADOS BRUTOS'!$A$3:$A$500,$B6,'DADOS BRUTOS'!CH$3:CH$500)+IF($C6="",0,SUMIF('DADOS BRUTOS'!$A$3:$A$500,$C6,'DADOS BRUTOS'!CH$3:CH$500)))</f>
        <v/>
      </c>
      <c r="FI6" s="56">
        <f>IF(OR(FI$4="",$B6=""),0,SUMIF('DADOS BRUTOS'!$A$3:$A$500,$B6,'DADOS BRUTOS'!CI$3:CI$500)+IF($C6="",0,SUMIF('DADOS BRUTOS'!$A$3:$A$500,$C6,'DADOS BRUTOS'!CI$3:CI$500)))</f>
        <v/>
      </c>
      <c r="FJ6" s="56">
        <f>IF(OR(FJ$4="",$B6=""),0,SUMIF('DADOS BRUTOS'!$A$3:$A$500,$B6,'DADOS BRUTOS'!CJ$3:CJ$500)+IF($C6="",0,SUMIF('DADOS BRUTOS'!$A$3:$A$500,$C6,'DADOS BRUTOS'!CJ$3:CJ$500)))</f>
        <v/>
      </c>
      <c r="FK6" s="56">
        <f>IF(OR(FK$4="",$B6=""),0,SUMIF('DADOS BRUTOS'!$A$3:$A$500,$B6,'DADOS BRUTOS'!CK$3:CK$500)+IF($C6="",0,SUMIF('DADOS BRUTOS'!$A$3:$A$500,$C6,'DADOS BRUTOS'!CK$3:CK$500)))</f>
        <v/>
      </c>
      <c r="FL6" s="56">
        <f>IF(OR(FL$4="",$B6=""),0,SUMIF('DADOS BRUTOS'!$A$3:$A$500,$B6,'DADOS BRUTOS'!CL$3:CL$500)+IF($C6="",0,SUMIF('DADOS BRUTOS'!$A$3:$A$500,$C6,'DADOS BRUTOS'!CL$3:CL$500)))</f>
        <v/>
      </c>
      <c r="FM6" s="56">
        <f>IF(OR(FM$4="",$B6=""),0,SUMIF('DADOS BRUTOS'!$A$3:$A$500,$B6,'DADOS BRUTOS'!CM$3:CM$500)+IF($C6="",0,SUMIF('DADOS BRUTOS'!$A$3:$A$500,$C6,'DADOS BRUTOS'!CM$3:CM$500)))</f>
        <v/>
      </c>
      <c r="FN6" s="56">
        <f>IF(OR(FN$4="",$B6=""),0,SUMIF('DADOS BRUTOS'!$A$3:$A$500,$B6,'DADOS BRUTOS'!CN$3:CN$500)+IF($C6="",0,SUMIF('DADOS BRUTOS'!$A$3:$A$500,$C6,'DADOS BRUTOS'!CN$3:CN$500)))</f>
        <v/>
      </c>
      <c r="FO6" s="56">
        <f>IF(OR(FO$4="",$B6=""),0,SUMIF('DADOS BRUTOS'!$A$3:$A$500,$B6,'DADOS BRUTOS'!CO$3:CO$500)+IF($C6="",0,SUMIF('DADOS BRUTOS'!$A$3:$A$500,$C6,'DADOS BRUTOS'!CO$3:CO$500)))</f>
        <v/>
      </c>
      <c r="FP6" s="56">
        <f>IF(OR(FP$4="",$B6=""),0,SUMIF('DADOS BRUTOS'!$A$3:$A$500,$B6,'DADOS BRUTOS'!CP$3:CP$500)+IF($C6="",0,SUMIF('DADOS BRUTOS'!$A$3:$A$500,$C6,'DADOS BRUTOS'!CP$3:CP$500)))</f>
        <v/>
      </c>
      <c r="FQ6" s="56">
        <f>IF(OR(FQ$4="",$B6=""),0,SUMIF('DADOS BRUTOS'!$A$3:$A$500,$B6,'DADOS BRUTOS'!CQ$3:CQ$500)+IF($C6="",0,SUMIF('DADOS BRUTOS'!$A$3:$A$500,$C6,'DADOS BRUTOS'!CQ$3:CQ$500)))</f>
        <v/>
      </c>
      <c r="FR6" s="56">
        <f>IF(OR(FR$4="",$B6=""),0,SUMIF('DADOS BRUTOS'!$A$3:$A$500,$B6,'DADOS BRUTOS'!CR$3:CR$500)+IF($C6="",0,SUMIF('DADOS BRUTOS'!$A$3:$A$500,$C6,'DADOS BRUTOS'!CR$3:CR$500)))</f>
        <v/>
      </c>
      <c r="FS6" s="56">
        <f>IF(OR(FS$4="",$B6=""),0,SUMIF('DADOS BRUTOS'!$A$3:$A$500,$B6,'DADOS BRUTOS'!CS$3:CS$500)+IF($C6="",0,SUMIF('DADOS BRUTOS'!$A$3:$A$500,$C6,'DADOS BRUTOS'!CS$3:CS$500)))</f>
        <v/>
      </c>
      <c r="FT6" s="56">
        <f>IF(OR(FT$4="",$B6=""),0,SUMIF('DADOS BRUTOS'!$A$3:$A$500,$B6,'DADOS BRUTOS'!CT$3:CT$500)+IF($C6="",0,SUMIF('DADOS BRUTOS'!$A$3:$A$500,$C6,'DADOS BRUTOS'!CT$3:CT$500)))</f>
        <v/>
      </c>
      <c r="FU6" s="56">
        <f>IF(OR(FU$4="",$B6=""),0,SUMIF('DADOS BRUTOS'!$A$3:$A$500,$B6,'DADOS BRUTOS'!CU$3:CU$500)+IF($C6="",0,SUMIF('DADOS BRUTOS'!$A$3:$A$500,$C6,'DADOS BRUTOS'!CU$3:CU$500)))</f>
        <v/>
      </c>
      <c r="FV6" s="56">
        <f>IF(OR(FV$4="",$B6=""),0,SUMIF('DADOS BRUTOS'!$A$3:$A$500,$B6,'DADOS BRUTOS'!CV$3:CV$500)+IF($C6="",0,SUMIF('DADOS BRUTOS'!$A$3:$A$500,$C6,'DADOS BRUTOS'!CV$3:CV$500)))</f>
        <v/>
      </c>
      <c r="FW6" s="56">
        <f>IF(OR(FW$4="",$B6=""),0,SUMIF('DADOS BRUTOS'!$A$3:$A$500,$B6,'DADOS BRUTOS'!CW$3:CW$500)+IF($C6="",0,SUMIF('DADOS BRUTOS'!$A$3:$A$500,$C6,'DADOS BRUTOS'!CW$3:CW$500)))</f>
        <v/>
      </c>
      <c r="FX6" s="56">
        <f>IF(OR(FX$4="",$B6=""),0,SUMIF('DADOS BRUTOS'!$A$3:$A$500,$B6,'DADOS BRUTOS'!CX$3:CX$500)+IF($C6="",0,SUMIF('DADOS BRUTOS'!$A$3:$A$500,$C6,'DADOS BRUTOS'!CX$3:CX$500)))</f>
        <v/>
      </c>
      <c r="FY6" s="56">
        <f>IF(OR(FY$4="",$B6=""),0,SUMIF('DADOS BRUTOS'!$A$3:$A$500,$B6,'DADOS BRUTOS'!CY$3:CY$500)+IF($C6="",0,SUMIF('DADOS BRUTOS'!$A$3:$A$500,$C6,'DADOS BRUTOS'!CY$3:CY$500)))</f>
        <v/>
      </c>
      <c r="FZ6" s="56">
        <f>IF(OR(FZ$4="",$B6=""),0,SUMIF('DADOS BRUTOS'!$A$3:$A$500,$B6,'DADOS BRUTOS'!CZ$3:CZ$500)+IF($C6="",0,SUMIF('DADOS BRUTOS'!$A$3:$A$500,$C6,'DADOS BRUTOS'!CZ$3:CZ$500)))</f>
        <v/>
      </c>
      <c r="GA6" s="56">
        <f>IF(OR(GA$4="",$B6=""),0,SUMIF('DADOS BRUTOS'!$A$3:$A$500,$B6,'DADOS BRUTOS'!DA$3:DA$500)+IF($C6="",0,SUMIF('DADOS BRUTOS'!$A$3:$A$500,$C6,'DADOS BRUTOS'!DA$3:DA$500)))</f>
        <v/>
      </c>
      <c r="GB6" s="56">
        <f>IF(OR(GB$4="",$B6=""),0,SUMIF('DADOS BRUTOS'!$A$3:$A$500,$B6,'DADOS BRUTOS'!DB$3:DB$500)+IF($C6="",0,SUMIF('DADOS BRUTOS'!$A$3:$A$500,$C6,'DADOS BRUTOS'!DB$3:DB$500)))</f>
        <v/>
      </c>
      <c r="GC6" s="56">
        <f>IF(OR(GC$4="",$B6=""),0,SUMIF('DADOS BRUTOS'!$A$3:$A$500,$B6,'DADOS BRUTOS'!DC$3:DC$500)+IF($C6="",0,SUMIF('DADOS BRUTOS'!$A$3:$A$500,$C6,'DADOS BRUTOS'!DC$3:DC$500)))</f>
        <v/>
      </c>
      <c r="GD6" s="56">
        <f>IF(OR(GD$4="",$B6=""),0,SUMIF('DADOS BRUTOS'!$A$3:$A$500,$B6,'DADOS BRUTOS'!DD$3:DD$500)+IF($C6="",0,SUMIF('DADOS BRUTOS'!$A$3:$A$500,$C6,'DADOS BRUTOS'!DD$3:DD$500)))</f>
        <v/>
      </c>
      <c r="GE6" s="56">
        <f>IF(OR(GE$4="",$B6=""),0,SUMIF('DADOS BRUTOS'!$A$3:$A$500,$B6,'DADOS BRUTOS'!DE$3:DE$500)+IF($C6="",0,SUMIF('DADOS BRUTOS'!$A$3:$A$500,$C6,'DADOS BRUTOS'!DE$3:DE$500)))</f>
        <v/>
      </c>
      <c r="GF6" s="56">
        <f>IF(OR(GF$4="",$B6=""),0,SUMIF('DADOS BRUTOS'!$A$3:$A$500,$B6,'DADOS BRUTOS'!DF$3:DF$500)+IF($C6="",0,SUMIF('DADOS BRUTOS'!$A$3:$A$500,$C6,'DADOS BRUTOS'!DF$3:DF$500)))</f>
        <v/>
      </c>
      <c r="GG6" s="56">
        <f>IF(OR(GG$4="",$B6=""),0,SUMIF('DADOS BRUTOS'!$A$3:$A$500,$B6,'DADOS BRUTOS'!DG$3:DG$500)+IF($C6="",0,SUMIF('DADOS BRUTOS'!$A$3:$A$500,$C6,'DADOS BRUTOS'!DG$3:DG$500)))</f>
        <v/>
      </c>
      <c r="GH6" s="56">
        <f>IF(OR(GH$4="",$B6=""),0,SUMIF('DADOS BRUTOS'!$A$3:$A$500,$B6,'DADOS BRUTOS'!DH$3:DH$500)+IF($C6="",0,SUMIF('DADOS BRUTOS'!$A$3:$A$500,$C6,'DADOS BRUTOS'!DH$3:DH$500)))</f>
        <v/>
      </c>
      <c r="GI6" s="56">
        <f>IF(OR(GI$4="",$B6=""),0,SUMIF('DADOS BRUTOS'!$A$3:$A$500,$B6,'DADOS BRUTOS'!DI$3:DI$500)+IF($C6="",0,SUMIF('DADOS BRUTOS'!$A$3:$A$500,$C6,'DADOS BRUTOS'!DI$3:DI$500)))</f>
        <v/>
      </c>
      <c r="GJ6" s="56">
        <f>IF(OR(GJ$4="",$B6=""),0,SUMIF('DADOS BRUTOS'!$A$3:$A$500,$B6,'DADOS BRUTOS'!DJ$3:DJ$500)+IF($C6="",0,SUMIF('DADOS BRUTOS'!$A$3:$A$500,$C6,'DADOS BRUTOS'!DJ$3:DJ$500)))</f>
        <v/>
      </c>
      <c r="GK6" s="56">
        <f>IF(OR(GK$4="",$B6=""),0,SUMIF('DADOS BRUTOS'!$A$3:$A$500,$B6,'DADOS BRUTOS'!DK$3:DK$500)+IF($C6="",0,SUMIF('DADOS BRUTOS'!$A$3:$A$500,$C6,'DADOS BRUTOS'!DK$3:DK$500)))</f>
        <v/>
      </c>
      <c r="GL6" s="56">
        <f>IF(OR(GL$4="",$B6=""),0,SUMIF('DADOS BRUTOS'!$A$3:$A$500,$B6,'DADOS BRUTOS'!DL$3:DL$500)+IF($C6="",0,SUMIF('DADOS BRUTOS'!$A$3:$A$500,$C6,'DADOS BRUTOS'!DL$3:DL$500)))</f>
        <v/>
      </c>
      <c r="GM6" s="56">
        <f>IF(OR(GM$4="",$B6=""),0,SUMIF('DADOS BRUTOS'!$A$3:$A$500,$B6,'DADOS BRUTOS'!DM$3:DM$500)+IF($C6="",0,SUMIF('DADOS BRUTOS'!$A$3:$A$500,$C6,'DADOS BRUTOS'!DM$3:DM$500)))</f>
        <v/>
      </c>
      <c r="GN6" s="56">
        <f>IF(OR(GN$4="",$B6=""),0,SUMIF('DADOS BRUTOS'!$A$3:$A$500,$B6,'DADOS BRUTOS'!DN$3:DN$500)+IF($C6="",0,SUMIF('DADOS BRUTOS'!$A$3:$A$500,$C6,'DADOS BRUTOS'!DN$3:DN$500)))</f>
        <v/>
      </c>
      <c r="GO6" s="56">
        <f>IF(OR(GO$4="",$B6=""),0,SUMIF('DADOS BRUTOS'!$A$3:$A$500,$B6,'DADOS BRUTOS'!DO$3:DO$500)+IF($C6="",0,SUMIF('DADOS BRUTOS'!$A$3:$A$500,$C6,'DADOS BRUTOS'!DO$3:DO$500)))</f>
        <v/>
      </c>
      <c r="GP6" s="56">
        <f>IF(OR(GP$4="",$B6=""),0,SUMIF('DADOS BRUTOS'!$A$3:$A$500,$B6,'DADOS BRUTOS'!DP$3:DP$500)+IF($C6="",0,SUMIF('DADOS BRUTOS'!$A$3:$A$500,$C6,'DADOS BRUTOS'!DP$3:DP$500)))</f>
        <v/>
      </c>
      <c r="GQ6" s="56">
        <f>IF(OR(GQ$4="",$B6=""),0,SUMIF('DADOS BRUTOS'!$A$3:$A$500,$B6,'DADOS BRUTOS'!DQ$3:DQ$500)+IF($C6="",0,SUMIF('DADOS BRUTOS'!$A$3:$A$500,$C6,'DADOS BRUTOS'!DQ$3:DQ$500)))</f>
        <v/>
      </c>
      <c r="GR6" s="56">
        <f>IF(OR(GR$4="",$B6=""),0,SUMIF('DADOS BRUTOS'!$A$3:$A$500,$B6,'DADOS BRUTOS'!DR$3:DR$500)+IF($C6="",0,SUMIF('DADOS BRUTOS'!$A$3:$A$500,$C6,'DADOS BRUTOS'!DR$3:DR$500)))</f>
        <v/>
      </c>
      <c r="GS6" s="56">
        <f>IF(OR(GS$4="",$B6=""),0,SUMIF('DADOS BRUTOS'!$A$3:$A$500,$B6,'DADOS BRUTOS'!DS$3:DS$500)+IF($C6="",0,SUMIF('DADOS BRUTOS'!$A$3:$A$500,$C6,'DADOS BRUTOS'!DS$3:DS$500)))</f>
        <v/>
      </c>
      <c r="GT6" s="56">
        <f>IF(OR(GT$4="",$B6=""),0,SUMIF('DADOS BRUTOS'!$A$3:$A$500,$B6,'DADOS BRUTOS'!DT$3:DT$500)+IF($C6="",0,SUMIF('DADOS BRUTOS'!$A$3:$A$500,$C6,'DADOS BRUTOS'!DT$3:DT$500)))</f>
        <v/>
      </c>
      <c r="GU6" s="56">
        <f>IF(OR(GU$4="",$B6=""),0,SUMIF('DADOS BRUTOS'!$A$3:$A$500,$B6,'DADOS BRUTOS'!DU$3:DU$500)+IF($C6="",0,SUMIF('DADOS BRUTOS'!$A$3:$A$500,$C6,'DADOS BRUTOS'!DU$3:DU$500)))</f>
        <v/>
      </c>
      <c r="GV6" s="56">
        <f>IF(OR(GV$4="",$B6=""),0,SUMIF('DADOS BRUTOS'!$A$3:$A$500,$B6,'DADOS BRUTOS'!DV$3:DV$500)+IF($C6="",0,SUMIF('DADOS BRUTOS'!$A$3:$A$500,$C6,'DADOS BRUTOS'!DV$3:DV$500)))</f>
        <v/>
      </c>
      <c r="GW6" s="56">
        <f>IF(OR(GW$4="",$B6=""),0,SUMIF('DADOS BRUTOS'!$A$3:$A$500,$B6,'DADOS BRUTOS'!DW$3:DW$500)+IF($C6="",0,SUMIF('DADOS BRUTOS'!$A$3:$A$500,$C6,'DADOS BRUTOS'!DW$3:DW$500)))</f>
        <v/>
      </c>
      <c r="GX6" s="56">
        <f>IF(OR(GX$4="",$B6=""),0,SUMIF('DADOS BRUTOS'!$A$3:$A$500,$B6,'DADOS BRUTOS'!DX$3:DX$500)+IF($C6="",0,SUMIF('DADOS BRUTOS'!$A$3:$A$500,$C6,'DADOS BRUTOS'!DX$3:DX$500)))</f>
        <v/>
      </c>
      <c r="GY6" s="56">
        <f>IF(OR(GY$4="",$B6=""),0,SUMIF('DADOS BRUTOS'!$A$3:$A$500,$B6,'DADOS BRUTOS'!DY$3:DY$500)+IF($C6="",0,SUMIF('DADOS BRUTOS'!$A$3:$A$500,$C6,'DADOS BRUTOS'!DY$3:DY$500)))</f>
        <v/>
      </c>
      <c r="GZ6" s="56">
        <f>IF(OR(GZ$4="",$B6=""),0,SUMIF('DADOS BRUTOS'!$A$3:$A$500,$B6,'DADOS BRUTOS'!DZ$3:DZ$500)+IF($C6="",0,SUMIF('DADOS BRUTOS'!$A$3:$A$500,$C6,'DADOS BRUTOS'!DZ$3:DZ$500)))</f>
        <v/>
      </c>
      <c r="HA6" s="56">
        <f>IF(OR(HA$4="",$B6=""),0,SUMIF('DADOS BRUTOS'!$A$3:$A$500,$B6,'DADOS BRUTOS'!EA$3:EA$500)+IF($C6="",0,SUMIF('DADOS BRUTOS'!$A$3:$A$500,$C6,'DADOS BRUTOS'!EA$3:EA$500)))</f>
        <v/>
      </c>
      <c r="HB6" s="56">
        <f>IF(OR(HB$4="",$B6=""),0,SUMIF('DADOS BRUTOS'!$A$3:$A$500,$B6,'DADOS BRUTOS'!EB$3:EB$500)+IF($C6="",0,SUMIF('DADOS BRUTOS'!$A$3:$A$500,$C6,'DADOS BRUTOS'!EB$3:EB$500)))</f>
        <v/>
      </c>
      <c r="HC6" s="56">
        <f>IF(OR(HC$4="",$B6=""),0,SUMIF('DADOS BRUTOS'!$A$3:$A$500,$B6,'DADOS BRUTOS'!EC$3:EC$500)+IF($C6="",0,SUMIF('DADOS BRUTOS'!$A$3:$A$500,$C6,'DADOS BRUTOS'!EC$3:EC$500)))</f>
        <v/>
      </c>
      <c r="HD6" s="56">
        <f>IF(OR(HD$4="",$B6=""),0,SUMIF('DADOS BRUTOS'!$A$3:$A$500,$B6,'DADOS BRUTOS'!ED$3:ED$500)+IF($C6="",0,SUMIF('DADOS BRUTOS'!$A$3:$A$500,$C6,'DADOS BRUTOS'!ED$3:ED$500)))</f>
        <v/>
      </c>
      <c r="HE6" s="56">
        <f>IF(OR(HE$4="",$B6=""),0,SUMIF('DADOS BRUTOS'!$A$3:$A$500,$B6,'DADOS BRUTOS'!EE$3:EE$500)+IF($C6="",0,SUMIF('DADOS BRUTOS'!$A$3:$A$500,$C6,'DADOS BRUTOS'!EE$3:EE$500)))</f>
        <v/>
      </c>
      <c r="HF6" s="56">
        <f>IF(OR(HF$4="",$B6=""),0,SUMIF('DADOS BRUTOS'!$A$3:$A$500,$B6,'DADOS BRUTOS'!EF$3:EF$500)+IF($C6="",0,SUMIF('DADOS BRUTOS'!$A$3:$A$500,$C6,'DADOS BRUTOS'!EF$3:EF$500)))</f>
        <v/>
      </c>
      <c r="HG6" s="56">
        <f>IF(OR(HG$4="",$B6=""),0,SUMIF('DADOS BRUTOS'!$A$3:$A$500,$B6,'DADOS BRUTOS'!EG$3:EG$500)+IF($C6="",0,SUMIF('DADOS BRUTOS'!$A$3:$A$500,$C6,'DADOS BRUTOS'!EG$3:EG$500)))</f>
        <v/>
      </c>
      <c r="HH6" s="56">
        <f>IF(OR(HH$4="",$B6=""),0,SUMIF('DADOS BRUTOS'!$A$3:$A$500,$B6,'DADOS BRUTOS'!EH$3:EH$500)+IF($C6="",0,SUMIF('DADOS BRUTOS'!$A$3:$A$500,$C6,'DADOS BRUTOS'!EH$3:EH$500)))</f>
        <v/>
      </c>
      <c r="HI6" s="56">
        <f>IF(OR(HI$4="",$B6=""),0,SUMIF('DADOS BRUTOS'!$A$3:$A$500,$B6,'DADOS BRUTOS'!EI$3:EI$500)+IF($C6="",0,SUMIF('DADOS BRUTOS'!$A$3:$A$500,$C6,'DADOS BRUTOS'!EI$3:EI$500)))</f>
        <v/>
      </c>
      <c r="HJ6" s="56">
        <f>IF(OR(HJ$4="",$B6=""),0,SUMIF('DADOS BRUTOS'!$A$3:$A$500,$B6,'DADOS BRUTOS'!EJ$3:EJ$500)+IF($C6="",0,SUMIF('DADOS BRUTOS'!$A$3:$A$500,$C6,'DADOS BRUTOS'!EJ$3:EJ$500)))</f>
        <v/>
      </c>
      <c r="HK6" s="56">
        <f>IF(OR(HK$4="",$B6=""),0,SUMIF('DADOS BRUTOS'!$A$3:$A$500,$B6,'DADOS BRUTOS'!EK$3:EK$500)+IF($C6="",0,SUMIF('DADOS BRUTOS'!$A$3:$A$500,$C6,'DADOS BRUTOS'!EK$3:EK$500)))</f>
        <v/>
      </c>
      <c r="HL6" s="56">
        <f>IF(OR(HL$4="",$B6=""),0,SUMIF('DADOS BRUTOS'!$A$3:$A$500,$B6,'DADOS BRUTOS'!EL$3:EL$500)+IF($C6="",0,SUMIF('DADOS BRUTOS'!$A$3:$A$500,$C6,'DADOS BRUTOS'!EL$3:EL$500)))</f>
        <v/>
      </c>
      <c r="HM6" s="56">
        <f>IF(OR(HM$4="",$B6=""),0,SUMIF('DADOS BRUTOS'!$A$3:$A$500,$B6,'DADOS BRUTOS'!EM$3:EM$500)+IF($C6="",0,SUMIF('DADOS BRUTOS'!$A$3:$A$500,$C6,'DADOS BRUTOS'!EM$3:EM$500)))</f>
        <v/>
      </c>
      <c r="HN6" s="56">
        <f>IF(OR(HN$4="",$B6=""),0,SUMIF('DADOS BRUTOS'!$A$3:$A$500,$B6,'DADOS BRUTOS'!EN$3:EN$500)+IF($C6="",0,SUMIF('DADOS BRUTOS'!$A$3:$A$500,$C6,'DADOS BRUTOS'!EN$3:EN$500)))</f>
        <v/>
      </c>
      <c r="HO6" s="56">
        <f>IF(OR(HO$4="",$B6=""),0,SUMIF('DADOS BRUTOS'!$A$3:$A$500,$B6,'DADOS BRUTOS'!EO$3:EO$500)+IF($C6="",0,SUMIF('DADOS BRUTOS'!$A$3:$A$500,$C6,'DADOS BRUTOS'!EO$3:EO$500)))</f>
        <v/>
      </c>
      <c r="HP6" s="56">
        <f>IF(OR(HP$4="",$B6=""),0,SUMIF('DADOS BRUTOS'!$A$3:$A$500,$B6,'DADOS BRUTOS'!EP$3:EP$500)+IF($C6="",0,SUMIF('DADOS BRUTOS'!$A$3:$A$500,$C6,'DADOS BRUTOS'!EP$3:EP$500)))</f>
        <v/>
      </c>
      <c r="HQ6" s="56">
        <f>IF(OR(HQ$4="",$B6=""),0,SUMIF('DADOS BRUTOS'!$A$3:$A$500,$B6,'DADOS BRUTOS'!EQ$3:EQ$500)+IF($C6="",0,SUMIF('DADOS BRUTOS'!$A$3:$A$500,$C6,'DADOS BRUTOS'!EQ$3:EQ$500)))</f>
        <v/>
      </c>
      <c r="HR6" s="56">
        <f>IF(OR(HR$4="",$B6=""),0,SUMIF('DADOS BRUTOS'!$A$3:$A$500,$B6,'DADOS BRUTOS'!ER$3:ER$500)+IF($C6="",0,SUMIF('DADOS BRUTOS'!$A$3:$A$500,$C6,'DADOS BRUTOS'!ER$3:ER$500)))</f>
        <v/>
      </c>
      <c r="HS6" s="56">
        <f>IF(OR(HS$4="",$B6=""),0,SUMIF('DADOS BRUTOS'!$A$3:$A$500,$B6,'DADOS BRUTOS'!ES$3:ES$500)+IF($C6="",0,SUMIF('DADOS BRUTOS'!$A$3:$A$500,$C6,'DADOS BRUTOS'!ES$3:ES$500)))</f>
        <v/>
      </c>
      <c r="HT6" s="56">
        <f>IF(OR(HT$4="",$B6=""),0,SUMIF('DADOS BRUTOS'!$A$3:$A$500,$B6,'DADOS BRUTOS'!ET$3:ET$500)+IF($C6="",0,SUMIF('DADOS BRUTOS'!$A$3:$A$500,$C6,'DADOS BRUTOS'!ET$3:ET$500)))</f>
        <v/>
      </c>
      <c r="HU6" s="56">
        <f>IF(OR(HU$4="",$B6=""),0,SUMIF('DADOS BRUTOS'!$A$3:$A$500,$B6,'DADOS BRUTOS'!EU$3:EU$500)+IF($C6="",0,SUMIF('DADOS BRUTOS'!$A$3:$A$500,$C6,'DADOS BRUTOS'!EU$3:EU$500)))</f>
        <v/>
      </c>
      <c r="HV6" s="56">
        <f>IF(OR(HV$4="",$B6=""),0,SUMIF('DADOS BRUTOS'!$A$3:$A$500,$B6,'DADOS BRUTOS'!EV$3:EV$500)+IF($C6="",0,SUMIF('DADOS BRUTOS'!$A$3:$A$500,$C6,'DADOS BRUTOS'!EV$3:EV$500)))</f>
        <v/>
      </c>
      <c r="HW6" s="56">
        <f>IF(OR(HW$4="",$B6=""),0,SUMIF('DADOS BRUTOS'!$A$3:$A$500,$B6,'DADOS BRUTOS'!EW$3:EW$500)+IF($C6="",0,SUMIF('DADOS BRUTOS'!$A$3:$A$500,$C6,'DADOS BRUTOS'!EW$3:EW$500)))</f>
        <v/>
      </c>
      <c r="HX6" s="56">
        <f>IF(OR(HX$4="",$B6=""),0,SUMIF('DADOS BRUTOS'!$A$3:$A$500,$B6,'DADOS BRUTOS'!EX$3:EX$500)+IF($C6="",0,SUMIF('DADOS BRUTOS'!$A$3:$A$500,$C6,'DADOS BRUTOS'!EX$3:EX$500)))</f>
        <v/>
      </c>
      <c r="HY6" s="56">
        <f>IF(OR(HY$4="",$B6=""),0,SUMIF('DADOS BRUTOS'!$A$3:$A$500,$B6,'DADOS BRUTOS'!EY$3:EY$500)+IF($C6="",0,SUMIF('DADOS BRUTOS'!$A$3:$A$500,$C6,'DADOS BRUTOS'!EY$3:EY$500)))</f>
        <v/>
      </c>
      <c r="HZ6" s="56">
        <f>IF(OR(HZ$4="",$B6=""),0,SUMIF('DADOS BRUTOS'!$A$3:$A$500,$B6,'DADOS BRUTOS'!EZ$3:EZ$500)+IF($C6="",0,SUMIF('DADOS BRUTOS'!$A$3:$A$500,$C6,'DADOS BRUTOS'!EZ$3:EZ$500)))</f>
        <v/>
      </c>
      <c r="IA6" s="56">
        <f>IF(OR(IA$4="",$B6=""),0,SUMIF('DADOS BRUTOS'!$A$3:$A$500,$B6,'DADOS BRUTOS'!FA$3:FA$500)+IF($C6="",0,SUMIF('DADOS BRUTOS'!$A$3:$A$500,$C6,'DADOS BRUTOS'!FA$3:FA$500)))</f>
        <v/>
      </c>
      <c r="IB6" s="56">
        <f>IF(OR(IB$4="",$B6=""),0,SUMIF('DADOS BRUTOS'!$A$3:$A$500,$B6,'DADOS BRUTOS'!FB$3:FB$500)+IF($C6="",0,SUMIF('DADOS BRUTOS'!$A$3:$A$500,$C6,'DADOS BRUTOS'!FB$3:FB$500)))</f>
        <v/>
      </c>
      <c r="IC6" s="56">
        <f>IF(OR(IC$4="",$B6=""),0,SUMIF('DADOS BRUTOS'!$A$3:$A$500,$B6,'DADOS BRUTOS'!FC$3:FC$500)+IF($C6="",0,SUMIF('DADOS BRUTOS'!$A$3:$A$500,$C6,'DADOS BRUTOS'!FC$3:FC$500)))</f>
        <v/>
      </c>
      <c r="ID6" s="56">
        <f>IF(OR(ID$4="",$B6=""),0,SUMIF('DADOS BRUTOS'!$A$3:$A$500,$B6,'DADOS BRUTOS'!FD$3:FD$500)+IF($C6="",0,SUMIF('DADOS BRUTOS'!$A$3:$A$500,$C6,'DADOS BRUTOS'!FD$3:FD$500)))</f>
        <v/>
      </c>
      <c r="IE6" s="56">
        <f>IF(OR(IE$4="",$B6=""),0,SUMIF('DADOS BRUTOS'!$A$3:$A$500,$B6,'DADOS BRUTOS'!FE$3:FE$500)+IF($C6="",0,SUMIF('DADOS BRUTOS'!$A$3:$A$500,$C6,'DADOS BRUTOS'!FE$3:FE$500)))</f>
        <v/>
      </c>
      <c r="IF6" s="56">
        <f>IF(OR(IF$4="",$B6=""),0,SUMIF('DADOS BRUTOS'!$A$3:$A$500,$B6,'DADOS BRUTOS'!FF$3:FF$500)+IF($C6="",0,SUMIF('DADOS BRUTOS'!$A$3:$A$500,$C6,'DADOS BRUTOS'!FF$3:FF$500)))</f>
        <v/>
      </c>
      <c r="IG6" s="56">
        <f>IF(OR(IG$4="",$B6=""),0,SUMIF('DADOS BRUTOS'!$A$3:$A$500,$B6,'DADOS BRUTOS'!FG$3:FG$500)+IF($C6="",0,SUMIF('DADOS BRUTOS'!$A$3:$A$500,$C6,'DADOS BRUTOS'!FG$3:FG$500)))</f>
        <v/>
      </c>
      <c r="IH6" s="56">
        <f>IF(OR(IH$4="",$B6=""),0,SUMIF('DADOS BRUTOS'!$A$3:$A$500,$B6,'DADOS BRUTOS'!FH$3:FH$500)+IF($C6="",0,SUMIF('DADOS BRUTOS'!$A$3:$A$500,$C6,'DADOS BRUTOS'!FH$3:FH$500)))</f>
        <v/>
      </c>
      <c r="II6" s="56">
        <f>IF(OR(II$4="",$B6=""),0,SUMIF('DADOS BRUTOS'!$A$3:$A$500,$B6,'DADOS BRUTOS'!FI$3:FI$500)+IF($C6="",0,SUMIF('DADOS BRUTOS'!$A$3:$A$500,$C6,'DADOS BRUTOS'!FI$3:FI$500)))</f>
        <v/>
      </c>
      <c r="IJ6" s="56">
        <f>IF(OR(IJ$4="",$B6=""),0,SUMIF('DADOS BRUTOS'!$A$3:$A$500,$B6,'DADOS BRUTOS'!FJ$3:FJ$500)+IF($C6="",0,SUMIF('DADOS BRUTOS'!$A$3:$A$500,$C6,'DADOS BRUTOS'!FJ$3:FJ$500)))</f>
        <v/>
      </c>
      <c r="IK6" s="56">
        <f>IF(OR(IK$4="",$B6=""),0,SUMIF('DADOS BRUTOS'!$A$3:$A$500,$B6,'DADOS BRUTOS'!FK$3:FK$500)+IF($C6="",0,SUMIF('DADOS BRUTOS'!$A$3:$A$500,$C6,'DADOS BRUTOS'!FK$3:FK$500)))</f>
        <v/>
      </c>
      <c r="IL6" s="56">
        <f>IF(OR(IL$4="",$B6=""),0,SUMIF('DADOS BRUTOS'!$A$3:$A$500,$B6,'DADOS BRUTOS'!FL$3:FL$500)+IF($C6="",0,SUMIF('DADOS BRUTOS'!$A$3:$A$500,$C6,'DADOS BRUTOS'!FL$3:FL$500)))</f>
        <v/>
      </c>
      <c r="IM6" s="56">
        <f>IF(OR(IM$4="",$B6=""),0,SUMIF('DADOS BRUTOS'!$A$3:$A$500,$B6,'DADOS BRUTOS'!FM$3:FM$500)+IF($C6="",0,SUMIF('DADOS BRUTOS'!$A$3:$A$500,$C6,'DADOS BRUTOS'!FM$3:FM$500)))</f>
        <v/>
      </c>
      <c r="IN6" s="56">
        <f>IF(OR(IN$4="",$B6=""),0,SUMIF('DADOS BRUTOS'!$A$3:$A$500,$B6,'DADOS BRUTOS'!FN$3:FN$500)+IF($C6="",0,SUMIF('DADOS BRUTOS'!$A$3:$A$500,$C6,'DADOS BRUTOS'!FN$3:FN$500)))</f>
        <v/>
      </c>
      <c r="IO6" s="56">
        <f>IF(OR(IO$4="",$B6=""),0,SUMIF('DADOS BRUTOS'!$A$3:$A$500,$B6,'DADOS BRUTOS'!FO$3:FO$500)+IF($C6="",0,SUMIF('DADOS BRUTOS'!$A$3:$A$500,$C6,'DADOS BRUTOS'!FO$3:FO$500)))</f>
        <v/>
      </c>
      <c r="IP6" s="56">
        <f>IF(OR(IP$4="",$B6=""),0,SUMIF('DADOS BRUTOS'!$A$3:$A$500,$B6,'DADOS BRUTOS'!FP$3:FP$500)+IF($C6="",0,SUMIF('DADOS BRUTOS'!$A$3:$A$500,$C6,'DADOS BRUTOS'!FP$3:FP$500)))</f>
        <v/>
      </c>
      <c r="IQ6" s="56">
        <f>IF(OR(IQ$4="",$B6=""),0,SUMIF('DADOS BRUTOS'!$A$3:$A$500,$B6,'DADOS BRUTOS'!FQ$3:FQ$500)+IF($C6="",0,SUMIF('DADOS BRUTOS'!$A$3:$A$500,$C6,'DADOS BRUTOS'!FQ$3:FQ$500)))</f>
        <v/>
      </c>
      <c r="IR6" s="56">
        <f>IF(OR(IR$4="",$B6=""),0,SUMIF('DADOS BRUTOS'!$A$3:$A$500,$B6,'DADOS BRUTOS'!FR$3:FR$500)+IF($C6="",0,SUMIF('DADOS BRUTOS'!$A$3:$A$500,$C6,'DADOS BRUTOS'!FR$3:FR$500)))</f>
        <v/>
      </c>
      <c r="IS6" s="56">
        <f>IF(OR(IS$4="",$B6=""),0,SUMIF('DADOS BRUTOS'!$A$3:$A$500,$B6,'DADOS BRUTOS'!FS$3:FS$500)+IF($C6="",0,SUMIF('DADOS BRUTOS'!$A$3:$A$500,$C6,'DADOS BRUTOS'!FS$3:FS$500)))</f>
        <v/>
      </c>
      <c r="IT6" s="56">
        <f>IF(OR(IT$4="",$B6=""),0,SUMIF('DADOS BRUTOS'!$A$3:$A$500,$B6,'DADOS BRUTOS'!FT$3:FT$500)+IF($C6="",0,SUMIF('DADOS BRUTOS'!$A$3:$A$500,$C6,'DADOS BRUTOS'!FT$3:FT$500)))</f>
        <v/>
      </c>
      <c r="IU6" s="56">
        <f>IF(OR(IU$4="",$B6=""),0,SUMIF('DADOS BRUTOS'!$A$3:$A$500,$B6,'DADOS BRUTOS'!FU$3:FU$500)+IF($C6="",0,SUMIF('DADOS BRUTOS'!$A$3:$A$500,$C6,'DADOS BRUTOS'!FU$3:FU$500)))</f>
        <v/>
      </c>
      <c r="IV6" s="56">
        <f>IF(OR(IV$4="",$B6=""),0,SUMIF('DADOS BRUTOS'!$A$3:$A$500,$B6,'DADOS BRUTOS'!FV$3:FV$500)+IF($C6="",0,SUMIF('DADOS BRUTOS'!$A$3:$A$500,$C6,'DADOS BRUTOS'!FV$3:FV$500)))</f>
        <v/>
      </c>
      <c r="IW6" s="56">
        <f>IF(OR(IW$4="",$B6=""),0,SUMIF('DADOS BRUTOS'!$A$3:$A$500,$B6,'DADOS BRUTOS'!FW$3:FW$500)+IF($C6="",0,SUMIF('DADOS BRUTOS'!$A$3:$A$500,$C6,'DADOS BRUTOS'!FW$3:FW$500)))</f>
        <v/>
      </c>
      <c r="IX6" s="56">
        <f>IF(OR(IX$4="",$B6=""),0,SUMIF('DADOS BRUTOS'!$A$3:$A$500,$B6,'DADOS BRUTOS'!FX$3:FX$500)+IF($C6="",0,SUMIF('DADOS BRUTOS'!$A$3:$A$500,$C6,'DADOS BRUTOS'!FX$3:FX$500)))</f>
        <v/>
      </c>
      <c r="IY6" s="56">
        <f>IF(OR(IY$4="",$B6=""),0,SUMIF('DADOS BRUTOS'!$A$3:$A$500,$B6,'DADOS BRUTOS'!FY$3:FY$500)+IF($C6="",0,SUMIF('DADOS BRUTOS'!$A$3:$A$500,$C6,'DADOS BRUTOS'!FY$3:FY$500)))</f>
        <v/>
      </c>
      <c r="IZ6" s="56">
        <f>IF(OR(IZ$4="",$B6=""),0,SUMIF('DADOS BRUTOS'!$A$3:$A$500,$B6,'DADOS BRUTOS'!FZ$3:FZ$500)+IF($C6="",0,SUMIF('DADOS BRUTOS'!$A$3:$A$500,$C6,'DADOS BRUTOS'!FZ$3:FZ$500)))</f>
        <v/>
      </c>
      <c r="JA6" s="56">
        <f>IF(OR(JA$4="",$B6=""),0,SUMIF('DADOS BRUTOS'!$A$3:$A$500,$B6,'DADOS BRUTOS'!GA$3:GA$500)+IF($C6="",0,SUMIF('DADOS BRUTOS'!$A$3:$A$500,$C6,'DADOS BRUTOS'!GA$3:GA$500)))</f>
        <v/>
      </c>
      <c r="JB6" s="56">
        <f>IF(OR(JB$4="",$B6=""),0,SUMIF('DADOS BRUTOS'!$A$3:$A$500,$B6,'DADOS BRUTOS'!GB$3:GB$500)+IF($C6="",0,SUMIF('DADOS BRUTOS'!$A$3:$A$500,$C6,'DADOS BRUTOS'!GB$3:GB$500)))</f>
        <v/>
      </c>
      <c r="JC6" s="56">
        <f>IF(OR(JC$4="",$B6=""),0,SUMIF('DADOS BRUTOS'!$A$3:$A$500,$B6,'DADOS BRUTOS'!GC$3:GC$500)+IF($C6="",0,SUMIF('DADOS BRUTOS'!$A$3:$A$500,$C6,'DADOS BRUTOS'!GC$3:GC$500)))</f>
        <v/>
      </c>
      <c r="JD6" s="56">
        <f>IF(OR(JD$4="",$B6=""),0,SUMIF('DADOS BRUTOS'!$A$3:$A$500,$B6,'DADOS BRUTOS'!GD$3:GD$500)+IF($C6="",0,SUMIF('DADOS BRUTOS'!$A$3:$A$500,$C6,'DADOS BRUTOS'!GD$3:GD$500)))</f>
        <v/>
      </c>
      <c r="JE6" s="56">
        <f>IF(OR(JE$4="",$B6=""),0,SUMIF('DADOS BRUTOS'!$A$3:$A$500,$B6,'DADOS BRUTOS'!GE$3:GE$500)+IF($C6="",0,SUMIF('DADOS BRUTOS'!$A$3:$A$500,$C6,'DADOS BRUTOS'!GE$3:GE$500)))</f>
        <v/>
      </c>
      <c r="JF6" s="56">
        <f>IF(OR(JF$4="",$B6=""),0,SUMIF('DADOS BRUTOS'!$A$3:$A$500,$B6,'DADOS BRUTOS'!GF$3:GF$500)+IF($C6="",0,SUMIF('DADOS BRUTOS'!$A$3:$A$500,$C6,'DADOS BRUTOS'!GF$3:GF$500)))</f>
        <v/>
      </c>
      <c r="JG6" s="56">
        <f>IF(OR(JG$4="",$B6=""),0,SUMIF('DADOS BRUTOS'!$A$3:$A$500,$B6,'DADOS BRUTOS'!GG$3:GG$500)+IF($C6="",0,SUMIF('DADOS BRUTOS'!$A$3:$A$500,$C6,'DADOS BRUTOS'!GG$3:GG$500)))</f>
        <v/>
      </c>
      <c r="JH6" s="56">
        <f>IF(OR(JH$4="",$B6=""),0,SUMIF('DADOS BRUTOS'!$A$3:$A$500,$B6,'DADOS BRUTOS'!GH$3:GH$500)+IF($C6="",0,SUMIF('DADOS BRUTOS'!$A$3:$A$500,$C6,'DADOS BRUTOS'!GH$3:GH$500)))</f>
        <v/>
      </c>
      <c r="JI6" s="56">
        <f>IF(OR(JI$4="",$B6=""),0,SUMIF('DADOS BRUTOS'!$A$3:$A$500,$B6,'DADOS BRUTOS'!GI$3:GI$500)+IF($C6="",0,SUMIF('DADOS BRUTOS'!$A$3:$A$500,$C6,'DADOS BRUTOS'!GI$3:GI$500)))</f>
        <v/>
      </c>
      <c r="JJ6" s="56">
        <f>IF(OR(JJ$4="",$B6=""),0,SUMIF('DADOS BRUTOS'!$A$3:$A$500,$B6,'DADOS BRUTOS'!GJ$3:GJ$500)+IF($C6="",0,SUMIF('DADOS BRUTOS'!$A$3:$A$500,$C6,'DADOS BRUTOS'!GJ$3:GJ$500)))</f>
        <v/>
      </c>
      <c r="JK6" s="56">
        <f>IF(OR(JK$4="",$B6=""),0,SUMIF('DADOS BRUTOS'!$A$3:$A$500,$B6,'DADOS BRUTOS'!GK$3:GK$500)+IF($C6="",0,SUMIF('DADOS BRUTOS'!$A$3:$A$500,$C6,'DADOS BRUTOS'!GK$3:GK$500)))</f>
        <v/>
      </c>
      <c r="JL6" s="56">
        <f>IF(OR(JL$4="",$B6=""),0,SUMIF('DADOS BRUTOS'!$A$3:$A$500,$B6,'DADOS BRUTOS'!GL$3:GL$500)+IF($C6="",0,SUMIF('DADOS BRUTOS'!$A$3:$A$500,$C6,'DADOS BRUTOS'!GL$3:GL$500)))</f>
        <v/>
      </c>
      <c r="JM6" s="56">
        <f>IF(OR(JM$4="",$B6=""),0,SUMIF('DADOS BRUTOS'!$A$3:$A$500,$B6,'DADOS BRUTOS'!GM$3:GM$500)+IF($C6="",0,SUMIF('DADOS BRUTOS'!$A$3:$A$500,$C6,'DADOS BRUTOS'!GM$3:GM$500)))</f>
        <v/>
      </c>
      <c r="JN6" s="56">
        <f>IF(OR(JN$4="",$B6=""),0,SUMIF('DADOS BRUTOS'!$A$3:$A$500,$B6,'DADOS BRUTOS'!GN$3:GN$500)+IF($C6="",0,SUMIF('DADOS BRUTOS'!$A$3:$A$500,$C6,'DADOS BRUTOS'!GN$3:GN$500)))</f>
        <v/>
      </c>
      <c r="JO6" s="56">
        <f>IF(OR(JO$4="",$B6=""),0,SUMIF('DADOS BRUTOS'!$A$3:$A$500,$B6,'DADOS BRUTOS'!GO$3:GO$500)+IF($C6="",0,SUMIF('DADOS BRUTOS'!$A$3:$A$500,$C6,'DADOS BRUTOS'!GO$3:GO$500)))</f>
        <v/>
      </c>
      <c r="JP6" s="56">
        <f>IF(OR(JP$4="",$B6=""),0,SUMIF('DADOS BRUTOS'!$A$3:$A$500,$B6,'DADOS BRUTOS'!GP$3:GP$500)+IF($C6="",0,SUMIF('DADOS BRUTOS'!$A$3:$A$500,$C6,'DADOS BRUTOS'!GP$3:GP$500)))</f>
        <v/>
      </c>
      <c r="JQ6" s="56">
        <f>IF(OR(JQ$4="",$B6=""),0,SUMIF('DADOS BRUTOS'!$A$3:$A$500,$B6,'DADOS BRUTOS'!GQ$3:GQ$500)+IF($C6="",0,SUMIF('DADOS BRUTOS'!$A$3:$A$500,$C6,'DADOS BRUTOS'!GQ$3:GQ$500)))</f>
        <v/>
      </c>
      <c r="JR6" s="56">
        <f>IF(OR(JR$4="",$B6=""),0,SUMIF('DADOS BRUTOS'!$A$3:$A$500,$B6,'DADOS BRUTOS'!GR$3:GR$500)+IF($C6="",0,SUMIF('DADOS BRUTOS'!$A$3:$A$500,$C6,'DADOS BRUTOS'!GR$3:GR$500)))</f>
        <v/>
      </c>
      <c r="JS6" s="56">
        <f>IF(OR(JS$4="",$B6=""),0,SUMIF('DADOS BRUTOS'!$A$3:$A$500,$B6,'DADOS BRUTOS'!GS$3:GS$500)+IF($C6="",0,SUMIF('DADOS BRUTOS'!$A$3:$A$500,$C6,'DADOS BRUTOS'!GS$3:GS$500)))</f>
        <v/>
      </c>
    </row>
    <row r="7">
      <c r="A7" s="34">
        <f>'VALOR POR PL'!D13</f>
        <v/>
      </c>
      <c r="B7" s="21" t="inlineStr">
        <is>
          <t>TAXAS DIVERSAS</t>
        </is>
      </c>
      <c r="C7" s="21" t="n"/>
      <c r="D7" s="17">
        <f>SUMIF($CB$4:$JS$4,"&lt;="&amp;D$4,$CB7:$JS7)</f>
        <v/>
      </c>
      <c r="E7" s="17">
        <f>SUMIF($CB$4:$JS$4,E$4,$CB7:$JS7)</f>
        <v/>
      </c>
      <c r="F7" s="17">
        <f>SUMIF($CB$4:$JS$4,F$4,$CB7:$JS7)</f>
        <v/>
      </c>
      <c r="G7" s="17">
        <f>SUMIF($CB$4:$JS$4,G$4,$CB7:$JS7)</f>
        <v/>
      </c>
      <c r="H7" s="17">
        <f>SUMIF($CB$4:$JS$4,H$4,$CB7:$JS7)</f>
        <v/>
      </c>
      <c r="I7" s="17">
        <f>SUMIF($CB$4:$JS$4,I$4,$CB7:$JS7)</f>
        <v/>
      </c>
      <c r="J7" s="17">
        <f>SUMIF($CB$4:$JS$4,J$4,$CB7:$JS7)</f>
        <v/>
      </c>
      <c r="K7" s="17">
        <f>SUMIF($CB$4:$JS$4,K$4,$CB7:$JS7)</f>
        <v/>
      </c>
      <c r="L7" s="17">
        <f>SUMIF($CB$4:$JS$4,L$4,$CB7:$JS7)</f>
        <v/>
      </c>
      <c r="M7" s="17">
        <f>SUMIF($CB$4:$JS$4,M$4,$CB7:$JS7)</f>
        <v/>
      </c>
      <c r="N7" s="17">
        <f>SUMIF($CB$4:$JS$4,N$4,$CB7:$JS7)</f>
        <v/>
      </c>
      <c r="O7" s="17">
        <f>SUMIF($CB$4:$JS$4,O$4,$CB7:$JS7)</f>
        <v/>
      </c>
      <c r="P7" s="17">
        <f>SUMIF($CB$4:$JS$4,P$4,$CB7:$JS7)</f>
        <v/>
      </c>
      <c r="Q7" s="17">
        <f>SUMIF($CB$4:$JS$4,Q$4,$CB7:$JS7)</f>
        <v/>
      </c>
      <c r="R7" s="17">
        <f>SUMIF($CB$4:$JS$4,R$4,$CB7:$JS7)</f>
        <v/>
      </c>
      <c r="S7" s="17">
        <f>SUMIF($CB$4:$JS$4,S$4,$CB7:$JS7)</f>
        <v/>
      </c>
      <c r="T7" s="17">
        <f>SUMIF($CB$4:$JS$4,T$4,$CB7:$JS7)</f>
        <v/>
      </c>
      <c r="U7" s="17">
        <f>SUMIF($CB$4:$JS$4,U$4,$CB7:$JS7)</f>
        <v/>
      </c>
      <c r="V7" s="17">
        <f>SUMIF($CB$4:$JS$4,V$4,$CB7:$JS7)</f>
        <v/>
      </c>
      <c r="W7" s="17">
        <f>SUMIF($CB$4:$JS$4,W$4,$CB7:$JS7)</f>
        <v/>
      </c>
      <c r="X7" s="17">
        <f>SUMIF($CB$4:$JS$4,X$4,$CB7:$JS7)</f>
        <v/>
      </c>
      <c r="Y7" s="17">
        <f>SUMIF($CB$4:$JS$4,Y$4,$CB7:$JS7)</f>
        <v/>
      </c>
      <c r="Z7" s="17">
        <f>SUMIF($CB$4:$JS$4,Z$4,$CB7:$JS7)</f>
        <v/>
      </c>
      <c r="AA7" s="17">
        <f>SUMIF($CB$4:$JS$4,AA$4,$CB7:$JS7)</f>
        <v/>
      </c>
      <c r="AB7" s="17">
        <f>SUMIF($CB$4:$JS$4,AB$4,$CB7:$JS7)</f>
        <v/>
      </c>
      <c r="AC7" s="17">
        <f>SUMIF($CB$4:$JS$4,AC$4,$CB7:$JS7)</f>
        <v/>
      </c>
      <c r="AD7" s="17">
        <f>SUMIF($CB$4:$JS$4,AD$4,$CB7:$JS7)</f>
        <v/>
      </c>
      <c r="AE7" s="17">
        <f>SUMIF($CB$4:$JS$4,AE$4,$CB7:$JS7)</f>
        <v/>
      </c>
      <c r="AF7" s="17">
        <f>SUMIF($CB$4:$JS$4,AF$4,$CB7:$JS7)</f>
        <v/>
      </c>
      <c r="AG7" s="17">
        <f>SUMIF($CB$4:$JS$4,AG$4,$CB7:$JS7)</f>
        <v/>
      </c>
      <c r="AH7" s="17">
        <f>SUMIF($CB$4:$JS$4,AH$4,$CB7:$JS7)</f>
        <v/>
      </c>
      <c r="AI7" s="17">
        <f>SUMIF($CB$4:$JS$4,AI$4,$CB7:$JS7)</f>
        <v/>
      </c>
      <c r="AJ7" s="17">
        <f>SUMIF($CB$4:$JS$4,AJ$4,$CB7:$JS7)</f>
        <v/>
      </c>
      <c r="AK7" s="17">
        <f>SUMIF($CB$4:$JS$4,AK$4,$CB7:$JS7)</f>
        <v/>
      </c>
      <c r="AL7" s="17">
        <f>SUMIF($CB$4:$JS$4,AL$4,$CB7:$JS7)</f>
        <v/>
      </c>
      <c r="AM7" s="17">
        <f>SUMIF($CB$4:$JS$4,AM$4,$CB7:$JS7)</f>
        <v/>
      </c>
      <c r="AN7" s="17">
        <f>SUMIF($CB$4:$JS$4,AN$4,$CB7:$JS7)</f>
        <v/>
      </c>
      <c r="AO7" s="17">
        <f>SUMIF($CB$4:$JS$4,AO$4,$CB7:$JS7)</f>
        <v/>
      </c>
      <c r="AP7" s="17">
        <f>SUMIF($CB$4:$JS$4,AP$4,$CB7:$JS7)</f>
        <v/>
      </c>
      <c r="AQ7" s="17">
        <f>SUMIF($CB$4:$JS$4,AQ$4,$CB7:$JS7)</f>
        <v/>
      </c>
      <c r="AR7" s="17">
        <f>SUMIF($CB$4:$JS$4,AR$4,$CB7:$JS7)</f>
        <v/>
      </c>
      <c r="AS7" s="17">
        <f>SUMIF($CB$4:$JS$4,AS$4,$CB7:$JS7)</f>
        <v/>
      </c>
      <c r="AT7" s="17">
        <f>SUMIF($CB$4:$JS$4,AT$4,$CB7:$JS7)</f>
        <v/>
      </c>
      <c r="AU7" s="17">
        <f>SUMIF($CB$4:$JS$4,AU$4,$CB7:$JS7)</f>
        <v/>
      </c>
      <c r="AV7" s="17">
        <f>SUMIF($CB$4:$JS$4,AV$4,$CB7:$JS7)</f>
        <v/>
      </c>
      <c r="AW7" s="17">
        <f>SUMIF($CB$4:$JS$4,AW$4,$CB7:$JS7)</f>
        <v/>
      </c>
      <c r="AX7" s="17">
        <f>SUMIF($CB$4:$JS$4,AX$4,$CB7:$JS7)</f>
        <v/>
      </c>
      <c r="AY7" s="17">
        <f>SUMIF($CB$4:$JS$4,AY$4,$CB7:$JS7)</f>
        <v/>
      </c>
      <c r="AZ7" s="17">
        <f>SUMIF($CB$4:$JS$4,AZ$4,$CB7:$JS7)</f>
        <v/>
      </c>
      <c r="BA7" s="17">
        <f>SUMIF($CB$4:$JS$4,BA$4,$CB7:$JS7)</f>
        <v/>
      </c>
      <c r="BB7" s="17">
        <f>SUMIF($CB$4:$JS$4,BB$4,$CB7:$JS7)</f>
        <v/>
      </c>
      <c r="BC7" s="17">
        <f>SUMIF($CB$4:$JS$4,BC$4,$CB7:$JS7)</f>
        <v/>
      </c>
      <c r="BD7" s="17">
        <f>SUMIF($CB$4:$JS$4,BD$4,$CB7:$JS7)</f>
        <v/>
      </c>
      <c r="BE7" s="17">
        <f>SUMIF($CB$4:$JS$4,BE$4,$CB7:$JS7)</f>
        <v/>
      </c>
      <c r="BF7" s="17">
        <f>SUMIF($CB$4:$JS$4,BF$4,$CB7:$JS7)</f>
        <v/>
      </c>
      <c r="BG7" s="17">
        <f>SUMIF($CB$4:$JS$4,BG$4,$CB7:$JS7)</f>
        <v/>
      </c>
      <c r="BH7" s="17">
        <f>SUMIF($CB$4:$JS$4,BH$4,$CB7:$JS7)</f>
        <v/>
      </c>
      <c r="BI7" s="17">
        <f>SUMIF($CB$4:$JS$4,BI$4,$CB7:$JS7)</f>
        <v/>
      </c>
      <c r="BJ7" s="17">
        <f>SUMIF($CB$4:$JS$4,BJ$4,$CB7:$JS7)</f>
        <v/>
      </c>
      <c r="BK7" s="17">
        <f>SUMIF($CB$4:$JS$4,BK$4,$CB7:$JS7)</f>
        <v/>
      </c>
      <c r="BL7" s="17">
        <f>SUMIF($CB$4:$JS$4,BL$4,$CB7:$JS7)</f>
        <v/>
      </c>
      <c r="BM7" s="17">
        <f>SUMIF($CB$4:$JS$4,BM$4,$CB7:$JS7)</f>
        <v/>
      </c>
      <c r="BN7" s="17">
        <f>SUMIF($CB$4:$JS$4,BN$4,$CB7:$JS7)</f>
        <v/>
      </c>
      <c r="BO7" s="17">
        <f>SUMIF($CB$4:$JS$4,BO$4,$CB7:$JS7)</f>
        <v/>
      </c>
      <c r="BP7" s="17">
        <f>SUMIF($CB$4:$JS$4,BP$4,$CB7:$JS7)</f>
        <v/>
      </c>
      <c r="BQ7" s="17">
        <f>SUMIF($CB$4:$JS$4,BQ$4,$CB7:$JS7)</f>
        <v/>
      </c>
      <c r="BR7" s="17">
        <f>SUMIF($CB$4:$JS$4,BR$4,$CB7:$JS7)</f>
        <v/>
      </c>
      <c r="BS7" s="17">
        <f>SUMIF($CB$4:$JS$4,BS$4,$CB7:$JS7)</f>
        <v/>
      </c>
      <c r="BT7" s="17">
        <f>SUMIF($CB$4:$JS$4,BT$4,$CB7:$JS7)</f>
        <v/>
      </c>
      <c r="BU7" s="17">
        <f>SUMIF($CB$4:$JS$4,BU$4,$CB7:$JS7)</f>
        <v/>
      </c>
      <c r="BV7" s="17">
        <f>SUMIF($CB$4:$JS$4,BV$4,$CB7:$JS7)</f>
        <v/>
      </c>
      <c r="BW7" s="17">
        <f>SUMIF($CB$4:$JS$4,BW$4,$CB7:$JS7)</f>
        <v/>
      </c>
      <c r="BX7" s="17">
        <f>SUMIF($CB$4:$JS$4,"&gt;"&amp;'VALOR POR PL'!$P$8,$CB7:$JS7)</f>
        <v/>
      </c>
      <c r="BY7" s="17">
        <f>SUM($CB7:$JS7)</f>
        <v/>
      </c>
      <c r="CB7" s="56">
        <f>IF(OR(CB$4="",$B7=""),0,SUMIF('DADOS BRUTOS'!$A$3:$A$500,$B7,'DADOS BRUTOS'!B$3:B$500)+IF($C7="",0,SUMIF('DADOS BRUTOS'!$A$3:$A$500,$C7,'DADOS BRUTOS'!B$3:B$500)))</f>
        <v/>
      </c>
      <c r="CC7" s="56">
        <f>IF(OR(CC$4="",$B7=""),0,SUMIF('DADOS BRUTOS'!$A$3:$A$500,$B7,'DADOS BRUTOS'!C$3:C$500)+IF($C7="",0,SUMIF('DADOS BRUTOS'!$A$3:$A$500,$C7,'DADOS BRUTOS'!C$3:C$500)))</f>
        <v/>
      </c>
      <c r="CD7" s="56">
        <f>IF(OR(CD$4="",$B7=""),0,SUMIF('DADOS BRUTOS'!$A$3:$A$500,$B7,'DADOS BRUTOS'!D$3:D$500)+IF($C7="",0,SUMIF('DADOS BRUTOS'!$A$3:$A$500,$C7,'DADOS BRUTOS'!D$3:D$500)))</f>
        <v/>
      </c>
      <c r="CE7" s="56">
        <f>IF(OR(CE$4="",$B7=""),0,SUMIF('DADOS BRUTOS'!$A$3:$A$500,$B7,'DADOS BRUTOS'!E$3:E$500)+IF($C7="",0,SUMIF('DADOS BRUTOS'!$A$3:$A$500,$C7,'DADOS BRUTOS'!E$3:E$500)))</f>
        <v/>
      </c>
      <c r="CF7" s="56">
        <f>IF(OR(CF$4="",$B7=""),0,SUMIF('DADOS BRUTOS'!$A$3:$A$500,$B7,'DADOS BRUTOS'!F$3:F$500)+IF($C7="",0,SUMIF('DADOS BRUTOS'!$A$3:$A$500,$C7,'DADOS BRUTOS'!F$3:F$500)))</f>
        <v/>
      </c>
      <c r="CG7" s="56">
        <f>IF(OR(CG$4="",$B7=""),0,SUMIF('DADOS BRUTOS'!$A$3:$A$500,$B7,'DADOS BRUTOS'!G$3:G$500)+IF($C7="",0,SUMIF('DADOS BRUTOS'!$A$3:$A$500,$C7,'DADOS BRUTOS'!G$3:G$500)))</f>
        <v/>
      </c>
      <c r="CH7" s="56">
        <f>IF(OR(CH$4="",$B7=""),0,SUMIF('DADOS BRUTOS'!$A$3:$A$500,$B7,'DADOS BRUTOS'!H$3:H$500)+IF($C7="",0,SUMIF('DADOS BRUTOS'!$A$3:$A$500,$C7,'DADOS BRUTOS'!H$3:H$500)))</f>
        <v/>
      </c>
      <c r="CI7" s="56">
        <f>IF(OR(CI$4="",$B7=""),0,SUMIF('DADOS BRUTOS'!$A$3:$A$500,$B7,'DADOS BRUTOS'!I$3:I$500)+IF($C7="",0,SUMIF('DADOS BRUTOS'!$A$3:$A$500,$C7,'DADOS BRUTOS'!I$3:I$500)))</f>
        <v/>
      </c>
      <c r="CJ7" s="56">
        <f>IF(OR(CJ$4="",$B7=""),0,SUMIF('DADOS BRUTOS'!$A$3:$A$500,$B7,'DADOS BRUTOS'!J$3:J$500)+IF($C7="",0,SUMIF('DADOS BRUTOS'!$A$3:$A$500,$C7,'DADOS BRUTOS'!J$3:J$500)))</f>
        <v/>
      </c>
      <c r="CK7" s="56">
        <f>IF(OR(CK$4="",$B7=""),0,SUMIF('DADOS BRUTOS'!$A$3:$A$500,$B7,'DADOS BRUTOS'!K$3:K$500)+IF($C7="",0,SUMIF('DADOS BRUTOS'!$A$3:$A$500,$C7,'DADOS BRUTOS'!K$3:K$500)))</f>
        <v/>
      </c>
      <c r="CL7" s="56">
        <f>IF(OR(CL$4="",$B7=""),0,SUMIF('DADOS BRUTOS'!$A$3:$A$500,$B7,'DADOS BRUTOS'!L$3:L$500)+IF($C7="",0,SUMIF('DADOS BRUTOS'!$A$3:$A$500,$C7,'DADOS BRUTOS'!L$3:L$500)))</f>
        <v/>
      </c>
      <c r="CM7" s="56">
        <f>IF(OR(CM$4="",$B7=""),0,SUMIF('DADOS BRUTOS'!$A$3:$A$500,$B7,'DADOS BRUTOS'!M$3:M$500)+IF($C7="",0,SUMIF('DADOS BRUTOS'!$A$3:$A$500,$C7,'DADOS BRUTOS'!M$3:M$500)))</f>
        <v/>
      </c>
      <c r="CN7" s="56">
        <f>IF(OR(CN$4="",$B7=""),0,SUMIF('DADOS BRUTOS'!$A$3:$A$500,$B7,'DADOS BRUTOS'!N$3:N$500)+IF($C7="",0,SUMIF('DADOS BRUTOS'!$A$3:$A$500,$C7,'DADOS BRUTOS'!N$3:N$500)))</f>
        <v/>
      </c>
      <c r="CO7" s="56">
        <f>IF(OR(CO$4="",$B7=""),0,SUMIF('DADOS BRUTOS'!$A$3:$A$500,$B7,'DADOS BRUTOS'!O$3:O$500)+IF($C7="",0,SUMIF('DADOS BRUTOS'!$A$3:$A$500,$C7,'DADOS BRUTOS'!O$3:O$500)))</f>
        <v/>
      </c>
      <c r="CP7" s="56">
        <f>IF(OR(CP$4="",$B7=""),0,SUMIF('DADOS BRUTOS'!$A$3:$A$500,$B7,'DADOS BRUTOS'!P$3:P$500)+IF($C7="",0,SUMIF('DADOS BRUTOS'!$A$3:$A$500,$C7,'DADOS BRUTOS'!P$3:P$500)))</f>
        <v/>
      </c>
      <c r="CQ7" s="56">
        <f>IF(OR(CQ$4="",$B7=""),0,SUMIF('DADOS BRUTOS'!$A$3:$A$500,$B7,'DADOS BRUTOS'!Q$3:Q$500)+IF($C7="",0,SUMIF('DADOS BRUTOS'!$A$3:$A$500,$C7,'DADOS BRUTOS'!Q$3:Q$500)))</f>
        <v/>
      </c>
      <c r="CR7" s="56">
        <f>IF(OR(CR$4="",$B7=""),0,SUMIF('DADOS BRUTOS'!$A$3:$A$500,$B7,'DADOS BRUTOS'!R$3:R$500)+IF($C7="",0,SUMIF('DADOS BRUTOS'!$A$3:$A$500,$C7,'DADOS BRUTOS'!R$3:R$500)))</f>
        <v/>
      </c>
      <c r="CS7" s="56">
        <f>IF(OR(CS$4="",$B7=""),0,SUMIF('DADOS BRUTOS'!$A$3:$A$500,$B7,'DADOS BRUTOS'!S$3:S$500)+IF($C7="",0,SUMIF('DADOS BRUTOS'!$A$3:$A$500,$C7,'DADOS BRUTOS'!S$3:S$500)))</f>
        <v/>
      </c>
      <c r="CT7" s="56">
        <f>IF(OR(CT$4="",$B7=""),0,SUMIF('DADOS BRUTOS'!$A$3:$A$500,$B7,'DADOS BRUTOS'!T$3:T$500)+IF($C7="",0,SUMIF('DADOS BRUTOS'!$A$3:$A$500,$C7,'DADOS BRUTOS'!T$3:T$500)))</f>
        <v/>
      </c>
      <c r="CU7" s="56">
        <f>IF(OR(CU$4="",$B7=""),0,SUMIF('DADOS BRUTOS'!$A$3:$A$500,$B7,'DADOS BRUTOS'!U$3:U$500)+IF($C7="",0,SUMIF('DADOS BRUTOS'!$A$3:$A$500,$C7,'DADOS BRUTOS'!U$3:U$500)))</f>
        <v/>
      </c>
      <c r="CV7" s="56">
        <f>IF(OR(CV$4="",$B7=""),0,SUMIF('DADOS BRUTOS'!$A$3:$A$500,$B7,'DADOS BRUTOS'!V$3:V$500)+IF($C7="",0,SUMIF('DADOS BRUTOS'!$A$3:$A$500,$C7,'DADOS BRUTOS'!V$3:V$500)))</f>
        <v/>
      </c>
      <c r="CW7" s="56">
        <f>IF(OR(CW$4="",$B7=""),0,SUMIF('DADOS BRUTOS'!$A$3:$A$500,$B7,'DADOS BRUTOS'!W$3:W$500)+IF($C7="",0,SUMIF('DADOS BRUTOS'!$A$3:$A$500,$C7,'DADOS BRUTOS'!W$3:W$500)))</f>
        <v/>
      </c>
      <c r="CX7" s="56">
        <f>IF(OR(CX$4="",$B7=""),0,SUMIF('DADOS BRUTOS'!$A$3:$A$500,$B7,'DADOS BRUTOS'!X$3:X$500)+IF($C7="",0,SUMIF('DADOS BRUTOS'!$A$3:$A$500,$C7,'DADOS BRUTOS'!X$3:X$500)))</f>
        <v/>
      </c>
      <c r="CY7" s="56">
        <f>IF(OR(CY$4="",$B7=""),0,SUMIF('DADOS BRUTOS'!$A$3:$A$500,$B7,'DADOS BRUTOS'!Y$3:Y$500)+IF($C7="",0,SUMIF('DADOS BRUTOS'!$A$3:$A$500,$C7,'DADOS BRUTOS'!Y$3:Y$500)))</f>
        <v/>
      </c>
      <c r="CZ7" s="56">
        <f>IF(OR(CZ$4="",$B7=""),0,SUMIF('DADOS BRUTOS'!$A$3:$A$500,$B7,'DADOS BRUTOS'!Z$3:Z$500)+IF($C7="",0,SUMIF('DADOS BRUTOS'!$A$3:$A$500,$C7,'DADOS BRUTOS'!Z$3:Z$500)))</f>
        <v/>
      </c>
      <c r="DA7" s="56">
        <f>IF(OR(DA$4="",$B7=""),0,SUMIF('DADOS BRUTOS'!$A$3:$A$500,$B7,'DADOS BRUTOS'!AA$3:AA$500)+IF($C7="",0,SUMIF('DADOS BRUTOS'!$A$3:$A$500,$C7,'DADOS BRUTOS'!AA$3:AA$500)))</f>
        <v/>
      </c>
      <c r="DB7" s="56">
        <f>IF(OR(DB$4="",$B7=""),0,SUMIF('DADOS BRUTOS'!$A$3:$A$500,$B7,'DADOS BRUTOS'!AB$3:AB$500)+IF($C7="",0,SUMIF('DADOS BRUTOS'!$A$3:$A$500,$C7,'DADOS BRUTOS'!AB$3:AB$500)))</f>
        <v/>
      </c>
      <c r="DC7" s="56">
        <f>IF(OR(DC$4="",$B7=""),0,SUMIF('DADOS BRUTOS'!$A$3:$A$500,$B7,'DADOS BRUTOS'!AC$3:AC$500)+IF($C7="",0,SUMIF('DADOS BRUTOS'!$A$3:$A$500,$C7,'DADOS BRUTOS'!AC$3:AC$500)))</f>
        <v/>
      </c>
      <c r="DD7" s="56">
        <f>IF(OR(DD$4="",$B7=""),0,SUMIF('DADOS BRUTOS'!$A$3:$A$500,$B7,'DADOS BRUTOS'!AD$3:AD$500)+IF($C7="",0,SUMIF('DADOS BRUTOS'!$A$3:$A$500,$C7,'DADOS BRUTOS'!AD$3:AD$500)))</f>
        <v/>
      </c>
      <c r="DE7" s="56">
        <f>IF(OR(DE$4="",$B7=""),0,SUMIF('DADOS BRUTOS'!$A$3:$A$500,$B7,'DADOS BRUTOS'!AE$3:AE$500)+IF($C7="",0,SUMIF('DADOS BRUTOS'!$A$3:$A$500,$C7,'DADOS BRUTOS'!AE$3:AE$500)))</f>
        <v/>
      </c>
      <c r="DF7" s="56">
        <f>IF(OR(DF$4="",$B7=""),0,SUMIF('DADOS BRUTOS'!$A$3:$A$500,$B7,'DADOS BRUTOS'!AF$3:AF$500)+IF($C7="",0,SUMIF('DADOS BRUTOS'!$A$3:$A$500,$C7,'DADOS BRUTOS'!AF$3:AF$500)))</f>
        <v/>
      </c>
      <c r="DG7" s="56">
        <f>IF(OR(DG$4="",$B7=""),0,SUMIF('DADOS BRUTOS'!$A$3:$A$500,$B7,'DADOS BRUTOS'!AG$3:AG$500)+IF($C7="",0,SUMIF('DADOS BRUTOS'!$A$3:$A$500,$C7,'DADOS BRUTOS'!AG$3:AG$500)))</f>
        <v/>
      </c>
      <c r="DH7" s="56">
        <f>IF(OR(DH$4="",$B7=""),0,SUMIF('DADOS BRUTOS'!$A$3:$A$500,$B7,'DADOS BRUTOS'!AH$3:AH$500)+IF($C7="",0,SUMIF('DADOS BRUTOS'!$A$3:$A$500,$C7,'DADOS BRUTOS'!AH$3:AH$500)))</f>
        <v/>
      </c>
      <c r="DI7" s="56">
        <f>IF(OR(DI$4="",$B7=""),0,SUMIF('DADOS BRUTOS'!$A$3:$A$500,$B7,'DADOS BRUTOS'!AI$3:AI$500)+IF($C7="",0,SUMIF('DADOS BRUTOS'!$A$3:$A$500,$C7,'DADOS BRUTOS'!AI$3:AI$500)))</f>
        <v/>
      </c>
      <c r="DJ7" s="56">
        <f>IF(OR(DJ$4="",$B7=""),0,SUMIF('DADOS BRUTOS'!$A$3:$A$500,$B7,'DADOS BRUTOS'!AJ$3:AJ$500)+IF($C7="",0,SUMIF('DADOS BRUTOS'!$A$3:$A$500,$C7,'DADOS BRUTOS'!AJ$3:AJ$500)))</f>
        <v/>
      </c>
      <c r="DK7" s="56">
        <f>IF(OR(DK$4="",$B7=""),0,SUMIF('DADOS BRUTOS'!$A$3:$A$500,$B7,'DADOS BRUTOS'!AK$3:AK$500)+IF($C7="",0,SUMIF('DADOS BRUTOS'!$A$3:$A$500,$C7,'DADOS BRUTOS'!AK$3:AK$500)))</f>
        <v/>
      </c>
      <c r="DL7" s="56">
        <f>IF(OR(DL$4="",$B7=""),0,SUMIF('DADOS BRUTOS'!$A$3:$A$500,$B7,'DADOS BRUTOS'!AL$3:AL$500)+IF($C7="",0,SUMIF('DADOS BRUTOS'!$A$3:$A$500,$C7,'DADOS BRUTOS'!AL$3:AL$500)))</f>
        <v/>
      </c>
      <c r="DM7" s="56">
        <f>IF(OR(DM$4="",$B7=""),0,SUMIF('DADOS BRUTOS'!$A$3:$A$500,$B7,'DADOS BRUTOS'!AM$3:AM$500)+IF($C7="",0,SUMIF('DADOS BRUTOS'!$A$3:$A$500,$C7,'DADOS BRUTOS'!AM$3:AM$500)))</f>
        <v/>
      </c>
      <c r="DN7" s="56">
        <f>IF(OR(DN$4="",$B7=""),0,SUMIF('DADOS BRUTOS'!$A$3:$A$500,$B7,'DADOS BRUTOS'!AN$3:AN$500)+IF($C7="",0,SUMIF('DADOS BRUTOS'!$A$3:$A$500,$C7,'DADOS BRUTOS'!AN$3:AN$500)))</f>
        <v/>
      </c>
      <c r="DO7" s="56">
        <f>IF(OR(DO$4="",$B7=""),0,SUMIF('DADOS BRUTOS'!$A$3:$A$500,$B7,'DADOS BRUTOS'!AO$3:AO$500)+IF($C7="",0,SUMIF('DADOS BRUTOS'!$A$3:$A$500,$C7,'DADOS BRUTOS'!AO$3:AO$500)))</f>
        <v/>
      </c>
      <c r="DP7" s="56">
        <f>IF(OR(DP$4="",$B7=""),0,SUMIF('DADOS BRUTOS'!$A$3:$A$500,$B7,'DADOS BRUTOS'!AP$3:AP$500)+IF($C7="",0,SUMIF('DADOS BRUTOS'!$A$3:$A$500,$C7,'DADOS BRUTOS'!AP$3:AP$500)))</f>
        <v/>
      </c>
      <c r="DQ7" s="56">
        <f>IF(OR(DQ$4="",$B7=""),0,SUMIF('DADOS BRUTOS'!$A$3:$A$500,$B7,'DADOS BRUTOS'!AQ$3:AQ$500)+IF($C7="",0,SUMIF('DADOS BRUTOS'!$A$3:$A$500,$C7,'DADOS BRUTOS'!AQ$3:AQ$500)))</f>
        <v/>
      </c>
      <c r="DR7" s="56">
        <f>IF(OR(DR$4="",$B7=""),0,SUMIF('DADOS BRUTOS'!$A$3:$A$500,$B7,'DADOS BRUTOS'!AR$3:AR$500)+IF($C7="",0,SUMIF('DADOS BRUTOS'!$A$3:$A$500,$C7,'DADOS BRUTOS'!AR$3:AR$500)))</f>
        <v/>
      </c>
      <c r="DS7" s="56">
        <f>IF(OR(DS$4="",$B7=""),0,SUMIF('DADOS BRUTOS'!$A$3:$A$500,$B7,'DADOS BRUTOS'!AS$3:AS$500)+IF($C7="",0,SUMIF('DADOS BRUTOS'!$A$3:$A$500,$C7,'DADOS BRUTOS'!AS$3:AS$500)))</f>
        <v/>
      </c>
      <c r="DT7" s="56">
        <f>IF(OR(DT$4="",$B7=""),0,SUMIF('DADOS BRUTOS'!$A$3:$A$500,$B7,'DADOS BRUTOS'!AT$3:AT$500)+IF($C7="",0,SUMIF('DADOS BRUTOS'!$A$3:$A$500,$C7,'DADOS BRUTOS'!AT$3:AT$500)))</f>
        <v/>
      </c>
      <c r="DU7" s="56">
        <f>IF(OR(DU$4="",$B7=""),0,SUMIF('DADOS BRUTOS'!$A$3:$A$500,$B7,'DADOS BRUTOS'!AU$3:AU$500)+IF($C7="",0,SUMIF('DADOS BRUTOS'!$A$3:$A$500,$C7,'DADOS BRUTOS'!AU$3:AU$500)))</f>
        <v/>
      </c>
      <c r="DV7" s="56">
        <f>IF(OR(DV$4="",$B7=""),0,SUMIF('DADOS BRUTOS'!$A$3:$A$500,$B7,'DADOS BRUTOS'!AV$3:AV$500)+IF($C7="",0,SUMIF('DADOS BRUTOS'!$A$3:$A$500,$C7,'DADOS BRUTOS'!AV$3:AV$500)))</f>
        <v/>
      </c>
      <c r="DW7" s="56">
        <f>IF(OR(DW$4="",$B7=""),0,SUMIF('DADOS BRUTOS'!$A$3:$A$500,$B7,'DADOS BRUTOS'!AW$3:AW$500)+IF($C7="",0,SUMIF('DADOS BRUTOS'!$A$3:$A$500,$C7,'DADOS BRUTOS'!AW$3:AW$500)))</f>
        <v/>
      </c>
      <c r="DX7" s="56">
        <f>IF(OR(DX$4="",$B7=""),0,SUMIF('DADOS BRUTOS'!$A$3:$A$500,$B7,'DADOS BRUTOS'!AX$3:AX$500)+IF($C7="",0,SUMIF('DADOS BRUTOS'!$A$3:$A$500,$C7,'DADOS BRUTOS'!AX$3:AX$500)))</f>
        <v/>
      </c>
      <c r="DY7" s="56">
        <f>IF(OR(DY$4="",$B7=""),0,SUMIF('DADOS BRUTOS'!$A$3:$A$500,$B7,'DADOS BRUTOS'!AY$3:AY$500)+IF($C7="",0,SUMIF('DADOS BRUTOS'!$A$3:$A$500,$C7,'DADOS BRUTOS'!AY$3:AY$500)))</f>
        <v/>
      </c>
      <c r="DZ7" s="56">
        <f>IF(OR(DZ$4="",$B7=""),0,SUMIF('DADOS BRUTOS'!$A$3:$A$500,$B7,'DADOS BRUTOS'!AZ$3:AZ$500)+IF($C7="",0,SUMIF('DADOS BRUTOS'!$A$3:$A$500,$C7,'DADOS BRUTOS'!AZ$3:AZ$500)))</f>
        <v/>
      </c>
      <c r="EA7" s="56">
        <f>IF(OR(EA$4="",$B7=""),0,SUMIF('DADOS BRUTOS'!$A$3:$A$500,$B7,'DADOS BRUTOS'!BA$3:BA$500)+IF($C7="",0,SUMIF('DADOS BRUTOS'!$A$3:$A$500,$C7,'DADOS BRUTOS'!BA$3:BA$500)))</f>
        <v/>
      </c>
      <c r="EB7" s="56">
        <f>IF(OR(EB$4="",$B7=""),0,SUMIF('DADOS BRUTOS'!$A$3:$A$500,$B7,'DADOS BRUTOS'!BB$3:BB$500)+IF($C7="",0,SUMIF('DADOS BRUTOS'!$A$3:$A$500,$C7,'DADOS BRUTOS'!BB$3:BB$500)))</f>
        <v/>
      </c>
      <c r="EC7" s="56">
        <f>IF(OR(EC$4="",$B7=""),0,SUMIF('DADOS BRUTOS'!$A$3:$A$500,$B7,'DADOS BRUTOS'!BC$3:BC$500)+IF($C7="",0,SUMIF('DADOS BRUTOS'!$A$3:$A$500,$C7,'DADOS BRUTOS'!BC$3:BC$500)))</f>
        <v/>
      </c>
      <c r="ED7" s="56">
        <f>IF(OR(ED$4="",$B7=""),0,SUMIF('DADOS BRUTOS'!$A$3:$A$500,$B7,'DADOS BRUTOS'!BD$3:BD$500)+IF($C7="",0,SUMIF('DADOS BRUTOS'!$A$3:$A$500,$C7,'DADOS BRUTOS'!BD$3:BD$500)))</f>
        <v/>
      </c>
      <c r="EE7" s="56">
        <f>IF(OR(EE$4="",$B7=""),0,SUMIF('DADOS BRUTOS'!$A$3:$A$500,$B7,'DADOS BRUTOS'!BE$3:BE$500)+IF($C7="",0,SUMIF('DADOS BRUTOS'!$A$3:$A$500,$C7,'DADOS BRUTOS'!BE$3:BE$500)))</f>
        <v/>
      </c>
      <c r="EF7" s="56">
        <f>IF(OR(EF$4="",$B7=""),0,SUMIF('DADOS BRUTOS'!$A$3:$A$500,$B7,'DADOS BRUTOS'!BF$3:BF$500)+IF($C7="",0,SUMIF('DADOS BRUTOS'!$A$3:$A$500,$C7,'DADOS BRUTOS'!BF$3:BF$500)))</f>
        <v/>
      </c>
      <c r="EG7" s="56">
        <f>IF(OR(EG$4="",$B7=""),0,SUMIF('DADOS BRUTOS'!$A$3:$A$500,$B7,'DADOS BRUTOS'!BG$3:BG$500)+IF($C7="",0,SUMIF('DADOS BRUTOS'!$A$3:$A$500,$C7,'DADOS BRUTOS'!BG$3:BG$500)))</f>
        <v/>
      </c>
      <c r="EH7" s="56">
        <f>IF(OR(EH$4="",$B7=""),0,SUMIF('DADOS BRUTOS'!$A$3:$A$500,$B7,'DADOS BRUTOS'!BH$3:BH$500)+IF($C7="",0,SUMIF('DADOS BRUTOS'!$A$3:$A$500,$C7,'DADOS BRUTOS'!BH$3:BH$500)))</f>
        <v/>
      </c>
      <c r="EI7" s="56">
        <f>IF(OR(EI$4="",$B7=""),0,SUMIF('DADOS BRUTOS'!$A$3:$A$500,$B7,'DADOS BRUTOS'!BI$3:BI$500)+IF($C7="",0,SUMIF('DADOS BRUTOS'!$A$3:$A$500,$C7,'DADOS BRUTOS'!BI$3:BI$500)))</f>
        <v/>
      </c>
      <c r="EJ7" s="56">
        <f>IF(OR(EJ$4="",$B7=""),0,SUMIF('DADOS BRUTOS'!$A$3:$A$500,$B7,'DADOS BRUTOS'!BJ$3:BJ$500)+IF($C7="",0,SUMIF('DADOS BRUTOS'!$A$3:$A$500,$C7,'DADOS BRUTOS'!BJ$3:BJ$500)))</f>
        <v/>
      </c>
      <c r="EK7" s="56">
        <f>IF(OR(EK$4="",$B7=""),0,SUMIF('DADOS BRUTOS'!$A$3:$A$500,$B7,'DADOS BRUTOS'!BK$3:BK$500)+IF($C7="",0,SUMIF('DADOS BRUTOS'!$A$3:$A$500,$C7,'DADOS BRUTOS'!BK$3:BK$500)))</f>
        <v/>
      </c>
      <c r="EL7" s="56">
        <f>IF(OR(EL$4="",$B7=""),0,SUMIF('DADOS BRUTOS'!$A$3:$A$500,$B7,'DADOS BRUTOS'!BL$3:BL$500)+IF($C7="",0,SUMIF('DADOS BRUTOS'!$A$3:$A$500,$C7,'DADOS BRUTOS'!BL$3:BL$500)))</f>
        <v/>
      </c>
      <c r="EM7" s="56">
        <f>IF(OR(EM$4="",$B7=""),0,SUMIF('DADOS BRUTOS'!$A$3:$A$500,$B7,'DADOS BRUTOS'!BM$3:BM$500)+IF($C7="",0,SUMIF('DADOS BRUTOS'!$A$3:$A$500,$C7,'DADOS BRUTOS'!BM$3:BM$500)))</f>
        <v/>
      </c>
      <c r="EN7" s="56">
        <f>IF(OR(EN$4="",$B7=""),0,SUMIF('DADOS BRUTOS'!$A$3:$A$500,$B7,'DADOS BRUTOS'!BN$3:BN$500)+IF($C7="",0,SUMIF('DADOS BRUTOS'!$A$3:$A$500,$C7,'DADOS BRUTOS'!BN$3:BN$500)))</f>
        <v/>
      </c>
      <c r="EO7" s="56">
        <f>IF(OR(EO$4="",$B7=""),0,SUMIF('DADOS BRUTOS'!$A$3:$A$500,$B7,'DADOS BRUTOS'!BO$3:BO$500)+IF($C7="",0,SUMIF('DADOS BRUTOS'!$A$3:$A$500,$C7,'DADOS BRUTOS'!BO$3:BO$500)))</f>
        <v/>
      </c>
      <c r="EP7" s="56">
        <f>IF(OR(EP$4="",$B7=""),0,SUMIF('DADOS BRUTOS'!$A$3:$A$500,$B7,'DADOS BRUTOS'!BP$3:BP$500)+IF($C7="",0,SUMIF('DADOS BRUTOS'!$A$3:$A$500,$C7,'DADOS BRUTOS'!BP$3:BP$500)))</f>
        <v/>
      </c>
      <c r="EQ7" s="56">
        <f>IF(OR(EQ$4="",$B7=""),0,SUMIF('DADOS BRUTOS'!$A$3:$A$500,$B7,'DADOS BRUTOS'!BQ$3:BQ$500)+IF($C7="",0,SUMIF('DADOS BRUTOS'!$A$3:$A$500,$C7,'DADOS BRUTOS'!BQ$3:BQ$500)))</f>
        <v/>
      </c>
      <c r="ER7" s="56">
        <f>IF(OR(ER$4="",$B7=""),0,SUMIF('DADOS BRUTOS'!$A$3:$A$500,$B7,'DADOS BRUTOS'!BR$3:BR$500)+IF($C7="",0,SUMIF('DADOS BRUTOS'!$A$3:$A$500,$C7,'DADOS BRUTOS'!BR$3:BR$500)))</f>
        <v/>
      </c>
      <c r="ES7" s="56">
        <f>IF(OR(ES$4="",$B7=""),0,SUMIF('DADOS BRUTOS'!$A$3:$A$500,$B7,'DADOS BRUTOS'!BS$3:BS$500)+IF($C7="",0,SUMIF('DADOS BRUTOS'!$A$3:$A$500,$C7,'DADOS BRUTOS'!BS$3:BS$500)))</f>
        <v/>
      </c>
      <c r="ET7" s="56">
        <f>IF(OR(ET$4="",$B7=""),0,SUMIF('DADOS BRUTOS'!$A$3:$A$500,$B7,'DADOS BRUTOS'!BT$3:BT$500)+IF($C7="",0,SUMIF('DADOS BRUTOS'!$A$3:$A$500,$C7,'DADOS BRUTOS'!BT$3:BT$500)))</f>
        <v/>
      </c>
      <c r="EU7" s="56">
        <f>IF(OR(EU$4="",$B7=""),0,SUMIF('DADOS BRUTOS'!$A$3:$A$500,$B7,'DADOS BRUTOS'!BU$3:BU$500)+IF($C7="",0,SUMIF('DADOS BRUTOS'!$A$3:$A$500,$C7,'DADOS BRUTOS'!BU$3:BU$500)))</f>
        <v/>
      </c>
      <c r="EV7" s="56">
        <f>IF(OR(EV$4="",$B7=""),0,SUMIF('DADOS BRUTOS'!$A$3:$A$500,$B7,'DADOS BRUTOS'!BV$3:BV$500)+IF($C7="",0,SUMIF('DADOS BRUTOS'!$A$3:$A$500,$C7,'DADOS BRUTOS'!BV$3:BV$500)))</f>
        <v/>
      </c>
      <c r="EW7" s="56">
        <f>IF(OR(EW$4="",$B7=""),0,SUMIF('DADOS BRUTOS'!$A$3:$A$500,$B7,'DADOS BRUTOS'!BW$3:BW$500)+IF($C7="",0,SUMIF('DADOS BRUTOS'!$A$3:$A$500,$C7,'DADOS BRUTOS'!BW$3:BW$500)))</f>
        <v/>
      </c>
      <c r="EX7" s="56">
        <f>IF(OR(EX$4="",$B7=""),0,SUMIF('DADOS BRUTOS'!$A$3:$A$500,$B7,'DADOS BRUTOS'!BX$3:BX$500)+IF($C7="",0,SUMIF('DADOS BRUTOS'!$A$3:$A$500,$C7,'DADOS BRUTOS'!BX$3:BX$500)))</f>
        <v/>
      </c>
      <c r="EY7" s="56">
        <f>IF(OR(EY$4="",$B7=""),0,SUMIF('DADOS BRUTOS'!$A$3:$A$500,$B7,'DADOS BRUTOS'!BY$3:BY$500)+IF($C7="",0,SUMIF('DADOS BRUTOS'!$A$3:$A$500,$C7,'DADOS BRUTOS'!BY$3:BY$500)))</f>
        <v/>
      </c>
      <c r="EZ7" s="56">
        <f>IF(OR(EZ$4="",$B7=""),0,SUMIF('DADOS BRUTOS'!$A$3:$A$500,$B7,'DADOS BRUTOS'!BZ$3:BZ$500)+IF($C7="",0,SUMIF('DADOS BRUTOS'!$A$3:$A$500,$C7,'DADOS BRUTOS'!BZ$3:BZ$500)))</f>
        <v/>
      </c>
      <c r="FA7" s="56">
        <f>IF(OR(FA$4="",$B7=""),0,SUMIF('DADOS BRUTOS'!$A$3:$A$500,$B7,'DADOS BRUTOS'!CA$3:CA$500)+IF($C7="",0,SUMIF('DADOS BRUTOS'!$A$3:$A$500,$C7,'DADOS BRUTOS'!CA$3:CA$500)))</f>
        <v/>
      </c>
      <c r="FB7" s="56">
        <f>IF(OR(FB$4="",$B7=""),0,SUMIF('DADOS BRUTOS'!$A$3:$A$500,$B7,'DADOS BRUTOS'!CB$3:CB$500)+IF($C7="",0,SUMIF('DADOS BRUTOS'!$A$3:$A$500,$C7,'DADOS BRUTOS'!CB$3:CB$500)))</f>
        <v/>
      </c>
      <c r="FC7" s="56">
        <f>IF(OR(FC$4="",$B7=""),0,SUMIF('DADOS BRUTOS'!$A$3:$A$500,$B7,'DADOS BRUTOS'!CC$3:CC$500)+IF($C7="",0,SUMIF('DADOS BRUTOS'!$A$3:$A$500,$C7,'DADOS BRUTOS'!CC$3:CC$500)))</f>
        <v/>
      </c>
      <c r="FD7" s="56">
        <f>IF(OR(FD$4="",$B7=""),0,SUMIF('DADOS BRUTOS'!$A$3:$A$500,$B7,'DADOS BRUTOS'!CD$3:CD$500)+IF($C7="",0,SUMIF('DADOS BRUTOS'!$A$3:$A$500,$C7,'DADOS BRUTOS'!CD$3:CD$500)))</f>
        <v/>
      </c>
      <c r="FE7" s="56">
        <f>IF(OR(FE$4="",$B7=""),0,SUMIF('DADOS BRUTOS'!$A$3:$A$500,$B7,'DADOS BRUTOS'!CE$3:CE$500)+IF($C7="",0,SUMIF('DADOS BRUTOS'!$A$3:$A$500,$C7,'DADOS BRUTOS'!CE$3:CE$500)))</f>
        <v/>
      </c>
      <c r="FF7" s="56">
        <f>IF(OR(FF$4="",$B7=""),0,SUMIF('DADOS BRUTOS'!$A$3:$A$500,$B7,'DADOS BRUTOS'!CF$3:CF$500)+IF($C7="",0,SUMIF('DADOS BRUTOS'!$A$3:$A$500,$C7,'DADOS BRUTOS'!CF$3:CF$500)))</f>
        <v/>
      </c>
      <c r="FG7" s="56">
        <f>IF(OR(FG$4="",$B7=""),0,SUMIF('DADOS BRUTOS'!$A$3:$A$500,$B7,'DADOS BRUTOS'!CG$3:CG$500)+IF($C7="",0,SUMIF('DADOS BRUTOS'!$A$3:$A$500,$C7,'DADOS BRUTOS'!CG$3:CG$500)))</f>
        <v/>
      </c>
      <c r="FH7" s="56">
        <f>IF(OR(FH$4="",$B7=""),0,SUMIF('DADOS BRUTOS'!$A$3:$A$500,$B7,'DADOS BRUTOS'!CH$3:CH$500)+IF($C7="",0,SUMIF('DADOS BRUTOS'!$A$3:$A$500,$C7,'DADOS BRUTOS'!CH$3:CH$500)))</f>
        <v/>
      </c>
      <c r="FI7" s="56">
        <f>IF(OR(FI$4="",$B7=""),0,SUMIF('DADOS BRUTOS'!$A$3:$A$500,$B7,'DADOS BRUTOS'!CI$3:CI$500)+IF($C7="",0,SUMIF('DADOS BRUTOS'!$A$3:$A$500,$C7,'DADOS BRUTOS'!CI$3:CI$500)))</f>
        <v/>
      </c>
      <c r="FJ7" s="56">
        <f>IF(OR(FJ$4="",$B7=""),0,SUMIF('DADOS BRUTOS'!$A$3:$A$500,$B7,'DADOS BRUTOS'!CJ$3:CJ$500)+IF($C7="",0,SUMIF('DADOS BRUTOS'!$A$3:$A$500,$C7,'DADOS BRUTOS'!CJ$3:CJ$500)))</f>
        <v/>
      </c>
      <c r="FK7" s="56">
        <f>IF(OR(FK$4="",$B7=""),0,SUMIF('DADOS BRUTOS'!$A$3:$A$500,$B7,'DADOS BRUTOS'!CK$3:CK$500)+IF($C7="",0,SUMIF('DADOS BRUTOS'!$A$3:$A$500,$C7,'DADOS BRUTOS'!CK$3:CK$500)))</f>
        <v/>
      </c>
      <c r="FL7" s="56">
        <f>IF(OR(FL$4="",$B7=""),0,SUMIF('DADOS BRUTOS'!$A$3:$A$500,$B7,'DADOS BRUTOS'!CL$3:CL$500)+IF($C7="",0,SUMIF('DADOS BRUTOS'!$A$3:$A$500,$C7,'DADOS BRUTOS'!CL$3:CL$500)))</f>
        <v/>
      </c>
      <c r="FM7" s="56">
        <f>IF(OR(FM$4="",$B7=""),0,SUMIF('DADOS BRUTOS'!$A$3:$A$500,$B7,'DADOS BRUTOS'!CM$3:CM$500)+IF($C7="",0,SUMIF('DADOS BRUTOS'!$A$3:$A$500,$C7,'DADOS BRUTOS'!CM$3:CM$500)))</f>
        <v/>
      </c>
      <c r="FN7" s="56">
        <f>IF(OR(FN$4="",$B7=""),0,SUMIF('DADOS BRUTOS'!$A$3:$A$500,$B7,'DADOS BRUTOS'!CN$3:CN$500)+IF($C7="",0,SUMIF('DADOS BRUTOS'!$A$3:$A$500,$C7,'DADOS BRUTOS'!CN$3:CN$500)))</f>
        <v/>
      </c>
      <c r="FO7" s="56">
        <f>IF(OR(FO$4="",$B7=""),0,SUMIF('DADOS BRUTOS'!$A$3:$A$500,$B7,'DADOS BRUTOS'!CO$3:CO$500)+IF($C7="",0,SUMIF('DADOS BRUTOS'!$A$3:$A$500,$C7,'DADOS BRUTOS'!CO$3:CO$500)))</f>
        <v/>
      </c>
      <c r="FP7" s="56">
        <f>IF(OR(FP$4="",$B7=""),0,SUMIF('DADOS BRUTOS'!$A$3:$A$500,$B7,'DADOS BRUTOS'!CP$3:CP$500)+IF($C7="",0,SUMIF('DADOS BRUTOS'!$A$3:$A$500,$C7,'DADOS BRUTOS'!CP$3:CP$500)))</f>
        <v/>
      </c>
      <c r="FQ7" s="56">
        <f>IF(OR(FQ$4="",$B7=""),0,SUMIF('DADOS BRUTOS'!$A$3:$A$500,$B7,'DADOS BRUTOS'!CQ$3:CQ$500)+IF($C7="",0,SUMIF('DADOS BRUTOS'!$A$3:$A$500,$C7,'DADOS BRUTOS'!CQ$3:CQ$500)))</f>
        <v/>
      </c>
      <c r="FR7" s="56">
        <f>IF(OR(FR$4="",$B7=""),0,SUMIF('DADOS BRUTOS'!$A$3:$A$500,$B7,'DADOS BRUTOS'!CR$3:CR$500)+IF($C7="",0,SUMIF('DADOS BRUTOS'!$A$3:$A$500,$C7,'DADOS BRUTOS'!CR$3:CR$500)))</f>
        <v/>
      </c>
      <c r="FS7" s="56">
        <f>IF(OR(FS$4="",$B7=""),0,SUMIF('DADOS BRUTOS'!$A$3:$A$500,$B7,'DADOS BRUTOS'!CS$3:CS$500)+IF($C7="",0,SUMIF('DADOS BRUTOS'!$A$3:$A$500,$C7,'DADOS BRUTOS'!CS$3:CS$500)))</f>
        <v/>
      </c>
      <c r="FT7" s="56">
        <f>IF(OR(FT$4="",$B7=""),0,SUMIF('DADOS BRUTOS'!$A$3:$A$500,$B7,'DADOS BRUTOS'!CT$3:CT$500)+IF($C7="",0,SUMIF('DADOS BRUTOS'!$A$3:$A$500,$C7,'DADOS BRUTOS'!CT$3:CT$500)))</f>
        <v/>
      </c>
      <c r="FU7" s="56">
        <f>IF(OR(FU$4="",$B7=""),0,SUMIF('DADOS BRUTOS'!$A$3:$A$500,$B7,'DADOS BRUTOS'!CU$3:CU$500)+IF($C7="",0,SUMIF('DADOS BRUTOS'!$A$3:$A$500,$C7,'DADOS BRUTOS'!CU$3:CU$500)))</f>
        <v/>
      </c>
      <c r="FV7" s="56">
        <f>IF(OR(FV$4="",$B7=""),0,SUMIF('DADOS BRUTOS'!$A$3:$A$500,$B7,'DADOS BRUTOS'!CV$3:CV$500)+IF($C7="",0,SUMIF('DADOS BRUTOS'!$A$3:$A$500,$C7,'DADOS BRUTOS'!CV$3:CV$500)))</f>
        <v/>
      </c>
      <c r="FW7" s="56">
        <f>IF(OR(FW$4="",$B7=""),0,SUMIF('DADOS BRUTOS'!$A$3:$A$500,$B7,'DADOS BRUTOS'!CW$3:CW$500)+IF($C7="",0,SUMIF('DADOS BRUTOS'!$A$3:$A$500,$C7,'DADOS BRUTOS'!CW$3:CW$500)))</f>
        <v/>
      </c>
      <c r="FX7" s="56">
        <f>IF(OR(FX$4="",$B7=""),0,SUMIF('DADOS BRUTOS'!$A$3:$A$500,$B7,'DADOS BRUTOS'!CX$3:CX$500)+IF($C7="",0,SUMIF('DADOS BRUTOS'!$A$3:$A$500,$C7,'DADOS BRUTOS'!CX$3:CX$500)))</f>
        <v/>
      </c>
      <c r="FY7" s="56">
        <f>IF(OR(FY$4="",$B7=""),0,SUMIF('DADOS BRUTOS'!$A$3:$A$500,$B7,'DADOS BRUTOS'!CY$3:CY$500)+IF($C7="",0,SUMIF('DADOS BRUTOS'!$A$3:$A$500,$C7,'DADOS BRUTOS'!CY$3:CY$500)))</f>
        <v/>
      </c>
      <c r="FZ7" s="56">
        <f>IF(OR(FZ$4="",$B7=""),0,SUMIF('DADOS BRUTOS'!$A$3:$A$500,$B7,'DADOS BRUTOS'!CZ$3:CZ$500)+IF($C7="",0,SUMIF('DADOS BRUTOS'!$A$3:$A$500,$C7,'DADOS BRUTOS'!CZ$3:CZ$500)))</f>
        <v/>
      </c>
      <c r="GA7" s="56">
        <f>IF(OR(GA$4="",$B7=""),0,SUMIF('DADOS BRUTOS'!$A$3:$A$500,$B7,'DADOS BRUTOS'!DA$3:DA$500)+IF($C7="",0,SUMIF('DADOS BRUTOS'!$A$3:$A$500,$C7,'DADOS BRUTOS'!DA$3:DA$500)))</f>
        <v/>
      </c>
      <c r="GB7" s="56">
        <f>IF(OR(GB$4="",$B7=""),0,SUMIF('DADOS BRUTOS'!$A$3:$A$500,$B7,'DADOS BRUTOS'!DB$3:DB$500)+IF($C7="",0,SUMIF('DADOS BRUTOS'!$A$3:$A$500,$C7,'DADOS BRUTOS'!DB$3:DB$500)))</f>
        <v/>
      </c>
      <c r="GC7" s="56">
        <f>IF(OR(GC$4="",$B7=""),0,SUMIF('DADOS BRUTOS'!$A$3:$A$500,$B7,'DADOS BRUTOS'!DC$3:DC$500)+IF($C7="",0,SUMIF('DADOS BRUTOS'!$A$3:$A$500,$C7,'DADOS BRUTOS'!DC$3:DC$500)))</f>
        <v/>
      </c>
      <c r="GD7" s="56">
        <f>IF(OR(GD$4="",$B7=""),0,SUMIF('DADOS BRUTOS'!$A$3:$A$500,$B7,'DADOS BRUTOS'!DD$3:DD$500)+IF($C7="",0,SUMIF('DADOS BRUTOS'!$A$3:$A$500,$C7,'DADOS BRUTOS'!DD$3:DD$500)))</f>
        <v/>
      </c>
      <c r="GE7" s="56">
        <f>IF(OR(GE$4="",$B7=""),0,SUMIF('DADOS BRUTOS'!$A$3:$A$500,$B7,'DADOS BRUTOS'!DE$3:DE$500)+IF($C7="",0,SUMIF('DADOS BRUTOS'!$A$3:$A$500,$C7,'DADOS BRUTOS'!DE$3:DE$500)))</f>
        <v/>
      </c>
      <c r="GF7" s="56">
        <f>IF(OR(GF$4="",$B7=""),0,SUMIF('DADOS BRUTOS'!$A$3:$A$500,$B7,'DADOS BRUTOS'!DF$3:DF$500)+IF($C7="",0,SUMIF('DADOS BRUTOS'!$A$3:$A$500,$C7,'DADOS BRUTOS'!DF$3:DF$500)))</f>
        <v/>
      </c>
      <c r="GG7" s="56">
        <f>IF(OR(GG$4="",$B7=""),0,SUMIF('DADOS BRUTOS'!$A$3:$A$500,$B7,'DADOS BRUTOS'!DG$3:DG$500)+IF($C7="",0,SUMIF('DADOS BRUTOS'!$A$3:$A$500,$C7,'DADOS BRUTOS'!DG$3:DG$500)))</f>
        <v/>
      </c>
      <c r="GH7" s="56">
        <f>IF(OR(GH$4="",$B7=""),0,SUMIF('DADOS BRUTOS'!$A$3:$A$500,$B7,'DADOS BRUTOS'!DH$3:DH$500)+IF($C7="",0,SUMIF('DADOS BRUTOS'!$A$3:$A$500,$C7,'DADOS BRUTOS'!DH$3:DH$500)))</f>
        <v/>
      </c>
      <c r="GI7" s="56">
        <f>IF(OR(GI$4="",$B7=""),0,SUMIF('DADOS BRUTOS'!$A$3:$A$500,$B7,'DADOS BRUTOS'!DI$3:DI$500)+IF($C7="",0,SUMIF('DADOS BRUTOS'!$A$3:$A$500,$C7,'DADOS BRUTOS'!DI$3:DI$500)))</f>
        <v/>
      </c>
      <c r="GJ7" s="56">
        <f>IF(OR(GJ$4="",$B7=""),0,SUMIF('DADOS BRUTOS'!$A$3:$A$500,$B7,'DADOS BRUTOS'!DJ$3:DJ$500)+IF($C7="",0,SUMIF('DADOS BRUTOS'!$A$3:$A$500,$C7,'DADOS BRUTOS'!DJ$3:DJ$500)))</f>
        <v/>
      </c>
      <c r="GK7" s="56">
        <f>IF(OR(GK$4="",$B7=""),0,SUMIF('DADOS BRUTOS'!$A$3:$A$500,$B7,'DADOS BRUTOS'!DK$3:DK$500)+IF($C7="",0,SUMIF('DADOS BRUTOS'!$A$3:$A$500,$C7,'DADOS BRUTOS'!DK$3:DK$500)))</f>
        <v/>
      </c>
      <c r="GL7" s="56">
        <f>IF(OR(GL$4="",$B7=""),0,SUMIF('DADOS BRUTOS'!$A$3:$A$500,$B7,'DADOS BRUTOS'!DL$3:DL$500)+IF($C7="",0,SUMIF('DADOS BRUTOS'!$A$3:$A$500,$C7,'DADOS BRUTOS'!DL$3:DL$500)))</f>
        <v/>
      </c>
      <c r="GM7" s="56">
        <f>IF(OR(GM$4="",$B7=""),0,SUMIF('DADOS BRUTOS'!$A$3:$A$500,$B7,'DADOS BRUTOS'!DM$3:DM$500)+IF($C7="",0,SUMIF('DADOS BRUTOS'!$A$3:$A$500,$C7,'DADOS BRUTOS'!DM$3:DM$500)))</f>
        <v/>
      </c>
      <c r="GN7" s="56">
        <f>IF(OR(GN$4="",$B7=""),0,SUMIF('DADOS BRUTOS'!$A$3:$A$500,$B7,'DADOS BRUTOS'!DN$3:DN$500)+IF($C7="",0,SUMIF('DADOS BRUTOS'!$A$3:$A$500,$C7,'DADOS BRUTOS'!DN$3:DN$500)))</f>
        <v/>
      </c>
      <c r="GO7" s="56">
        <f>IF(OR(GO$4="",$B7=""),0,SUMIF('DADOS BRUTOS'!$A$3:$A$500,$B7,'DADOS BRUTOS'!DO$3:DO$500)+IF($C7="",0,SUMIF('DADOS BRUTOS'!$A$3:$A$500,$C7,'DADOS BRUTOS'!DO$3:DO$500)))</f>
        <v/>
      </c>
      <c r="GP7" s="56">
        <f>IF(OR(GP$4="",$B7=""),0,SUMIF('DADOS BRUTOS'!$A$3:$A$500,$B7,'DADOS BRUTOS'!DP$3:DP$500)+IF($C7="",0,SUMIF('DADOS BRUTOS'!$A$3:$A$500,$C7,'DADOS BRUTOS'!DP$3:DP$500)))</f>
        <v/>
      </c>
      <c r="GQ7" s="56">
        <f>IF(OR(GQ$4="",$B7=""),0,SUMIF('DADOS BRUTOS'!$A$3:$A$500,$B7,'DADOS BRUTOS'!DQ$3:DQ$500)+IF($C7="",0,SUMIF('DADOS BRUTOS'!$A$3:$A$500,$C7,'DADOS BRUTOS'!DQ$3:DQ$500)))</f>
        <v/>
      </c>
      <c r="GR7" s="56">
        <f>IF(OR(GR$4="",$B7=""),0,SUMIF('DADOS BRUTOS'!$A$3:$A$500,$B7,'DADOS BRUTOS'!DR$3:DR$500)+IF($C7="",0,SUMIF('DADOS BRUTOS'!$A$3:$A$500,$C7,'DADOS BRUTOS'!DR$3:DR$500)))</f>
        <v/>
      </c>
      <c r="GS7" s="56">
        <f>IF(OR(GS$4="",$B7=""),0,SUMIF('DADOS BRUTOS'!$A$3:$A$500,$B7,'DADOS BRUTOS'!DS$3:DS$500)+IF($C7="",0,SUMIF('DADOS BRUTOS'!$A$3:$A$500,$C7,'DADOS BRUTOS'!DS$3:DS$500)))</f>
        <v/>
      </c>
      <c r="GT7" s="56">
        <f>IF(OR(GT$4="",$B7=""),0,SUMIF('DADOS BRUTOS'!$A$3:$A$500,$B7,'DADOS BRUTOS'!DT$3:DT$500)+IF($C7="",0,SUMIF('DADOS BRUTOS'!$A$3:$A$500,$C7,'DADOS BRUTOS'!DT$3:DT$500)))</f>
        <v/>
      </c>
      <c r="GU7" s="56">
        <f>IF(OR(GU$4="",$B7=""),0,SUMIF('DADOS BRUTOS'!$A$3:$A$500,$B7,'DADOS BRUTOS'!DU$3:DU$500)+IF($C7="",0,SUMIF('DADOS BRUTOS'!$A$3:$A$500,$C7,'DADOS BRUTOS'!DU$3:DU$500)))</f>
        <v/>
      </c>
      <c r="GV7" s="56">
        <f>IF(OR(GV$4="",$B7=""),0,SUMIF('DADOS BRUTOS'!$A$3:$A$500,$B7,'DADOS BRUTOS'!DV$3:DV$500)+IF($C7="",0,SUMIF('DADOS BRUTOS'!$A$3:$A$500,$C7,'DADOS BRUTOS'!DV$3:DV$500)))</f>
        <v/>
      </c>
      <c r="GW7" s="56">
        <f>IF(OR(GW$4="",$B7=""),0,SUMIF('DADOS BRUTOS'!$A$3:$A$500,$B7,'DADOS BRUTOS'!DW$3:DW$500)+IF($C7="",0,SUMIF('DADOS BRUTOS'!$A$3:$A$500,$C7,'DADOS BRUTOS'!DW$3:DW$500)))</f>
        <v/>
      </c>
      <c r="GX7" s="56">
        <f>IF(OR(GX$4="",$B7=""),0,SUMIF('DADOS BRUTOS'!$A$3:$A$500,$B7,'DADOS BRUTOS'!DX$3:DX$500)+IF($C7="",0,SUMIF('DADOS BRUTOS'!$A$3:$A$500,$C7,'DADOS BRUTOS'!DX$3:DX$500)))</f>
        <v/>
      </c>
      <c r="GY7" s="56">
        <f>IF(OR(GY$4="",$B7=""),0,SUMIF('DADOS BRUTOS'!$A$3:$A$500,$B7,'DADOS BRUTOS'!DY$3:DY$500)+IF($C7="",0,SUMIF('DADOS BRUTOS'!$A$3:$A$500,$C7,'DADOS BRUTOS'!DY$3:DY$500)))</f>
        <v/>
      </c>
      <c r="GZ7" s="56">
        <f>IF(OR(GZ$4="",$B7=""),0,SUMIF('DADOS BRUTOS'!$A$3:$A$500,$B7,'DADOS BRUTOS'!DZ$3:DZ$500)+IF($C7="",0,SUMIF('DADOS BRUTOS'!$A$3:$A$500,$C7,'DADOS BRUTOS'!DZ$3:DZ$500)))</f>
        <v/>
      </c>
      <c r="HA7" s="56">
        <f>IF(OR(HA$4="",$B7=""),0,SUMIF('DADOS BRUTOS'!$A$3:$A$500,$B7,'DADOS BRUTOS'!EA$3:EA$500)+IF($C7="",0,SUMIF('DADOS BRUTOS'!$A$3:$A$500,$C7,'DADOS BRUTOS'!EA$3:EA$500)))</f>
        <v/>
      </c>
      <c r="HB7" s="56">
        <f>IF(OR(HB$4="",$B7=""),0,SUMIF('DADOS BRUTOS'!$A$3:$A$500,$B7,'DADOS BRUTOS'!EB$3:EB$500)+IF($C7="",0,SUMIF('DADOS BRUTOS'!$A$3:$A$500,$C7,'DADOS BRUTOS'!EB$3:EB$500)))</f>
        <v/>
      </c>
      <c r="HC7" s="56">
        <f>IF(OR(HC$4="",$B7=""),0,SUMIF('DADOS BRUTOS'!$A$3:$A$500,$B7,'DADOS BRUTOS'!EC$3:EC$500)+IF($C7="",0,SUMIF('DADOS BRUTOS'!$A$3:$A$500,$C7,'DADOS BRUTOS'!EC$3:EC$500)))</f>
        <v/>
      </c>
      <c r="HD7" s="56">
        <f>IF(OR(HD$4="",$B7=""),0,SUMIF('DADOS BRUTOS'!$A$3:$A$500,$B7,'DADOS BRUTOS'!ED$3:ED$500)+IF($C7="",0,SUMIF('DADOS BRUTOS'!$A$3:$A$500,$C7,'DADOS BRUTOS'!ED$3:ED$500)))</f>
        <v/>
      </c>
      <c r="HE7" s="56">
        <f>IF(OR(HE$4="",$B7=""),0,SUMIF('DADOS BRUTOS'!$A$3:$A$500,$B7,'DADOS BRUTOS'!EE$3:EE$500)+IF($C7="",0,SUMIF('DADOS BRUTOS'!$A$3:$A$500,$C7,'DADOS BRUTOS'!EE$3:EE$500)))</f>
        <v/>
      </c>
      <c r="HF7" s="56">
        <f>IF(OR(HF$4="",$B7=""),0,SUMIF('DADOS BRUTOS'!$A$3:$A$500,$B7,'DADOS BRUTOS'!EF$3:EF$500)+IF($C7="",0,SUMIF('DADOS BRUTOS'!$A$3:$A$500,$C7,'DADOS BRUTOS'!EF$3:EF$500)))</f>
        <v/>
      </c>
      <c r="HG7" s="56">
        <f>IF(OR(HG$4="",$B7=""),0,SUMIF('DADOS BRUTOS'!$A$3:$A$500,$B7,'DADOS BRUTOS'!EG$3:EG$500)+IF($C7="",0,SUMIF('DADOS BRUTOS'!$A$3:$A$500,$C7,'DADOS BRUTOS'!EG$3:EG$500)))</f>
        <v/>
      </c>
      <c r="HH7" s="56">
        <f>IF(OR(HH$4="",$B7=""),0,SUMIF('DADOS BRUTOS'!$A$3:$A$500,$B7,'DADOS BRUTOS'!EH$3:EH$500)+IF($C7="",0,SUMIF('DADOS BRUTOS'!$A$3:$A$500,$C7,'DADOS BRUTOS'!EH$3:EH$500)))</f>
        <v/>
      </c>
      <c r="HI7" s="56">
        <f>IF(OR(HI$4="",$B7=""),0,SUMIF('DADOS BRUTOS'!$A$3:$A$500,$B7,'DADOS BRUTOS'!EI$3:EI$500)+IF($C7="",0,SUMIF('DADOS BRUTOS'!$A$3:$A$500,$C7,'DADOS BRUTOS'!EI$3:EI$500)))</f>
        <v/>
      </c>
      <c r="HJ7" s="56">
        <f>IF(OR(HJ$4="",$B7=""),0,SUMIF('DADOS BRUTOS'!$A$3:$A$500,$B7,'DADOS BRUTOS'!EJ$3:EJ$500)+IF($C7="",0,SUMIF('DADOS BRUTOS'!$A$3:$A$500,$C7,'DADOS BRUTOS'!EJ$3:EJ$500)))</f>
        <v/>
      </c>
      <c r="HK7" s="56">
        <f>IF(OR(HK$4="",$B7=""),0,SUMIF('DADOS BRUTOS'!$A$3:$A$500,$B7,'DADOS BRUTOS'!EK$3:EK$500)+IF($C7="",0,SUMIF('DADOS BRUTOS'!$A$3:$A$500,$C7,'DADOS BRUTOS'!EK$3:EK$500)))</f>
        <v/>
      </c>
      <c r="HL7" s="56">
        <f>IF(OR(HL$4="",$B7=""),0,SUMIF('DADOS BRUTOS'!$A$3:$A$500,$B7,'DADOS BRUTOS'!EL$3:EL$500)+IF($C7="",0,SUMIF('DADOS BRUTOS'!$A$3:$A$500,$C7,'DADOS BRUTOS'!EL$3:EL$500)))</f>
        <v/>
      </c>
      <c r="HM7" s="56">
        <f>IF(OR(HM$4="",$B7=""),0,SUMIF('DADOS BRUTOS'!$A$3:$A$500,$B7,'DADOS BRUTOS'!EM$3:EM$500)+IF($C7="",0,SUMIF('DADOS BRUTOS'!$A$3:$A$500,$C7,'DADOS BRUTOS'!EM$3:EM$500)))</f>
        <v/>
      </c>
      <c r="HN7" s="56">
        <f>IF(OR(HN$4="",$B7=""),0,SUMIF('DADOS BRUTOS'!$A$3:$A$500,$B7,'DADOS BRUTOS'!EN$3:EN$500)+IF($C7="",0,SUMIF('DADOS BRUTOS'!$A$3:$A$500,$C7,'DADOS BRUTOS'!EN$3:EN$500)))</f>
        <v/>
      </c>
      <c r="HO7" s="56">
        <f>IF(OR(HO$4="",$B7=""),0,SUMIF('DADOS BRUTOS'!$A$3:$A$500,$B7,'DADOS BRUTOS'!EO$3:EO$500)+IF($C7="",0,SUMIF('DADOS BRUTOS'!$A$3:$A$500,$C7,'DADOS BRUTOS'!EO$3:EO$500)))</f>
        <v/>
      </c>
      <c r="HP7" s="56">
        <f>IF(OR(HP$4="",$B7=""),0,SUMIF('DADOS BRUTOS'!$A$3:$A$500,$B7,'DADOS BRUTOS'!EP$3:EP$500)+IF($C7="",0,SUMIF('DADOS BRUTOS'!$A$3:$A$500,$C7,'DADOS BRUTOS'!EP$3:EP$500)))</f>
        <v/>
      </c>
      <c r="HQ7" s="56">
        <f>IF(OR(HQ$4="",$B7=""),0,SUMIF('DADOS BRUTOS'!$A$3:$A$500,$B7,'DADOS BRUTOS'!EQ$3:EQ$500)+IF($C7="",0,SUMIF('DADOS BRUTOS'!$A$3:$A$500,$C7,'DADOS BRUTOS'!EQ$3:EQ$500)))</f>
        <v/>
      </c>
      <c r="HR7" s="56">
        <f>IF(OR(HR$4="",$B7=""),0,SUMIF('DADOS BRUTOS'!$A$3:$A$500,$B7,'DADOS BRUTOS'!ER$3:ER$500)+IF($C7="",0,SUMIF('DADOS BRUTOS'!$A$3:$A$500,$C7,'DADOS BRUTOS'!ER$3:ER$500)))</f>
        <v/>
      </c>
      <c r="HS7" s="56">
        <f>IF(OR(HS$4="",$B7=""),0,SUMIF('DADOS BRUTOS'!$A$3:$A$500,$B7,'DADOS BRUTOS'!ES$3:ES$500)+IF($C7="",0,SUMIF('DADOS BRUTOS'!$A$3:$A$500,$C7,'DADOS BRUTOS'!ES$3:ES$500)))</f>
        <v/>
      </c>
      <c r="HT7" s="56">
        <f>IF(OR(HT$4="",$B7=""),0,SUMIF('DADOS BRUTOS'!$A$3:$A$500,$B7,'DADOS BRUTOS'!ET$3:ET$500)+IF($C7="",0,SUMIF('DADOS BRUTOS'!$A$3:$A$500,$C7,'DADOS BRUTOS'!ET$3:ET$500)))</f>
        <v/>
      </c>
      <c r="HU7" s="56">
        <f>IF(OR(HU$4="",$B7=""),0,SUMIF('DADOS BRUTOS'!$A$3:$A$500,$B7,'DADOS BRUTOS'!EU$3:EU$500)+IF($C7="",0,SUMIF('DADOS BRUTOS'!$A$3:$A$500,$C7,'DADOS BRUTOS'!EU$3:EU$500)))</f>
        <v/>
      </c>
      <c r="HV7" s="56">
        <f>IF(OR(HV$4="",$B7=""),0,SUMIF('DADOS BRUTOS'!$A$3:$A$500,$B7,'DADOS BRUTOS'!EV$3:EV$500)+IF($C7="",0,SUMIF('DADOS BRUTOS'!$A$3:$A$500,$C7,'DADOS BRUTOS'!EV$3:EV$500)))</f>
        <v/>
      </c>
      <c r="HW7" s="56">
        <f>IF(OR(HW$4="",$B7=""),0,SUMIF('DADOS BRUTOS'!$A$3:$A$500,$B7,'DADOS BRUTOS'!EW$3:EW$500)+IF($C7="",0,SUMIF('DADOS BRUTOS'!$A$3:$A$500,$C7,'DADOS BRUTOS'!EW$3:EW$500)))</f>
        <v/>
      </c>
      <c r="HX7" s="56">
        <f>IF(OR(HX$4="",$B7=""),0,SUMIF('DADOS BRUTOS'!$A$3:$A$500,$B7,'DADOS BRUTOS'!EX$3:EX$500)+IF($C7="",0,SUMIF('DADOS BRUTOS'!$A$3:$A$500,$C7,'DADOS BRUTOS'!EX$3:EX$500)))</f>
        <v/>
      </c>
      <c r="HY7" s="56">
        <f>IF(OR(HY$4="",$B7=""),0,SUMIF('DADOS BRUTOS'!$A$3:$A$500,$B7,'DADOS BRUTOS'!EY$3:EY$500)+IF($C7="",0,SUMIF('DADOS BRUTOS'!$A$3:$A$500,$C7,'DADOS BRUTOS'!EY$3:EY$500)))</f>
        <v/>
      </c>
      <c r="HZ7" s="56">
        <f>IF(OR(HZ$4="",$B7=""),0,SUMIF('DADOS BRUTOS'!$A$3:$A$500,$B7,'DADOS BRUTOS'!EZ$3:EZ$500)+IF($C7="",0,SUMIF('DADOS BRUTOS'!$A$3:$A$500,$C7,'DADOS BRUTOS'!EZ$3:EZ$500)))</f>
        <v/>
      </c>
      <c r="IA7" s="56">
        <f>IF(OR(IA$4="",$B7=""),0,SUMIF('DADOS BRUTOS'!$A$3:$A$500,$B7,'DADOS BRUTOS'!FA$3:FA$500)+IF($C7="",0,SUMIF('DADOS BRUTOS'!$A$3:$A$500,$C7,'DADOS BRUTOS'!FA$3:FA$500)))</f>
        <v/>
      </c>
      <c r="IB7" s="56">
        <f>IF(OR(IB$4="",$B7=""),0,SUMIF('DADOS BRUTOS'!$A$3:$A$500,$B7,'DADOS BRUTOS'!FB$3:FB$500)+IF($C7="",0,SUMIF('DADOS BRUTOS'!$A$3:$A$500,$C7,'DADOS BRUTOS'!FB$3:FB$500)))</f>
        <v/>
      </c>
      <c r="IC7" s="56">
        <f>IF(OR(IC$4="",$B7=""),0,SUMIF('DADOS BRUTOS'!$A$3:$A$500,$B7,'DADOS BRUTOS'!FC$3:FC$500)+IF($C7="",0,SUMIF('DADOS BRUTOS'!$A$3:$A$500,$C7,'DADOS BRUTOS'!FC$3:FC$500)))</f>
        <v/>
      </c>
      <c r="ID7" s="56">
        <f>IF(OR(ID$4="",$B7=""),0,SUMIF('DADOS BRUTOS'!$A$3:$A$500,$B7,'DADOS BRUTOS'!FD$3:FD$500)+IF($C7="",0,SUMIF('DADOS BRUTOS'!$A$3:$A$500,$C7,'DADOS BRUTOS'!FD$3:FD$500)))</f>
        <v/>
      </c>
      <c r="IE7" s="56">
        <f>IF(OR(IE$4="",$B7=""),0,SUMIF('DADOS BRUTOS'!$A$3:$A$500,$B7,'DADOS BRUTOS'!FE$3:FE$500)+IF($C7="",0,SUMIF('DADOS BRUTOS'!$A$3:$A$500,$C7,'DADOS BRUTOS'!FE$3:FE$500)))</f>
        <v/>
      </c>
      <c r="IF7" s="56">
        <f>IF(OR(IF$4="",$B7=""),0,SUMIF('DADOS BRUTOS'!$A$3:$A$500,$B7,'DADOS BRUTOS'!FF$3:FF$500)+IF($C7="",0,SUMIF('DADOS BRUTOS'!$A$3:$A$500,$C7,'DADOS BRUTOS'!FF$3:FF$500)))</f>
        <v/>
      </c>
      <c r="IG7" s="56">
        <f>IF(OR(IG$4="",$B7=""),0,SUMIF('DADOS BRUTOS'!$A$3:$A$500,$B7,'DADOS BRUTOS'!FG$3:FG$500)+IF($C7="",0,SUMIF('DADOS BRUTOS'!$A$3:$A$500,$C7,'DADOS BRUTOS'!FG$3:FG$500)))</f>
        <v/>
      </c>
      <c r="IH7" s="56">
        <f>IF(OR(IH$4="",$B7=""),0,SUMIF('DADOS BRUTOS'!$A$3:$A$500,$B7,'DADOS BRUTOS'!FH$3:FH$500)+IF($C7="",0,SUMIF('DADOS BRUTOS'!$A$3:$A$500,$C7,'DADOS BRUTOS'!FH$3:FH$500)))</f>
        <v/>
      </c>
      <c r="II7" s="56">
        <f>IF(OR(II$4="",$B7=""),0,SUMIF('DADOS BRUTOS'!$A$3:$A$500,$B7,'DADOS BRUTOS'!FI$3:FI$500)+IF($C7="",0,SUMIF('DADOS BRUTOS'!$A$3:$A$500,$C7,'DADOS BRUTOS'!FI$3:FI$500)))</f>
        <v/>
      </c>
      <c r="IJ7" s="56">
        <f>IF(OR(IJ$4="",$B7=""),0,SUMIF('DADOS BRUTOS'!$A$3:$A$500,$B7,'DADOS BRUTOS'!FJ$3:FJ$500)+IF($C7="",0,SUMIF('DADOS BRUTOS'!$A$3:$A$500,$C7,'DADOS BRUTOS'!FJ$3:FJ$500)))</f>
        <v/>
      </c>
      <c r="IK7" s="56">
        <f>IF(OR(IK$4="",$B7=""),0,SUMIF('DADOS BRUTOS'!$A$3:$A$500,$B7,'DADOS BRUTOS'!FK$3:FK$500)+IF($C7="",0,SUMIF('DADOS BRUTOS'!$A$3:$A$500,$C7,'DADOS BRUTOS'!FK$3:FK$500)))</f>
        <v/>
      </c>
      <c r="IL7" s="56">
        <f>IF(OR(IL$4="",$B7=""),0,SUMIF('DADOS BRUTOS'!$A$3:$A$500,$B7,'DADOS BRUTOS'!FL$3:FL$500)+IF($C7="",0,SUMIF('DADOS BRUTOS'!$A$3:$A$500,$C7,'DADOS BRUTOS'!FL$3:FL$500)))</f>
        <v/>
      </c>
      <c r="IM7" s="56">
        <f>IF(OR(IM$4="",$B7=""),0,SUMIF('DADOS BRUTOS'!$A$3:$A$500,$B7,'DADOS BRUTOS'!FM$3:FM$500)+IF($C7="",0,SUMIF('DADOS BRUTOS'!$A$3:$A$500,$C7,'DADOS BRUTOS'!FM$3:FM$500)))</f>
        <v/>
      </c>
      <c r="IN7" s="56">
        <f>IF(OR(IN$4="",$B7=""),0,SUMIF('DADOS BRUTOS'!$A$3:$A$500,$B7,'DADOS BRUTOS'!FN$3:FN$500)+IF($C7="",0,SUMIF('DADOS BRUTOS'!$A$3:$A$500,$C7,'DADOS BRUTOS'!FN$3:FN$500)))</f>
        <v/>
      </c>
      <c r="IO7" s="56">
        <f>IF(OR(IO$4="",$B7=""),0,SUMIF('DADOS BRUTOS'!$A$3:$A$500,$B7,'DADOS BRUTOS'!FO$3:FO$500)+IF($C7="",0,SUMIF('DADOS BRUTOS'!$A$3:$A$500,$C7,'DADOS BRUTOS'!FO$3:FO$500)))</f>
        <v/>
      </c>
      <c r="IP7" s="56">
        <f>IF(OR(IP$4="",$B7=""),0,SUMIF('DADOS BRUTOS'!$A$3:$A$500,$B7,'DADOS BRUTOS'!FP$3:FP$500)+IF($C7="",0,SUMIF('DADOS BRUTOS'!$A$3:$A$500,$C7,'DADOS BRUTOS'!FP$3:FP$500)))</f>
        <v/>
      </c>
      <c r="IQ7" s="56">
        <f>IF(OR(IQ$4="",$B7=""),0,SUMIF('DADOS BRUTOS'!$A$3:$A$500,$B7,'DADOS BRUTOS'!FQ$3:FQ$500)+IF($C7="",0,SUMIF('DADOS BRUTOS'!$A$3:$A$500,$C7,'DADOS BRUTOS'!FQ$3:FQ$500)))</f>
        <v/>
      </c>
      <c r="IR7" s="56">
        <f>IF(OR(IR$4="",$B7=""),0,SUMIF('DADOS BRUTOS'!$A$3:$A$500,$B7,'DADOS BRUTOS'!FR$3:FR$500)+IF($C7="",0,SUMIF('DADOS BRUTOS'!$A$3:$A$500,$C7,'DADOS BRUTOS'!FR$3:FR$500)))</f>
        <v/>
      </c>
      <c r="IS7" s="56">
        <f>IF(OR(IS$4="",$B7=""),0,SUMIF('DADOS BRUTOS'!$A$3:$A$500,$B7,'DADOS BRUTOS'!FS$3:FS$500)+IF($C7="",0,SUMIF('DADOS BRUTOS'!$A$3:$A$500,$C7,'DADOS BRUTOS'!FS$3:FS$500)))</f>
        <v/>
      </c>
      <c r="IT7" s="56">
        <f>IF(OR(IT$4="",$B7=""),0,SUMIF('DADOS BRUTOS'!$A$3:$A$500,$B7,'DADOS BRUTOS'!FT$3:FT$500)+IF($C7="",0,SUMIF('DADOS BRUTOS'!$A$3:$A$500,$C7,'DADOS BRUTOS'!FT$3:FT$500)))</f>
        <v/>
      </c>
      <c r="IU7" s="56">
        <f>IF(OR(IU$4="",$B7=""),0,SUMIF('DADOS BRUTOS'!$A$3:$A$500,$B7,'DADOS BRUTOS'!FU$3:FU$500)+IF($C7="",0,SUMIF('DADOS BRUTOS'!$A$3:$A$500,$C7,'DADOS BRUTOS'!FU$3:FU$500)))</f>
        <v/>
      </c>
      <c r="IV7" s="56">
        <f>IF(OR(IV$4="",$B7=""),0,SUMIF('DADOS BRUTOS'!$A$3:$A$500,$B7,'DADOS BRUTOS'!FV$3:FV$500)+IF($C7="",0,SUMIF('DADOS BRUTOS'!$A$3:$A$500,$C7,'DADOS BRUTOS'!FV$3:FV$500)))</f>
        <v/>
      </c>
      <c r="IW7" s="56">
        <f>IF(OR(IW$4="",$B7=""),0,SUMIF('DADOS BRUTOS'!$A$3:$A$500,$B7,'DADOS BRUTOS'!FW$3:FW$500)+IF($C7="",0,SUMIF('DADOS BRUTOS'!$A$3:$A$500,$C7,'DADOS BRUTOS'!FW$3:FW$500)))</f>
        <v/>
      </c>
      <c r="IX7" s="56">
        <f>IF(OR(IX$4="",$B7=""),0,SUMIF('DADOS BRUTOS'!$A$3:$A$500,$B7,'DADOS BRUTOS'!FX$3:FX$500)+IF($C7="",0,SUMIF('DADOS BRUTOS'!$A$3:$A$500,$C7,'DADOS BRUTOS'!FX$3:FX$500)))</f>
        <v/>
      </c>
      <c r="IY7" s="56">
        <f>IF(OR(IY$4="",$B7=""),0,SUMIF('DADOS BRUTOS'!$A$3:$A$500,$B7,'DADOS BRUTOS'!FY$3:FY$500)+IF($C7="",0,SUMIF('DADOS BRUTOS'!$A$3:$A$500,$C7,'DADOS BRUTOS'!FY$3:FY$500)))</f>
        <v/>
      </c>
      <c r="IZ7" s="56">
        <f>IF(OR(IZ$4="",$B7=""),0,SUMIF('DADOS BRUTOS'!$A$3:$A$500,$B7,'DADOS BRUTOS'!FZ$3:FZ$500)+IF($C7="",0,SUMIF('DADOS BRUTOS'!$A$3:$A$500,$C7,'DADOS BRUTOS'!FZ$3:FZ$500)))</f>
        <v/>
      </c>
      <c r="JA7" s="56">
        <f>IF(OR(JA$4="",$B7=""),0,SUMIF('DADOS BRUTOS'!$A$3:$A$500,$B7,'DADOS BRUTOS'!GA$3:GA$500)+IF($C7="",0,SUMIF('DADOS BRUTOS'!$A$3:$A$500,$C7,'DADOS BRUTOS'!GA$3:GA$500)))</f>
        <v/>
      </c>
      <c r="JB7" s="56">
        <f>IF(OR(JB$4="",$B7=""),0,SUMIF('DADOS BRUTOS'!$A$3:$A$500,$B7,'DADOS BRUTOS'!GB$3:GB$500)+IF($C7="",0,SUMIF('DADOS BRUTOS'!$A$3:$A$500,$C7,'DADOS BRUTOS'!GB$3:GB$500)))</f>
        <v/>
      </c>
      <c r="JC7" s="56">
        <f>IF(OR(JC$4="",$B7=""),0,SUMIF('DADOS BRUTOS'!$A$3:$A$500,$B7,'DADOS BRUTOS'!GC$3:GC$500)+IF($C7="",0,SUMIF('DADOS BRUTOS'!$A$3:$A$500,$C7,'DADOS BRUTOS'!GC$3:GC$500)))</f>
        <v/>
      </c>
      <c r="JD7" s="56">
        <f>IF(OR(JD$4="",$B7=""),0,SUMIF('DADOS BRUTOS'!$A$3:$A$500,$B7,'DADOS BRUTOS'!GD$3:GD$500)+IF($C7="",0,SUMIF('DADOS BRUTOS'!$A$3:$A$500,$C7,'DADOS BRUTOS'!GD$3:GD$500)))</f>
        <v/>
      </c>
      <c r="JE7" s="56">
        <f>IF(OR(JE$4="",$B7=""),0,SUMIF('DADOS BRUTOS'!$A$3:$A$500,$B7,'DADOS BRUTOS'!GE$3:GE$500)+IF($C7="",0,SUMIF('DADOS BRUTOS'!$A$3:$A$500,$C7,'DADOS BRUTOS'!GE$3:GE$500)))</f>
        <v/>
      </c>
      <c r="JF7" s="56">
        <f>IF(OR(JF$4="",$B7=""),0,SUMIF('DADOS BRUTOS'!$A$3:$A$500,$B7,'DADOS BRUTOS'!GF$3:GF$500)+IF($C7="",0,SUMIF('DADOS BRUTOS'!$A$3:$A$500,$C7,'DADOS BRUTOS'!GF$3:GF$500)))</f>
        <v/>
      </c>
      <c r="JG7" s="56">
        <f>IF(OR(JG$4="",$B7=""),0,SUMIF('DADOS BRUTOS'!$A$3:$A$500,$B7,'DADOS BRUTOS'!GG$3:GG$500)+IF($C7="",0,SUMIF('DADOS BRUTOS'!$A$3:$A$500,$C7,'DADOS BRUTOS'!GG$3:GG$500)))</f>
        <v/>
      </c>
      <c r="JH7" s="56">
        <f>IF(OR(JH$4="",$B7=""),0,SUMIF('DADOS BRUTOS'!$A$3:$A$500,$B7,'DADOS BRUTOS'!GH$3:GH$500)+IF($C7="",0,SUMIF('DADOS BRUTOS'!$A$3:$A$500,$C7,'DADOS BRUTOS'!GH$3:GH$500)))</f>
        <v/>
      </c>
      <c r="JI7" s="56">
        <f>IF(OR(JI$4="",$B7=""),0,SUMIF('DADOS BRUTOS'!$A$3:$A$500,$B7,'DADOS BRUTOS'!GI$3:GI$500)+IF($C7="",0,SUMIF('DADOS BRUTOS'!$A$3:$A$500,$C7,'DADOS BRUTOS'!GI$3:GI$500)))</f>
        <v/>
      </c>
      <c r="JJ7" s="56">
        <f>IF(OR(JJ$4="",$B7=""),0,SUMIF('DADOS BRUTOS'!$A$3:$A$500,$B7,'DADOS BRUTOS'!GJ$3:GJ$500)+IF($C7="",0,SUMIF('DADOS BRUTOS'!$A$3:$A$500,$C7,'DADOS BRUTOS'!GJ$3:GJ$500)))</f>
        <v/>
      </c>
      <c r="JK7" s="56">
        <f>IF(OR(JK$4="",$B7=""),0,SUMIF('DADOS BRUTOS'!$A$3:$A$500,$B7,'DADOS BRUTOS'!GK$3:GK$500)+IF($C7="",0,SUMIF('DADOS BRUTOS'!$A$3:$A$500,$C7,'DADOS BRUTOS'!GK$3:GK$500)))</f>
        <v/>
      </c>
      <c r="JL7" s="56">
        <f>IF(OR(JL$4="",$B7=""),0,SUMIF('DADOS BRUTOS'!$A$3:$A$500,$B7,'DADOS BRUTOS'!GL$3:GL$500)+IF($C7="",0,SUMIF('DADOS BRUTOS'!$A$3:$A$500,$C7,'DADOS BRUTOS'!GL$3:GL$500)))</f>
        <v/>
      </c>
      <c r="JM7" s="56">
        <f>IF(OR(JM$4="",$B7=""),0,SUMIF('DADOS BRUTOS'!$A$3:$A$500,$B7,'DADOS BRUTOS'!GM$3:GM$500)+IF($C7="",0,SUMIF('DADOS BRUTOS'!$A$3:$A$500,$C7,'DADOS BRUTOS'!GM$3:GM$500)))</f>
        <v/>
      </c>
      <c r="JN7" s="56">
        <f>IF(OR(JN$4="",$B7=""),0,SUMIF('DADOS BRUTOS'!$A$3:$A$500,$B7,'DADOS BRUTOS'!GN$3:GN$500)+IF($C7="",0,SUMIF('DADOS BRUTOS'!$A$3:$A$500,$C7,'DADOS BRUTOS'!GN$3:GN$500)))</f>
        <v/>
      </c>
      <c r="JO7" s="56">
        <f>IF(OR(JO$4="",$B7=""),0,SUMIF('DADOS BRUTOS'!$A$3:$A$500,$B7,'DADOS BRUTOS'!GO$3:GO$500)+IF($C7="",0,SUMIF('DADOS BRUTOS'!$A$3:$A$500,$C7,'DADOS BRUTOS'!GO$3:GO$500)))</f>
        <v/>
      </c>
      <c r="JP7" s="56">
        <f>IF(OR(JP$4="",$B7=""),0,SUMIF('DADOS BRUTOS'!$A$3:$A$500,$B7,'DADOS BRUTOS'!GP$3:GP$500)+IF($C7="",0,SUMIF('DADOS BRUTOS'!$A$3:$A$500,$C7,'DADOS BRUTOS'!GP$3:GP$500)))</f>
        <v/>
      </c>
      <c r="JQ7" s="56">
        <f>IF(OR(JQ$4="",$B7=""),0,SUMIF('DADOS BRUTOS'!$A$3:$A$500,$B7,'DADOS BRUTOS'!GQ$3:GQ$500)+IF($C7="",0,SUMIF('DADOS BRUTOS'!$A$3:$A$500,$C7,'DADOS BRUTOS'!GQ$3:GQ$500)))</f>
        <v/>
      </c>
      <c r="JR7" s="56">
        <f>IF(OR(JR$4="",$B7=""),0,SUMIF('DADOS BRUTOS'!$A$3:$A$500,$B7,'DADOS BRUTOS'!GR$3:GR$500)+IF($C7="",0,SUMIF('DADOS BRUTOS'!$A$3:$A$500,$C7,'DADOS BRUTOS'!GR$3:GR$500)))</f>
        <v/>
      </c>
      <c r="JS7" s="56">
        <f>IF(OR(JS$4="",$B7=""),0,SUMIF('DADOS BRUTOS'!$A$3:$A$500,$B7,'DADOS BRUTOS'!GS$3:GS$500)+IF($C7="",0,SUMIF('DADOS BRUTOS'!$A$3:$A$500,$C7,'DADOS BRUTOS'!GS$3:GS$500)))</f>
        <v/>
      </c>
    </row>
    <row r="8">
      <c r="A8" s="34">
        <f>'VALOR POR PL'!D14</f>
        <v/>
      </c>
      <c r="B8" s="21" t="inlineStr">
        <is>
          <t>BARRACAO DE OBRA</t>
        </is>
      </c>
      <c r="C8" s="21" t="n"/>
      <c r="D8" s="17">
        <f>SUMIF($CB$4:$JS$4,"&lt;="&amp;D$4,$CB8:$JS8)</f>
        <v/>
      </c>
      <c r="E8" s="17">
        <f>SUMIF($CB$4:$JS$4,E$4,$CB8:$JS8)</f>
        <v/>
      </c>
      <c r="F8" s="17">
        <f>SUMIF($CB$4:$JS$4,F$4,$CB8:$JS8)</f>
        <v/>
      </c>
      <c r="G8" s="17">
        <f>SUMIF($CB$4:$JS$4,G$4,$CB8:$JS8)</f>
        <v/>
      </c>
      <c r="H8" s="17">
        <f>SUMIF($CB$4:$JS$4,H$4,$CB8:$JS8)</f>
        <v/>
      </c>
      <c r="I8" s="17">
        <f>SUMIF($CB$4:$JS$4,I$4,$CB8:$JS8)</f>
        <v/>
      </c>
      <c r="J8" s="17">
        <f>SUMIF($CB$4:$JS$4,J$4,$CB8:$JS8)</f>
        <v/>
      </c>
      <c r="K8" s="17">
        <f>SUMIF($CB$4:$JS$4,K$4,$CB8:$JS8)</f>
        <v/>
      </c>
      <c r="L8" s="17">
        <f>SUMIF($CB$4:$JS$4,L$4,$CB8:$JS8)</f>
        <v/>
      </c>
      <c r="M8" s="17">
        <f>SUMIF($CB$4:$JS$4,M$4,$CB8:$JS8)</f>
        <v/>
      </c>
      <c r="N8" s="17">
        <f>SUMIF($CB$4:$JS$4,N$4,$CB8:$JS8)</f>
        <v/>
      </c>
      <c r="O8" s="17">
        <f>SUMIF($CB$4:$JS$4,O$4,$CB8:$JS8)</f>
        <v/>
      </c>
      <c r="P8" s="17">
        <f>SUMIF($CB$4:$JS$4,P$4,$CB8:$JS8)</f>
        <v/>
      </c>
      <c r="Q8" s="17">
        <f>SUMIF($CB$4:$JS$4,Q$4,$CB8:$JS8)</f>
        <v/>
      </c>
      <c r="R8" s="17">
        <f>SUMIF($CB$4:$JS$4,R$4,$CB8:$JS8)</f>
        <v/>
      </c>
      <c r="S8" s="17">
        <f>SUMIF($CB$4:$JS$4,S$4,$CB8:$JS8)</f>
        <v/>
      </c>
      <c r="T8" s="17">
        <f>SUMIF($CB$4:$JS$4,T$4,$CB8:$JS8)</f>
        <v/>
      </c>
      <c r="U8" s="17">
        <f>SUMIF($CB$4:$JS$4,U$4,$CB8:$JS8)</f>
        <v/>
      </c>
      <c r="V8" s="17">
        <f>SUMIF($CB$4:$JS$4,V$4,$CB8:$JS8)</f>
        <v/>
      </c>
      <c r="W8" s="17">
        <f>SUMIF($CB$4:$JS$4,W$4,$CB8:$JS8)</f>
        <v/>
      </c>
      <c r="X8" s="17">
        <f>SUMIF($CB$4:$JS$4,X$4,$CB8:$JS8)</f>
        <v/>
      </c>
      <c r="Y8" s="17">
        <f>SUMIF($CB$4:$JS$4,Y$4,$CB8:$JS8)</f>
        <v/>
      </c>
      <c r="Z8" s="17">
        <f>SUMIF($CB$4:$JS$4,Z$4,$CB8:$JS8)</f>
        <v/>
      </c>
      <c r="AA8" s="17">
        <f>SUMIF($CB$4:$JS$4,AA$4,$CB8:$JS8)</f>
        <v/>
      </c>
      <c r="AB8" s="17">
        <f>SUMIF($CB$4:$JS$4,AB$4,$CB8:$JS8)</f>
        <v/>
      </c>
      <c r="AC8" s="17">
        <f>SUMIF($CB$4:$JS$4,AC$4,$CB8:$JS8)</f>
        <v/>
      </c>
      <c r="AD8" s="17">
        <f>SUMIF($CB$4:$JS$4,AD$4,$CB8:$JS8)</f>
        <v/>
      </c>
      <c r="AE8" s="17">
        <f>SUMIF($CB$4:$JS$4,AE$4,$CB8:$JS8)</f>
        <v/>
      </c>
      <c r="AF8" s="17">
        <f>SUMIF($CB$4:$JS$4,AF$4,$CB8:$JS8)</f>
        <v/>
      </c>
      <c r="AG8" s="17">
        <f>SUMIF($CB$4:$JS$4,AG$4,$CB8:$JS8)</f>
        <v/>
      </c>
      <c r="AH8" s="17">
        <f>SUMIF($CB$4:$JS$4,AH$4,$CB8:$JS8)</f>
        <v/>
      </c>
      <c r="AI8" s="17">
        <f>SUMIF($CB$4:$JS$4,AI$4,$CB8:$JS8)</f>
        <v/>
      </c>
      <c r="AJ8" s="17">
        <f>SUMIF($CB$4:$JS$4,AJ$4,$CB8:$JS8)</f>
        <v/>
      </c>
      <c r="AK8" s="17">
        <f>SUMIF($CB$4:$JS$4,AK$4,$CB8:$JS8)</f>
        <v/>
      </c>
      <c r="AL8" s="17">
        <f>SUMIF($CB$4:$JS$4,AL$4,$CB8:$JS8)</f>
        <v/>
      </c>
      <c r="AM8" s="17">
        <f>SUMIF($CB$4:$JS$4,AM$4,$CB8:$JS8)</f>
        <v/>
      </c>
      <c r="AN8" s="17">
        <f>SUMIF($CB$4:$JS$4,AN$4,$CB8:$JS8)</f>
        <v/>
      </c>
      <c r="AO8" s="17">
        <f>SUMIF($CB$4:$JS$4,AO$4,$CB8:$JS8)</f>
        <v/>
      </c>
      <c r="AP8" s="17">
        <f>SUMIF($CB$4:$JS$4,AP$4,$CB8:$JS8)</f>
        <v/>
      </c>
      <c r="AQ8" s="17">
        <f>SUMIF($CB$4:$JS$4,AQ$4,$CB8:$JS8)</f>
        <v/>
      </c>
      <c r="AR8" s="17">
        <f>SUMIF($CB$4:$JS$4,AR$4,$CB8:$JS8)</f>
        <v/>
      </c>
      <c r="AS8" s="17">
        <f>SUMIF($CB$4:$JS$4,AS$4,$CB8:$JS8)</f>
        <v/>
      </c>
      <c r="AT8" s="17">
        <f>SUMIF($CB$4:$JS$4,AT$4,$CB8:$JS8)</f>
        <v/>
      </c>
      <c r="AU8" s="17">
        <f>SUMIF($CB$4:$JS$4,AU$4,$CB8:$JS8)</f>
        <v/>
      </c>
      <c r="AV8" s="17">
        <f>SUMIF($CB$4:$JS$4,AV$4,$CB8:$JS8)</f>
        <v/>
      </c>
      <c r="AW8" s="17">
        <f>SUMIF($CB$4:$JS$4,AW$4,$CB8:$JS8)</f>
        <v/>
      </c>
      <c r="AX8" s="17">
        <f>SUMIF($CB$4:$JS$4,AX$4,$CB8:$JS8)</f>
        <v/>
      </c>
      <c r="AY8" s="17">
        <f>SUMIF($CB$4:$JS$4,AY$4,$CB8:$JS8)</f>
        <v/>
      </c>
      <c r="AZ8" s="17">
        <f>SUMIF($CB$4:$JS$4,AZ$4,$CB8:$JS8)</f>
        <v/>
      </c>
      <c r="BA8" s="17">
        <f>SUMIF($CB$4:$JS$4,BA$4,$CB8:$JS8)</f>
        <v/>
      </c>
      <c r="BB8" s="17">
        <f>SUMIF($CB$4:$JS$4,BB$4,$CB8:$JS8)</f>
        <v/>
      </c>
      <c r="BC8" s="17">
        <f>SUMIF($CB$4:$JS$4,BC$4,$CB8:$JS8)</f>
        <v/>
      </c>
      <c r="BD8" s="17">
        <f>SUMIF($CB$4:$JS$4,BD$4,$CB8:$JS8)</f>
        <v/>
      </c>
      <c r="BE8" s="17">
        <f>SUMIF($CB$4:$JS$4,BE$4,$CB8:$JS8)</f>
        <v/>
      </c>
      <c r="BF8" s="17">
        <f>SUMIF($CB$4:$JS$4,BF$4,$CB8:$JS8)</f>
        <v/>
      </c>
      <c r="BG8" s="17">
        <f>SUMIF($CB$4:$JS$4,BG$4,$CB8:$JS8)</f>
        <v/>
      </c>
      <c r="BH8" s="17">
        <f>SUMIF($CB$4:$JS$4,BH$4,$CB8:$JS8)</f>
        <v/>
      </c>
      <c r="BI8" s="17">
        <f>SUMIF($CB$4:$JS$4,BI$4,$CB8:$JS8)</f>
        <v/>
      </c>
      <c r="BJ8" s="17">
        <f>SUMIF($CB$4:$JS$4,BJ$4,$CB8:$JS8)</f>
        <v/>
      </c>
      <c r="BK8" s="17">
        <f>SUMIF($CB$4:$JS$4,BK$4,$CB8:$JS8)</f>
        <v/>
      </c>
      <c r="BL8" s="17">
        <f>SUMIF($CB$4:$JS$4,BL$4,$CB8:$JS8)</f>
        <v/>
      </c>
      <c r="BM8" s="17">
        <f>SUMIF($CB$4:$JS$4,BM$4,$CB8:$JS8)</f>
        <v/>
      </c>
      <c r="BN8" s="17">
        <f>SUMIF($CB$4:$JS$4,BN$4,$CB8:$JS8)</f>
        <v/>
      </c>
      <c r="BO8" s="17">
        <f>SUMIF($CB$4:$JS$4,BO$4,$CB8:$JS8)</f>
        <v/>
      </c>
      <c r="BP8" s="17">
        <f>SUMIF($CB$4:$JS$4,BP$4,$CB8:$JS8)</f>
        <v/>
      </c>
      <c r="BQ8" s="17">
        <f>SUMIF($CB$4:$JS$4,BQ$4,$CB8:$JS8)</f>
        <v/>
      </c>
      <c r="BR8" s="17">
        <f>SUMIF($CB$4:$JS$4,BR$4,$CB8:$JS8)</f>
        <v/>
      </c>
      <c r="BS8" s="17">
        <f>SUMIF($CB$4:$JS$4,BS$4,$CB8:$JS8)</f>
        <v/>
      </c>
      <c r="BT8" s="17">
        <f>SUMIF($CB$4:$JS$4,BT$4,$CB8:$JS8)</f>
        <v/>
      </c>
      <c r="BU8" s="17">
        <f>SUMIF($CB$4:$JS$4,BU$4,$CB8:$JS8)</f>
        <v/>
      </c>
      <c r="BV8" s="17">
        <f>SUMIF($CB$4:$JS$4,BV$4,$CB8:$JS8)</f>
        <v/>
      </c>
      <c r="BW8" s="17">
        <f>SUMIF($CB$4:$JS$4,BW$4,$CB8:$JS8)</f>
        <v/>
      </c>
      <c r="BX8" s="17">
        <f>SUMIF($CB$4:$JS$4,"&gt;"&amp;'VALOR POR PL'!$P$8,$CB8:$JS8)</f>
        <v/>
      </c>
      <c r="BY8" s="17">
        <f>SUM($CB8:$JS8)</f>
        <v/>
      </c>
      <c r="CB8" s="56">
        <f>IF(OR(CB$4="",$B8=""),0,SUMIF('DADOS BRUTOS'!$A$3:$A$500,$B8,'DADOS BRUTOS'!B$3:B$500)+IF($C8="",0,SUMIF('DADOS BRUTOS'!$A$3:$A$500,$C8,'DADOS BRUTOS'!B$3:B$500)))</f>
        <v/>
      </c>
      <c r="CC8" s="56">
        <f>IF(OR(CC$4="",$B8=""),0,SUMIF('DADOS BRUTOS'!$A$3:$A$500,$B8,'DADOS BRUTOS'!C$3:C$500)+IF($C8="",0,SUMIF('DADOS BRUTOS'!$A$3:$A$500,$C8,'DADOS BRUTOS'!C$3:C$500)))</f>
        <v/>
      </c>
      <c r="CD8" s="56">
        <f>IF(OR(CD$4="",$B8=""),0,SUMIF('DADOS BRUTOS'!$A$3:$A$500,$B8,'DADOS BRUTOS'!D$3:D$500)+IF($C8="",0,SUMIF('DADOS BRUTOS'!$A$3:$A$500,$C8,'DADOS BRUTOS'!D$3:D$500)))</f>
        <v/>
      </c>
      <c r="CE8" s="56">
        <f>IF(OR(CE$4="",$B8=""),0,SUMIF('DADOS BRUTOS'!$A$3:$A$500,$B8,'DADOS BRUTOS'!E$3:E$500)+IF($C8="",0,SUMIF('DADOS BRUTOS'!$A$3:$A$500,$C8,'DADOS BRUTOS'!E$3:E$500)))</f>
        <v/>
      </c>
      <c r="CF8" s="56">
        <f>IF(OR(CF$4="",$B8=""),0,SUMIF('DADOS BRUTOS'!$A$3:$A$500,$B8,'DADOS BRUTOS'!F$3:F$500)+IF($C8="",0,SUMIF('DADOS BRUTOS'!$A$3:$A$500,$C8,'DADOS BRUTOS'!F$3:F$500)))</f>
        <v/>
      </c>
      <c r="CG8" s="56">
        <f>IF(OR(CG$4="",$B8=""),0,SUMIF('DADOS BRUTOS'!$A$3:$A$500,$B8,'DADOS BRUTOS'!G$3:G$500)+IF($C8="",0,SUMIF('DADOS BRUTOS'!$A$3:$A$500,$C8,'DADOS BRUTOS'!G$3:G$500)))</f>
        <v/>
      </c>
      <c r="CH8" s="56">
        <f>IF(OR(CH$4="",$B8=""),0,SUMIF('DADOS BRUTOS'!$A$3:$A$500,$B8,'DADOS BRUTOS'!H$3:H$500)+IF($C8="",0,SUMIF('DADOS BRUTOS'!$A$3:$A$500,$C8,'DADOS BRUTOS'!H$3:H$500)))</f>
        <v/>
      </c>
      <c r="CI8" s="56">
        <f>IF(OR(CI$4="",$B8=""),0,SUMIF('DADOS BRUTOS'!$A$3:$A$500,$B8,'DADOS BRUTOS'!I$3:I$500)+IF($C8="",0,SUMIF('DADOS BRUTOS'!$A$3:$A$500,$C8,'DADOS BRUTOS'!I$3:I$500)))</f>
        <v/>
      </c>
      <c r="CJ8" s="56">
        <f>IF(OR(CJ$4="",$B8=""),0,SUMIF('DADOS BRUTOS'!$A$3:$A$500,$B8,'DADOS BRUTOS'!J$3:J$500)+IF($C8="",0,SUMIF('DADOS BRUTOS'!$A$3:$A$500,$C8,'DADOS BRUTOS'!J$3:J$500)))</f>
        <v/>
      </c>
      <c r="CK8" s="56">
        <f>IF(OR(CK$4="",$B8=""),0,SUMIF('DADOS BRUTOS'!$A$3:$A$500,$B8,'DADOS BRUTOS'!K$3:K$500)+IF($C8="",0,SUMIF('DADOS BRUTOS'!$A$3:$A$500,$C8,'DADOS BRUTOS'!K$3:K$500)))</f>
        <v/>
      </c>
      <c r="CL8" s="56">
        <f>IF(OR(CL$4="",$B8=""),0,SUMIF('DADOS BRUTOS'!$A$3:$A$500,$B8,'DADOS BRUTOS'!L$3:L$500)+IF($C8="",0,SUMIF('DADOS BRUTOS'!$A$3:$A$500,$C8,'DADOS BRUTOS'!L$3:L$500)))</f>
        <v/>
      </c>
      <c r="CM8" s="56">
        <f>IF(OR(CM$4="",$B8=""),0,SUMIF('DADOS BRUTOS'!$A$3:$A$500,$B8,'DADOS BRUTOS'!M$3:M$500)+IF($C8="",0,SUMIF('DADOS BRUTOS'!$A$3:$A$500,$C8,'DADOS BRUTOS'!M$3:M$500)))</f>
        <v/>
      </c>
      <c r="CN8" s="56">
        <f>IF(OR(CN$4="",$B8=""),0,SUMIF('DADOS BRUTOS'!$A$3:$A$500,$B8,'DADOS BRUTOS'!N$3:N$500)+IF($C8="",0,SUMIF('DADOS BRUTOS'!$A$3:$A$500,$C8,'DADOS BRUTOS'!N$3:N$500)))</f>
        <v/>
      </c>
      <c r="CO8" s="56">
        <f>IF(OR(CO$4="",$B8=""),0,SUMIF('DADOS BRUTOS'!$A$3:$A$500,$B8,'DADOS BRUTOS'!O$3:O$500)+IF($C8="",0,SUMIF('DADOS BRUTOS'!$A$3:$A$500,$C8,'DADOS BRUTOS'!O$3:O$500)))</f>
        <v/>
      </c>
      <c r="CP8" s="56">
        <f>IF(OR(CP$4="",$B8=""),0,SUMIF('DADOS BRUTOS'!$A$3:$A$500,$B8,'DADOS BRUTOS'!P$3:P$500)+IF($C8="",0,SUMIF('DADOS BRUTOS'!$A$3:$A$500,$C8,'DADOS BRUTOS'!P$3:P$500)))</f>
        <v/>
      </c>
      <c r="CQ8" s="56">
        <f>IF(OR(CQ$4="",$B8=""),0,SUMIF('DADOS BRUTOS'!$A$3:$A$500,$B8,'DADOS BRUTOS'!Q$3:Q$500)+IF($C8="",0,SUMIF('DADOS BRUTOS'!$A$3:$A$500,$C8,'DADOS BRUTOS'!Q$3:Q$500)))</f>
        <v/>
      </c>
      <c r="CR8" s="56">
        <f>IF(OR(CR$4="",$B8=""),0,SUMIF('DADOS BRUTOS'!$A$3:$A$500,$B8,'DADOS BRUTOS'!R$3:R$500)+IF($C8="",0,SUMIF('DADOS BRUTOS'!$A$3:$A$500,$C8,'DADOS BRUTOS'!R$3:R$500)))</f>
        <v/>
      </c>
      <c r="CS8" s="56">
        <f>IF(OR(CS$4="",$B8=""),0,SUMIF('DADOS BRUTOS'!$A$3:$A$500,$B8,'DADOS BRUTOS'!S$3:S$500)+IF($C8="",0,SUMIF('DADOS BRUTOS'!$A$3:$A$500,$C8,'DADOS BRUTOS'!S$3:S$500)))</f>
        <v/>
      </c>
      <c r="CT8" s="56">
        <f>IF(OR(CT$4="",$B8=""),0,SUMIF('DADOS BRUTOS'!$A$3:$A$500,$B8,'DADOS BRUTOS'!T$3:T$500)+IF($C8="",0,SUMIF('DADOS BRUTOS'!$A$3:$A$500,$C8,'DADOS BRUTOS'!T$3:T$500)))</f>
        <v/>
      </c>
      <c r="CU8" s="56">
        <f>IF(OR(CU$4="",$B8=""),0,SUMIF('DADOS BRUTOS'!$A$3:$A$500,$B8,'DADOS BRUTOS'!U$3:U$500)+IF($C8="",0,SUMIF('DADOS BRUTOS'!$A$3:$A$500,$C8,'DADOS BRUTOS'!U$3:U$500)))</f>
        <v/>
      </c>
      <c r="CV8" s="56">
        <f>IF(OR(CV$4="",$B8=""),0,SUMIF('DADOS BRUTOS'!$A$3:$A$500,$B8,'DADOS BRUTOS'!V$3:V$500)+IF($C8="",0,SUMIF('DADOS BRUTOS'!$A$3:$A$500,$C8,'DADOS BRUTOS'!V$3:V$500)))</f>
        <v/>
      </c>
      <c r="CW8" s="56">
        <f>IF(OR(CW$4="",$B8=""),0,SUMIF('DADOS BRUTOS'!$A$3:$A$500,$B8,'DADOS BRUTOS'!W$3:W$500)+IF($C8="",0,SUMIF('DADOS BRUTOS'!$A$3:$A$500,$C8,'DADOS BRUTOS'!W$3:W$500)))</f>
        <v/>
      </c>
      <c r="CX8" s="56">
        <f>IF(OR(CX$4="",$B8=""),0,SUMIF('DADOS BRUTOS'!$A$3:$A$500,$B8,'DADOS BRUTOS'!X$3:X$500)+IF($C8="",0,SUMIF('DADOS BRUTOS'!$A$3:$A$500,$C8,'DADOS BRUTOS'!X$3:X$500)))</f>
        <v/>
      </c>
      <c r="CY8" s="56">
        <f>IF(OR(CY$4="",$B8=""),0,SUMIF('DADOS BRUTOS'!$A$3:$A$500,$B8,'DADOS BRUTOS'!Y$3:Y$500)+IF($C8="",0,SUMIF('DADOS BRUTOS'!$A$3:$A$500,$C8,'DADOS BRUTOS'!Y$3:Y$500)))</f>
        <v/>
      </c>
      <c r="CZ8" s="56">
        <f>IF(OR(CZ$4="",$B8=""),0,SUMIF('DADOS BRUTOS'!$A$3:$A$500,$B8,'DADOS BRUTOS'!Z$3:Z$500)+IF($C8="",0,SUMIF('DADOS BRUTOS'!$A$3:$A$500,$C8,'DADOS BRUTOS'!Z$3:Z$500)))</f>
        <v/>
      </c>
      <c r="DA8" s="56">
        <f>IF(OR(DA$4="",$B8=""),0,SUMIF('DADOS BRUTOS'!$A$3:$A$500,$B8,'DADOS BRUTOS'!AA$3:AA$500)+IF($C8="",0,SUMIF('DADOS BRUTOS'!$A$3:$A$500,$C8,'DADOS BRUTOS'!AA$3:AA$500)))</f>
        <v/>
      </c>
      <c r="DB8" s="56">
        <f>IF(OR(DB$4="",$B8=""),0,SUMIF('DADOS BRUTOS'!$A$3:$A$500,$B8,'DADOS BRUTOS'!AB$3:AB$500)+IF($C8="",0,SUMIF('DADOS BRUTOS'!$A$3:$A$500,$C8,'DADOS BRUTOS'!AB$3:AB$500)))</f>
        <v/>
      </c>
      <c r="DC8" s="56">
        <f>IF(OR(DC$4="",$B8=""),0,SUMIF('DADOS BRUTOS'!$A$3:$A$500,$B8,'DADOS BRUTOS'!AC$3:AC$500)+IF($C8="",0,SUMIF('DADOS BRUTOS'!$A$3:$A$500,$C8,'DADOS BRUTOS'!AC$3:AC$500)))</f>
        <v/>
      </c>
      <c r="DD8" s="56">
        <f>IF(OR(DD$4="",$B8=""),0,SUMIF('DADOS BRUTOS'!$A$3:$A$500,$B8,'DADOS BRUTOS'!AD$3:AD$500)+IF($C8="",0,SUMIF('DADOS BRUTOS'!$A$3:$A$500,$C8,'DADOS BRUTOS'!AD$3:AD$500)))</f>
        <v/>
      </c>
      <c r="DE8" s="56">
        <f>IF(OR(DE$4="",$B8=""),0,SUMIF('DADOS BRUTOS'!$A$3:$A$500,$B8,'DADOS BRUTOS'!AE$3:AE$500)+IF($C8="",0,SUMIF('DADOS BRUTOS'!$A$3:$A$500,$C8,'DADOS BRUTOS'!AE$3:AE$500)))</f>
        <v/>
      </c>
      <c r="DF8" s="56">
        <f>IF(OR(DF$4="",$B8=""),0,SUMIF('DADOS BRUTOS'!$A$3:$A$500,$B8,'DADOS BRUTOS'!AF$3:AF$500)+IF($C8="",0,SUMIF('DADOS BRUTOS'!$A$3:$A$500,$C8,'DADOS BRUTOS'!AF$3:AF$500)))</f>
        <v/>
      </c>
      <c r="DG8" s="56">
        <f>IF(OR(DG$4="",$B8=""),0,SUMIF('DADOS BRUTOS'!$A$3:$A$500,$B8,'DADOS BRUTOS'!AG$3:AG$500)+IF($C8="",0,SUMIF('DADOS BRUTOS'!$A$3:$A$500,$C8,'DADOS BRUTOS'!AG$3:AG$500)))</f>
        <v/>
      </c>
      <c r="DH8" s="56">
        <f>IF(OR(DH$4="",$B8=""),0,SUMIF('DADOS BRUTOS'!$A$3:$A$500,$B8,'DADOS BRUTOS'!AH$3:AH$500)+IF($C8="",0,SUMIF('DADOS BRUTOS'!$A$3:$A$500,$C8,'DADOS BRUTOS'!AH$3:AH$500)))</f>
        <v/>
      </c>
      <c r="DI8" s="56">
        <f>IF(OR(DI$4="",$B8=""),0,SUMIF('DADOS BRUTOS'!$A$3:$A$500,$B8,'DADOS BRUTOS'!AI$3:AI$500)+IF($C8="",0,SUMIF('DADOS BRUTOS'!$A$3:$A$500,$C8,'DADOS BRUTOS'!AI$3:AI$500)))</f>
        <v/>
      </c>
      <c r="DJ8" s="56">
        <f>IF(OR(DJ$4="",$B8=""),0,SUMIF('DADOS BRUTOS'!$A$3:$A$500,$B8,'DADOS BRUTOS'!AJ$3:AJ$500)+IF($C8="",0,SUMIF('DADOS BRUTOS'!$A$3:$A$500,$C8,'DADOS BRUTOS'!AJ$3:AJ$500)))</f>
        <v/>
      </c>
      <c r="DK8" s="56">
        <f>IF(OR(DK$4="",$B8=""),0,SUMIF('DADOS BRUTOS'!$A$3:$A$500,$B8,'DADOS BRUTOS'!AK$3:AK$500)+IF($C8="",0,SUMIF('DADOS BRUTOS'!$A$3:$A$500,$C8,'DADOS BRUTOS'!AK$3:AK$500)))</f>
        <v/>
      </c>
      <c r="DL8" s="56">
        <f>IF(OR(DL$4="",$B8=""),0,SUMIF('DADOS BRUTOS'!$A$3:$A$500,$B8,'DADOS BRUTOS'!AL$3:AL$500)+IF($C8="",0,SUMIF('DADOS BRUTOS'!$A$3:$A$500,$C8,'DADOS BRUTOS'!AL$3:AL$500)))</f>
        <v/>
      </c>
      <c r="DM8" s="56">
        <f>IF(OR(DM$4="",$B8=""),0,SUMIF('DADOS BRUTOS'!$A$3:$A$500,$B8,'DADOS BRUTOS'!AM$3:AM$500)+IF($C8="",0,SUMIF('DADOS BRUTOS'!$A$3:$A$500,$C8,'DADOS BRUTOS'!AM$3:AM$500)))</f>
        <v/>
      </c>
      <c r="DN8" s="56">
        <f>IF(OR(DN$4="",$B8=""),0,SUMIF('DADOS BRUTOS'!$A$3:$A$500,$B8,'DADOS BRUTOS'!AN$3:AN$500)+IF($C8="",0,SUMIF('DADOS BRUTOS'!$A$3:$A$500,$C8,'DADOS BRUTOS'!AN$3:AN$500)))</f>
        <v/>
      </c>
      <c r="DO8" s="56">
        <f>IF(OR(DO$4="",$B8=""),0,SUMIF('DADOS BRUTOS'!$A$3:$A$500,$B8,'DADOS BRUTOS'!AO$3:AO$500)+IF($C8="",0,SUMIF('DADOS BRUTOS'!$A$3:$A$500,$C8,'DADOS BRUTOS'!AO$3:AO$500)))</f>
        <v/>
      </c>
      <c r="DP8" s="56">
        <f>IF(OR(DP$4="",$B8=""),0,SUMIF('DADOS BRUTOS'!$A$3:$A$500,$B8,'DADOS BRUTOS'!AP$3:AP$500)+IF($C8="",0,SUMIF('DADOS BRUTOS'!$A$3:$A$500,$C8,'DADOS BRUTOS'!AP$3:AP$500)))</f>
        <v/>
      </c>
      <c r="DQ8" s="56">
        <f>IF(OR(DQ$4="",$B8=""),0,SUMIF('DADOS BRUTOS'!$A$3:$A$500,$B8,'DADOS BRUTOS'!AQ$3:AQ$500)+IF($C8="",0,SUMIF('DADOS BRUTOS'!$A$3:$A$500,$C8,'DADOS BRUTOS'!AQ$3:AQ$500)))</f>
        <v/>
      </c>
      <c r="DR8" s="56">
        <f>IF(OR(DR$4="",$B8=""),0,SUMIF('DADOS BRUTOS'!$A$3:$A$500,$B8,'DADOS BRUTOS'!AR$3:AR$500)+IF($C8="",0,SUMIF('DADOS BRUTOS'!$A$3:$A$500,$C8,'DADOS BRUTOS'!AR$3:AR$500)))</f>
        <v/>
      </c>
      <c r="DS8" s="56">
        <f>IF(OR(DS$4="",$B8=""),0,SUMIF('DADOS BRUTOS'!$A$3:$A$500,$B8,'DADOS BRUTOS'!AS$3:AS$500)+IF($C8="",0,SUMIF('DADOS BRUTOS'!$A$3:$A$500,$C8,'DADOS BRUTOS'!AS$3:AS$500)))</f>
        <v/>
      </c>
      <c r="DT8" s="56">
        <f>IF(OR(DT$4="",$B8=""),0,SUMIF('DADOS BRUTOS'!$A$3:$A$500,$B8,'DADOS BRUTOS'!AT$3:AT$500)+IF($C8="",0,SUMIF('DADOS BRUTOS'!$A$3:$A$500,$C8,'DADOS BRUTOS'!AT$3:AT$500)))</f>
        <v/>
      </c>
      <c r="DU8" s="56">
        <f>IF(OR(DU$4="",$B8=""),0,SUMIF('DADOS BRUTOS'!$A$3:$A$500,$B8,'DADOS BRUTOS'!AU$3:AU$500)+IF($C8="",0,SUMIF('DADOS BRUTOS'!$A$3:$A$500,$C8,'DADOS BRUTOS'!AU$3:AU$500)))</f>
        <v/>
      </c>
      <c r="DV8" s="56">
        <f>IF(OR(DV$4="",$B8=""),0,SUMIF('DADOS BRUTOS'!$A$3:$A$500,$B8,'DADOS BRUTOS'!AV$3:AV$500)+IF($C8="",0,SUMIF('DADOS BRUTOS'!$A$3:$A$500,$C8,'DADOS BRUTOS'!AV$3:AV$500)))</f>
        <v/>
      </c>
      <c r="DW8" s="56">
        <f>IF(OR(DW$4="",$B8=""),0,SUMIF('DADOS BRUTOS'!$A$3:$A$500,$B8,'DADOS BRUTOS'!AW$3:AW$500)+IF($C8="",0,SUMIF('DADOS BRUTOS'!$A$3:$A$500,$C8,'DADOS BRUTOS'!AW$3:AW$500)))</f>
        <v/>
      </c>
      <c r="DX8" s="56">
        <f>IF(OR(DX$4="",$B8=""),0,SUMIF('DADOS BRUTOS'!$A$3:$A$500,$B8,'DADOS BRUTOS'!AX$3:AX$500)+IF($C8="",0,SUMIF('DADOS BRUTOS'!$A$3:$A$500,$C8,'DADOS BRUTOS'!AX$3:AX$500)))</f>
        <v/>
      </c>
      <c r="DY8" s="56">
        <f>IF(OR(DY$4="",$B8=""),0,SUMIF('DADOS BRUTOS'!$A$3:$A$500,$B8,'DADOS BRUTOS'!AY$3:AY$500)+IF($C8="",0,SUMIF('DADOS BRUTOS'!$A$3:$A$500,$C8,'DADOS BRUTOS'!AY$3:AY$500)))</f>
        <v/>
      </c>
      <c r="DZ8" s="56">
        <f>IF(OR(DZ$4="",$B8=""),0,SUMIF('DADOS BRUTOS'!$A$3:$A$500,$B8,'DADOS BRUTOS'!AZ$3:AZ$500)+IF($C8="",0,SUMIF('DADOS BRUTOS'!$A$3:$A$500,$C8,'DADOS BRUTOS'!AZ$3:AZ$500)))</f>
        <v/>
      </c>
      <c r="EA8" s="56">
        <f>IF(OR(EA$4="",$B8=""),0,SUMIF('DADOS BRUTOS'!$A$3:$A$500,$B8,'DADOS BRUTOS'!BA$3:BA$500)+IF($C8="",0,SUMIF('DADOS BRUTOS'!$A$3:$A$500,$C8,'DADOS BRUTOS'!BA$3:BA$500)))</f>
        <v/>
      </c>
      <c r="EB8" s="56">
        <f>IF(OR(EB$4="",$B8=""),0,SUMIF('DADOS BRUTOS'!$A$3:$A$500,$B8,'DADOS BRUTOS'!BB$3:BB$500)+IF($C8="",0,SUMIF('DADOS BRUTOS'!$A$3:$A$500,$C8,'DADOS BRUTOS'!BB$3:BB$500)))</f>
        <v/>
      </c>
      <c r="EC8" s="56">
        <f>IF(OR(EC$4="",$B8=""),0,SUMIF('DADOS BRUTOS'!$A$3:$A$500,$B8,'DADOS BRUTOS'!BC$3:BC$500)+IF($C8="",0,SUMIF('DADOS BRUTOS'!$A$3:$A$500,$C8,'DADOS BRUTOS'!BC$3:BC$500)))</f>
        <v/>
      </c>
      <c r="ED8" s="56">
        <f>IF(OR(ED$4="",$B8=""),0,SUMIF('DADOS BRUTOS'!$A$3:$A$500,$B8,'DADOS BRUTOS'!BD$3:BD$500)+IF($C8="",0,SUMIF('DADOS BRUTOS'!$A$3:$A$500,$C8,'DADOS BRUTOS'!BD$3:BD$500)))</f>
        <v/>
      </c>
      <c r="EE8" s="56">
        <f>IF(OR(EE$4="",$B8=""),0,SUMIF('DADOS BRUTOS'!$A$3:$A$500,$B8,'DADOS BRUTOS'!BE$3:BE$500)+IF($C8="",0,SUMIF('DADOS BRUTOS'!$A$3:$A$500,$C8,'DADOS BRUTOS'!BE$3:BE$500)))</f>
        <v/>
      </c>
      <c r="EF8" s="56">
        <f>IF(OR(EF$4="",$B8=""),0,SUMIF('DADOS BRUTOS'!$A$3:$A$500,$B8,'DADOS BRUTOS'!BF$3:BF$500)+IF($C8="",0,SUMIF('DADOS BRUTOS'!$A$3:$A$500,$C8,'DADOS BRUTOS'!BF$3:BF$500)))</f>
        <v/>
      </c>
      <c r="EG8" s="56">
        <f>IF(OR(EG$4="",$B8=""),0,SUMIF('DADOS BRUTOS'!$A$3:$A$500,$B8,'DADOS BRUTOS'!BG$3:BG$500)+IF($C8="",0,SUMIF('DADOS BRUTOS'!$A$3:$A$500,$C8,'DADOS BRUTOS'!BG$3:BG$500)))</f>
        <v/>
      </c>
      <c r="EH8" s="56">
        <f>IF(OR(EH$4="",$B8=""),0,SUMIF('DADOS BRUTOS'!$A$3:$A$500,$B8,'DADOS BRUTOS'!BH$3:BH$500)+IF($C8="",0,SUMIF('DADOS BRUTOS'!$A$3:$A$500,$C8,'DADOS BRUTOS'!BH$3:BH$500)))</f>
        <v/>
      </c>
      <c r="EI8" s="56">
        <f>IF(OR(EI$4="",$B8=""),0,SUMIF('DADOS BRUTOS'!$A$3:$A$500,$B8,'DADOS BRUTOS'!BI$3:BI$500)+IF($C8="",0,SUMIF('DADOS BRUTOS'!$A$3:$A$500,$C8,'DADOS BRUTOS'!BI$3:BI$500)))</f>
        <v/>
      </c>
      <c r="EJ8" s="56">
        <f>IF(OR(EJ$4="",$B8=""),0,SUMIF('DADOS BRUTOS'!$A$3:$A$500,$B8,'DADOS BRUTOS'!BJ$3:BJ$500)+IF($C8="",0,SUMIF('DADOS BRUTOS'!$A$3:$A$500,$C8,'DADOS BRUTOS'!BJ$3:BJ$500)))</f>
        <v/>
      </c>
      <c r="EK8" s="56">
        <f>IF(OR(EK$4="",$B8=""),0,SUMIF('DADOS BRUTOS'!$A$3:$A$500,$B8,'DADOS BRUTOS'!BK$3:BK$500)+IF($C8="",0,SUMIF('DADOS BRUTOS'!$A$3:$A$500,$C8,'DADOS BRUTOS'!BK$3:BK$500)))</f>
        <v/>
      </c>
      <c r="EL8" s="56">
        <f>IF(OR(EL$4="",$B8=""),0,SUMIF('DADOS BRUTOS'!$A$3:$A$500,$B8,'DADOS BRUTOS'!BL$3:BL$500)+IF($C8="",0,SUMIF('DADOS BRUTOS'!$A$3:$A$500,$C8,'DADOS BRUTOS'!BL$3:BL$500)))</f>
        <v/>
      </c>
      <c r="EM8" s="56">
        <f>IF(OR(EM$4="",$B8=""),0,SUMIF('DADOS BRUTOS'!$A$3:$A$500,$B8,'DADOS BRUTOS'!BM$3:BM$500)+IF($C8="",0,SUMIF('DADOS BRUTOS'!$A$3:$A$500,$C8,'DADOS BRUTOS'!BM$3:BM$500)))</f>
        <v/>
      </c>
      <c r="EN8" s="56">
        <f>IF(OR(EN$4="",$B8=""),0,SUMIF('DADOS BRUTOS'!$A$3:$A$500,$B8,'DADOS BRUTOS'!BN$3:BN$500)+IF($C8="",0,SUMIF('DADOS BRUTOS'!$A$3:$A$500,$C8,'DADOS BRUTOS'!BN$3:BN$500)))</f>
        <v/>
      </c>
      <c r="EO8" s="56">
        <f>IF(OR(EO$4="",$B8=""),0,SUMIF('DADOS BRUTOS'!$A$3:$A$500,$B8,'DADOS BRUTOS'!BO$3:BO$500)+IF($C8="",0,SUMIF('DADOS BRUTOS'!$A$3:$A$500,$C8,'DADOS BRUTOS'!BO$3:BO$500)))</f>
        <v/>
      </c>
      <c r="EP8" s="56">
        <f>IF(OR(EP$4="",$B8=""),0,SUMIF('DADOS BRUTOS'!$A$3:$A$500,$B8,'DADOS BRUTOS'!BP$3:BP$500)+IF($C8="",0,SUMIF('DADOS BRUTOS'!$A$3:$A$500,$C8,'DADOS BRUTOS'!BP$3:BP$500)))</f>
        <v/>
      </c>
      <c r="EQ8" s="56">
        <f>IF(OR(EQ$4="",$B8=""),0,SUMIF('DADOS BRUTOS'!$A$3:$A$500,$B8,'DADOS BRUTOS'!BQ$3:BQ$500)+IF($C8="",0,SUMIF('DADOS BRUTOS'!$A$3:$A$500,$C8,'DADOS BRUTOS'!BQ$3:BQ$500)))</f>
        <v/>
      </c>
      <c r="ER8" s="56">
        <f>IF(OR(ER$4="",$B8=""),0,SUMIF('DADOS BRUTOS'!$A$3:$A$500,$B8,'DADOS BRUTOS'!BR$3:BR$500)+IF($C8="",0,SUMIF('DADOS BRUTOS'!$A$3:$A$500,$C8,'DADOS BRUTOS'!BR$3:BR$500)))</f>
        <v/>
      </c>
      <c r="ES8" s="56">
        <f>IF(OR(ES$4="",$B8=""),0,SUMIF('DADOS BRUTOS'!$A$3:$A$500,$B8,'DADOS BRUTOS'!BS$3:BS$500)+IF($C8="",0,SUMIF('DADOS BRUTOS'!$A$3:$A$500,$C8,'DADOS BRUTOS'!BS$3:BS$500)))</f>
        <v/>
      </c>
      <c r="ET8" s="56">
        <f>IF(OR(ET$4="",$B8=""),0,SUMIF('DADOS BRUTOS'!$A$3:$A$500,$B8,'DADOS BRUTOS'!BT$3:BT$500)+IF($C8="",0,SUMIF('DADOS BRUTOS'!$A$3:$A$500,$C8,'DADOS BRUTOS'!BT$3:BT$500)))</f>
        <v/>
      </c>
      <c r="EU8" s="56">
        <f>IF(OR(EU$4="",$B8=""),0,SUMIF('DADOS BRUTOS'!$A$3:$A$500,$B8,'DADOS BRUTOS'!BU$3:BU$500)+IF($C8="",0,SUMIF('DADOS BRUTOS'!$A$3:$A$500,$C8,'DADOS BRUTOS'!BU$3:BU$500)))</f>
        <v/>
      </c>
      <c r="EV8" s="56">
        <f>IF(OR(EV$4="",$B8=""),0,SUMIF('DADOS BRUTOS'!$A$3:$A$500,$B8,'DADOS BRUTOS'!BV$3:BV$500)+IF($C8="",0,SUMIF('DADOS BRUTOS'!$A$3:$A$500,$C8,'DADOS BRUTOS'!BV$3:BV$500)))</f>
        <v/>
      </c>
      <c r="EW8" s="56">
        <f>IF(OR(EW$4="",$B8=""),0,SUMIF('DADOS BRUTOS'!$A$3:$A$500,$B8,'DADOS BRUTOS'!BW$3:BW$500)+IF($C8="",0,SUMIF('DADOS BRUTOS'!$A$3:$A$500,$C8,'DADOS BRUTOS'!BW$3:BW$500)))</f>
        <v/>
      </c>
      <c r="EX8" s="56">
        <f>IF(OR(EX$4="",$B8=""),0,SUMIF('DADOS BRUTOS'!$A$3:$A$500,$B8,'DADOS BRUTOS'!BX$3:BX$500)+IF($C8="",0,SUMIF('DADOS BRUTOS'!$A$3:$A$500,$C8,'DADOS BRUTOS'!BX$3:BX$500)))</f>
        <v/>
      </c>
      <c r="EY8" s="56">
        <f>IF(OR(EY$4="",$B8=""),0,SUMIF('DADOS BRUTOS'!$A$3:$A$500,$B8,'DADOS BRUTOS'!BY$3:BY$500)+IF($C8="",0,SUMIF('DADOS BRUTOS'!$A$3:$A$500,$C8,'DADOS BRUTOS'!BY$3:BY$500)))</f>
        <v/>
      </c>
      <c r="EZ8" s="56">
        <f>IF(OR(EZ$4="",$B8=""),0,SUMIF('DADOS BRUTOS'!$A$3:$A$500,$B8,'DADOS BRUTOS'!BZ$3:BZ$500)+IF($C8="",0,SUMIF('DADOS BRUTOS'!$A$3:$A$500,$C8,'DADOS BRUTOS'!BZ$3:BZ$500)))</f>
        <v/>
      </c>
      <c r="FA8" s="56">
        <f>IF(OR(FA$4="",$B8=""),0,SUMIF('DADOS BRUTOS'!$A$3:$A$500,$B8,'DADOS BRUTOS'!CA$3:CA$500)+IF($C8="",0,SUMIF('DADOS BRUTOS'!$A$3:$A$500,$C8,'DADOS BRUTOS'!CA$3:CA$500)))</f>
        <v/>
      </c>
      <c r="FB8" s="56">
        <f>IF(OR(FB$4="",$B8=""),0,SUMIF('DADOS BRUTOS'!$A$3:$A$500,$B8,'DADOS BRUTOS'!CB$3:CB$500)+IF($C8="",0,SUMIF('DADOS BRUTOS'!$A$3:$A$500,$C8,'DADOS BRUTOS'!CB$3:CB$500)))</f>
        <v/>
      </c>
      <c r="FC8" s="56">
        <f>IF(OR(FC$4="",$B8=""),0,SUMIF('DADOS BRUTOS'!$A$3:$A$500,$B8,'DADOS BRUTOS'!CC$3:CC$500)+IF($C8="",0,SUMIF('DADOS BRUTOS'!$A$3:$A$500,$C8,'DADOS BRUTOS'!CC$3:CC$500)))</f>
        <v/>
      </c>
      <c r="FD8" s="56">
        <f>IF(OR(FD$4="",$B8=""),0,SUMIF('DADOS BRUTOS'!$A$3:$A$500,$B8,'DADOS BRUTOS'!CD$3:CD$500)+IF($C8="",0,SUMIF('DADOS BRUTOS'!$A$3:$A$500,$C8,'DADOS BRUTOS'!CD$3:CD$500)))</f>
        <v/>
      </c>
      <c r="FE8" s="56">
        <f>IF(OR(FE$4="",$B8=""),0,SUMIF('DADOS BRUTOS'!$A$3:$A$500,$B8,'DADOS BRUTOS'!CE$3:CE$500)+IF($C8="",0,SUMIF('DADOS BRUTOS'!$A$3:$A$500,$C8,'DADOS BRUTOS'!CE$3:CE$500)))</f>
        <v/>
      </c>
      <c r="FF8" s="56">
        <f>IF(OR(FF$4="",$B8=""),0,SUMIF('DADOS BRUTOS'!$A$3:$A$500,$B8,'DADOS BRUTOS'!CF$3:CF$500)+IF($C8="",0,SUMIF('DADOS BRUTOS'!$A$3:$A$500,$C8,'DADOS BRUTOS'!CF$3:CF$500)))</f>
        <v/>
      </c>
      <c r="FG8" s="56">
        <f>IF(OR(FG$4="",$B8=""),0,SUMIF('DADOS BRUTOS'!$A$3:$A$500,$B8,'DADOS BRUTOS'!CG$3:CG$500)+IF($C8="",0,SUMIF('DADOS BRUTOS'!$A$3:$A$500,$C8,'DADOS BRUTOS'!CG$3:CG$500)))</f>
        <v/>
      </c>
      <c r="FH8" s="56">
        <f>IF(OR(FH$4="",$B8=""),0,SUMIF('DADOS BRUTOS'!$A$3:$A$500,$B8,'DADOS BRUTOS'!CH$3:CH$500)+IF($C8="",0,SUMIF('DADOS BRUTOS'!$A$3:$A$500,$C8,'DADOS BRUTOS'!CH$3:CH$500)))</f>
        <v/>
      </c>
      <c r="FI8" s="56">
        <f>IF(OR(FI$4="",$B8=""),0,SUMIF('DADOS BRUTOS'!$A$3:$A$500,$B8,'DADOS BRUTOS'!CI$3:CI$500)+IF($C8="",0,SUMIF('DADOS BRUTOS'!$A$3:$A$500,$C8,'DADOS BRUTOS'!CI$3:CI$500)))</f>
        <v/>
      </c>
      <c r="FJ8" s="56">
        <f>IF(OR(FJ$4="",$B8=""),0,SUMIF('DADOS BRUTOS'!$A$3:$A$500,$B8,'DADOS BRUTOS'!CJ$3:CJ$500)+IF($C8="",0,SUMIF('DADOS BRUTOS'!$A$3:$A$500,$C8,'DADOS BRUTOS'!CJ$3:CJ$500)))</f>
        <v/>
      </c>
      <c r="FK8" s="56">
        <f>IF(OR(FK$4="",$B8=""),0,SUMIF('DADOS BRUTOS'!$A$3:$A$500,$B8,'DADOS BRUTOS'!CK$3:CK$500)+IF($C8="",0,SUMIF('DADOS BRUTOS'!$A$3:$A$500,$C8,'DADOS BRUTOS'!CK$3:CK$500)))</f>
        <v/>
      </c>
      <c r="FL8" s="56">
        <f>IF(OR(FL$4="",$B8=""),0,SUMIF('DADOS BRUTOS'!$A$3:$A$500,$B8,'DADOS BRUTOS'!CL$3:CL$500)+IF($C8="",0,SUMIF('DADOS BRUTOS'!$A$3:$A$500,$C8,'DADOS BRUTOS'!CL$3:CL$500)))</f>
        <v/>
      </c>
      <c r="FM8" s="56">
        <f>IF(OR(FM$4="",$B8=""),0,SUMIF('DADOS BRUTOS'!$A$3:$A$500,$B8,'DADOS BRUTOS'!CM$3:CM$500)+IF($C8="",0,SUMIF('DADOS BRUTOS'!$A$3:$A$500,$C8,'DADOS BRUTOS'!CM$3:CM$500)))</f>
        <v/>
      </c>
      <c r="FN8" s="56">
        <f>IF(OR(FN$4="",$B8=""),0,SUMIF('DADOS BRUTOS'!$A$3:$A$500,$B8,'DADOS BRUTOS'!CN$3:CN$500)+IF($C8="",0,SUMIF('DADOS BRUTOS'!$A$3:$A$500,$C8,'DADOS BRUTOS'!CN$3:CN$500)))</f>
        <v/>
      </c>
      <c r="FO8" s="56">
        <f>IF(OR(FO$4="",$B8=""),0,SUMIF('DADOS BRUTOS'!$A$3:$A$500,$B8,'DADOS BRUTOS'!CO$3:CO$500)+IF($C8="",0,SUMIF('DADOS BRUTOS'!$A$3:$A$500,$C8,'DADOS BRUTOS'!CO$3:CO$500)))</f>
        <v/>
      </c>
      <c r="FP8" s="56">
        <f>IF(OR(FP$4="",$B8=""),0,SUMIF('DADOS BRUTOS'!$A$3:$A$500,$B8,'DADOS BRUTOS'!CP$3:CP$500)+IF($C8="",0,SUMIF('DADOS BRUTOS'!$A$3:$A$500,$C8,'DADOS BRUTOS'!CP$3:CP$500)))</f>
        <v/>
      </c>
      <c r="FQ8" s="56">
        <f>IF(OR(FQ$4="",$B8=""),0,SUMIF('DADOS BRUTOS'!$A$3:$A$500,$B8,'DADOS BRUTOS'!CQ$3:CQ$500)+IF($C8="",0,SUMIF('DADOS BRUTOS'!$A$3:$A$500,$C8,'DADOS BRUTOS'!CQ$3:CQ$500)))</f>
        <v/>
      </c>
      <c r="FR8" s="56">
        <f>IF(OR(FR$4="",$B8=""),0,SUMIF('DADOS BRUTOS'!$A$3:$A$500,$B8,'DADOS BRUTOS'!CR$3:CR$500)+IF($C8="",0,SUMIF('DADOS BRUTOS'!$A$3:$A$500,$C8,'DADOS BRUTOS'!CR$3:CR$500)))</f>
        <v/>
      </c>
      <c r="FS8" s="56">
        <f>IF(OR(FS$4="",$B8=""),0,SUMIF('DADOS BRUTOS'!$A$3:$A$500,$B8,'DADOS BRUTOS'!CS$3:CS$500)+IF($C8="",0,SUMIF('DADOS BRUTOS'!$A$3:$A$500,$C8,'DADOS BRUTOS'!CS$3:CS$500)))</f>
        <v/>
      </c>
      <c r="FT8" s="56">
        <f>IF(OR(FT$4="",$B8=""),0,SUMIF('DADOS BRUTOS'!$A$3:$A$500,$B8,'DADOS BRUTOS'!CT$3:CT$500)+IF($C8="",0,SUMIF('DADOS BRUTOS'!$A$3:$A$500,$C8,'DADOS BRUTOS'!CT$3:CT$500)))</f>
        <v/>
      </c>
      <c r="FU8" s="56">
        <f>IF(OR(FU$4="",$B8=""),0,SUMIF('DADOS BRUTOS'!$A$3:$A$500,$B8,'DADOS BRUTOS'!CU$3:CU$500)+IF($C8="",0,SUMIF('DADOS BRUTOS'!$A$3:$A$500,$C8,'DADOS BRUTOS'!CU$3:CU$500)))</f>
        <v/>
      </c>
      <c r="FV8" s="56">
        <f>IF(OR(FV$4="",$B8=""),0,SUMIF('DADOS BRUTOS'!$A$3:$A$500,$B8,'DADOS BRUTOS'!CV$3:CV$500)+IF($C8="",0,SUMIF('DADOS BRUTOS'!$A$3:$A$500,$C8,'DADOS BRUTOS'!CV$3:CV$500)))</f>
        <v/>
      </c>
      <c r="FW8" s="56">
        <f>IF(OR(FW$4="",$B8=""),0,SUMIF('DADOS BRUTOS'!$A$3:$A$500,$B8,'DADOS BRUTOS'!CW$3:CW$500)+IF($C8="",0,SUMIF('DADOS BRUTOS'!$A$3:$A$500,$C8,'DADOS BRUTOS'!CW$3:CW$500)))</f>
        <v/>
      </c>
      <c r="FX8" s="56">
        <f>IF(OR(FX$4="",$B8=""),0,SUMIF('DADOS BRUTOS'!$A$3:$A$500,$B8,'DADOS BRUTOS'!CX$3:CX$500)+IF($C8="",0,SUMIF('DADOS BRUTOS'!$A$3:$A$500,$C8,'DADOS BRUTOS'!CX$3:CX$500)))</f>
        <v/>
      </c>
      <c r="FY8" s="56">
        <f>IF(OR(FY$4="",$B8=""),0,SUMIF('DADOS BRUTOS'!$A$3:$A$500,$B8,'DADOS BRUTOS'!CY$3:CY$500)+IF($C8="",0,SUMIF('DADOS BRUTOS'!$A$3:$A$500,$C8,'DADOS BRUTOS'!CY$3:CY$500)))</f>
        <v/>
      </c>
      <c r="FZ8" s="56">
        <f>IF(OR(FZ$4="",$B8=""),0,SUMIF('DADOS BRUTOS'!$A$3:$A$500,$B8,'DADOS BRUTOS'!CZ$3:CZ$500)+IF($C8="",0,SUMIF('DADOS BRUTOS'!$A$3:$A$500,$C8,'DADOS BRUTOS'!CZ$3:CZ$500)))</f>
        <v/>
      </c>
      <c r="GA8" s="56">
        <f>IF(OR(GA$4="",$B8=""),0,SUMIF('DADOS BRUTOS'!$A$3:$A$500,$B8,'DADOS BRUTOS'!DA$3:DA$500)+IF($C8="",0,SUMIF('DADOS BRUTOS'!$A$3:$A$500,$C8,'DADOS BRUTOS'!DA$3:DA$500)))</f>
        <v/>
      </c>
      <c r="GB8" s="56">
        <f>IF(OR(GB$4="",$B8=""),0,SUMIF('DADOS BRUTOS'!$A$3:$A$500,$B8,'DADOS BRUTOS'!DB$3:DB$500)+IF($C8="",0,SUMIF('DADOS BRUTOS'!$A$3:$A$500,$C8,'DADOS BRUTOS'!DB$3:DB$500)))</f>
        <v/>
      </c>
      <c r="GC8" s="56">
        <f>IF(OR(GC$4="",$B8=""),0,SUMIF('DADOS BRUTOS'!$A$3:$A$500,$B8,'DADOS BRUTOS'!DC$3:DC$500)+IF($C8="",0,SUMIF('DADOS BRUTOS'!$A$3:$A$500,$C8,'DADOS BRUTOS'!DC$3:DC$500)))</f>
        <v/>
      </c>
      <c r="GD8" s="56">
        <f>IF(OR(GD$4="",$B8=""),0,SUMIF('DADOS BRUTOS'!$A$3:$A$500,$B8,'DADOS BRUTOS'!DD$3:DD$500)+IF($C8="",0,SUMIF('DADOS BRUTOS'!$A$3:$A$500,$C8,'DADOS BRUTOS'!DD$3:DD$500)))</f>
        <v/>
      </c>
      <c r="GE8" s="56">
        <f>IF(OR(GE$4="",$B8=""),0,SUMIF('DADOS BRUTOS'!$A$3:$A$500,$B8,'DADOS BRUTOS'!DE$3:DE$500)+IF($C8="",0,SUMIF('DADOS BRUTOS'!$A$3:$A$500,$C8,'DADOS BRUTOS'!DE$3:DE$500)))</f>
        <v/>
      </c>
      <c r="GF8" s="56">
        <f>IF(OR(GF$4="",$B8=""),0,SUMIF('DADOS BRUTOS'!$A$3:$A$500,$B8,'DADOS BRUTOS'!DF$3:DF$500)+IF($C8="",0,SUMIF('DADOS BRUTOS'!$A$3:$A$500,$C8,'DADOS BRUTOS'!DF$3:DF$500)))</f>
        <v/>
      </c>
      <c r="GG8" s="56">
        <f>IF(OR(GG$4="",$B8=""),0,SUMIF('DADOS BRUTOS'!$A$3:$A$500,$B8,'DADOS BRUTOS'!DG$3:DG$500)+IF($C8="",0,SUMIF('DADOS BRUTOS'!$A$3:$A$500,$C8,'DADOS BRUTOS'!DG$3:DG$500)))</f>
        <v/>
      </c>
      <c r="GH8" s="56">
        <f>IF(OR(GH$4="",$B8=""),0,SUMIF('DADOS BRUTOS'!$A$3:$A$500,$B8,'DADOS BRUTOS'!DH$3:DH$500)+IF($C8="",0,SUMIF('DADOS BRUTOS'!$A$3:$A$500,$C8,'DADOS BRUTOS'!DH$3:DH$500)))</f>
        <v/>
      </c>
      <c r="GI8" s="56">
        <f>IF(OR(GI$4="",$B8=""),0,SUMIF('DADOS BRUTOS'!$A$3:$A$500,$B8,'DADOS BRUTOS'!DI$3:DI$500)+IF($C8="",0,SUMIF('DADOS BRUTOS'!$A$3:$A$500,$C8,'DADOS BRUTOS'!DI$3:DI$500)))</f>
        <v/>
      </c>
      <c r="GJ8" s="56">
        <f>IF(OR(GJ$4="",$B8=""),0,SUMIF('DADOS BRUTOS'!$A$3:$A$500,$B8,'DADOS BRUTOS'!DJ$3:DJ$500)+IF($C8="",0,SUMIF('DADOS BRUTOS'!$A$3:$A$500,$C8,'DADOS BRUTOS'!DJ$3:DJ$500)))</f>
        <v/>
      </c>
      <c r="GK8" s="56">
        <f>IF(OR(GK$4="",$B8=""),0,SUMIF('DADOS BRUTOS'!$A$3:$A$500,$B8,'DADOS BRUTOS'!DK$3:DK$500)+IF($C8="",0,SUMIF('DADOS BRUTOS'!$A$3:$A$500,$C8,'DADOS BRUTOS'!DK$3:DK$500)))</f>
        <v/>
      </c>
      <c r="GL8" s="56">
        <f>IF(OR(GL$4="",$B8=""),0,SUMIF('DADOS BRUTOS'!$A$3:$A$500,$B8,'DADOS BRUTOS'!DL$3:DL$500)+IF($C8="",0,SUMIF('DADOS BRUTOS'!$A$3:$A$500,$C8,'DADOS BRUTOS'!DL$3:DL$500)))</f>
        <v/>
      </c>
      <c r="GM8" s="56">
        <f>IF(OR(GM$4="",$B8=""),0,SUMIF('DADOS BRUTOS'!$A$3:$A$500,$B8,'DADOS BRUTOS'!DM$3:DM$500)+IF($C8="",0,SUMIF('DADOS BRUTOS'!$A$3:$A$500,$C8,'DADOS BRUTOS'!DM$3:DM$500)))</f>
        <v/>
      </c>
      <c r="GN8" s="56">
        <f>IF(OR(GN$4="",$B8=""),0,SUMIF('DADOS BRUTOS'!$A$3:$A$500,$B8,'DADOS BRUTOS'!DN$3:DN$500)+IF($C8="",0,SUMIF('DADOS BRUTOS'!$A$3:$A$500,$C8,'DADOS BRUTOS'!DN$3:DN$500)))</f>
        <v/>
      </c>
      <c r="GO8" s="56">
        <f>IF(OR(GO$4="",$B8=""),0,SUMIF('DADOS BRUTOS'!$A$3:$A$500,$B8,'DADOS BRUTOS'!DO$3:DO$500)+IF($C8="",0,SUMIF('DADOS BRUTOS'!$A$3:$A$500,$C8,'DADOS BRUTOS'!DO$3:DO$500)))</f>
        <v/>
      </c>
      <c r="GP8" s="56">
        <f>IF(OR(GP$4="",$B8=""),0,SUMIF('DADOS BRUTOS'!$A$3:$A$500,$B8,'DADOS BRUTOS'!DP$3:DP$500)+IF($C8="",0,SUMIF('DADOS BRUTOS'!$A$3:$A$500,$C8,'DADOS BRUTOS'!DP$3:DP$500)))</f>
        <v/>
      </c>
      <c r="GQ8" s="56">
        <f>IF(OR(GQ$4="",$B8=""),0,SUMIF('DADOS BRUTOS'!$A$3:$A$500,$B8,'DADOS BRUTOS'!DQ$3:DQ$500)+IF($C8="",0,SUMIF('DADOS BRUTOS'!$A$3:$A$500,$C8,'DADOS BRUTOS'!DQ$3:DQ$500)))</f>
        <v/>
      </c>
      <c r="GR8" s="56">
        <f>IF(OR(GR$4="",$B8=""),0,SUMIF('DADOS BRUTOS'!$A$3:$A$500,$B8,'DADOS BRUTOS'!DR$3:DR$500)+IF($C8="",0,SUMIF('DADOS BRUTOS'!$A$3:$A$500,$C8,'DADOS BRUTOS'!DR$3:DR$500)))</f>
        <v/>
      </c>
      <c r="GS8" s="56">
        <f>IF(OR(GS$4="",$B8=""),0,SUMIF('DADOS BRUTOS'!$A$3:$A$500,$B8,'DADOS BRUTOS'!DS$3:DS$500)+IF($C8="",0,SUMIF('DADOS BRUTOS'!$A$3:$A$500,$C8,'DADOS BRUTOS'!DS$3:DS$500)))</f>
        <v/>
      </c>
      <c r="GT8" s="56">
        <f>IF(OR(GT$4="",$B8=""),0,SUMIF('DADOS BRUTOS'!$A$3:$A$500,$B8,'DADOS BRUTOS'!DT$3:DT$500)+IF($C8="",0,SUMIF('DADOS BRUTOS'!$A$3:$A$500,$C8,'DADOS BRUTOS'!DT$3:DT$500)))</f>
        <v/>
      </c>
      <c r="GU8" s="56">
        <f>IF(OR(GU$4="",$B8=""),0,SUMIF('DADOS BRUTOS'!$A$3:$A$500,$B8,'DADOS BRUTOS'!DU$3:DU$500)+IF($C8="",0,SUMIF('DADOS BRUTOS'!$A$3:$A$500,$C8,'DADOS BRUTOS'!DU$3:DU$500)))</f>
        <v/>
      </c>
      <c r="GV8" s="56">
        <f>IF(OR(GV$4="",$B8=""),0,SUMIF('DADOS BRUTOS'!$A$3:$A$500,$B8,'DADOS BRUTOS'!DV$3:DV$500)+IF($C8="",0,SUMIF('DADOS BRUTOS'!$A$3:$A$500,$C8,'DADOS BRUTOS'!DV$3:DV$500)))</f>
        <v/>
      </c>
      <c r="GW8" s="56">
        <f>IF(OR(GW$4="",$B8=""),0,SUMIF('DADOS BRUTOS'!$A$3:$A$500,$B8,'DADOS BRUTOS'!DW$3:DW$500)+IF($C8="",0,SUMIF('DADOS BRUTOS'!$A$3:$A$500,$C8,'DADOS BRUTOS'!DW$3:DW$500)))</f>
        <v/>
      </c>
      <c r="GX8" s="56">
        <f>IF(OR(GX$4="",$B8=""),0,SUMIF('DADOS BRUTOS'!$A$3:$A$500,$B8,'DADOS BRUTOS'!DX$3:DX$500)+IF($C8="",0,SUMIF('DADOS BRUTOS'!$A$3:$A$500,$C8,'DADOS BRUTOS'!DX$3:DX$500)))</f>
        <v/>
      </c>
      <c r="GY8" s="56">
        <f>IF(OR(GY$4="",$B8=""),0,SUMIF('DADOS BRUTOS'!$A$3:$A$500,$B8,'DADOS BRUTOS'!DY$3:DY$500)+IF($C8="",0,SUMIF('DADOS BRUTOS'!$A$3:$A$500,$C8,'DADOS BRUTOS'!DY$3:DY$500)))</f>
        <v/>
      </c>
      <c r="GZ8" s="56">
        <f>IF(OR(GZ$4="",$B8=""),0,SUMIF('DADOS BRUTOS'!$A$3:$A$500,$B8,'DADOS BRUTOS'!DZ$3:DZ$500)+IF($C8="",0,SUMIF('DADOS BRUTOS'!$A$3:$A$500,$C8,'DADOS BRUTOS'!DZ$3:DZ$500)))</f>
        <v/>
      </c>
      <c r="HA8" s="56">
        <f>IF(OR(HA$4="",$B8=""),0,SUMIF('DADOS BRUTOS'!$A$3:$A$500,$B8,'DADOS BRUTOS'!EA$3:EA$500)+IF($C8="",0,SUMIF('DADOS BRUTOS'!$A$3:$A$500,$C8,'DADOS BRUTOS'!EA$3:EA$500)))</f>
        <v/>
      </c>
      <c r="HB8" s="56">
        <f>IF(OR(HB$4="",$B8=""),0,SUMIF('DADOS BRUTOS'!$A$3:$A$500,$B8,'DADOS BRUTOS'!EB$3:EB$500)+IF($C8="",0,SUMIF('DADOS BRUTOS'!$A$3:$A$500,$C8,'DADOS BRUTOS'!EB$3:EB$500)))</f>
        <v/>
      </c>
      <c r="HC8" s="56">
        <f>IF(OR(HC$4="",$B8=""),0,SUMIF('DADOS BRUTOS'!$A$3:$A$500,$B8,'DADOS BRUTOS'!EC$3:EC$500)+IF($C8="",0,SUMIF('DADOS BRUTOS'!$A$3:$A$500,$C8,'DADOS BRUTOS'!EC$3:EC$500)))</f>
        <v/>
      </c>
      <c r="HD8" s="56">
        <f>IF(OR(HD$4="",$B8=""),0,SUMIF('DADOS BRUTOS'!$A$3:$A$500,$B8,'DADOS BRUTOS'!ED$3:ED$500)+IF($C8="",0,SUMIF('DADOS BRUTOS'!$A$3:$A$500,$C8,'DADOS BRUTOS'!ED$3:ED$500)))</f>
        <v/>
      </c>
      <c r="HE8" s="56">
        <f>IF(OR(HE$4="",$B8=""),0,SUMIF('DADOS BRUTOS'!$A$3:$A$500,$B8,'DADOS BRUTOS'!EE$3:EE$500)+IF($C8="",0,SUMIF('DADOS BRUTOS'!$A$3:$A$500,$C8,'DADOS BRUTOS'!EE$3:EE$500)))</f>
        <v/>
      </c>
      <c r="HF8" s="56">
        <f>IF(OR(HF$4="",$B8=""),0,SUMIF('DADOS BRUTOS'!$A$3:$A$500,$B8,'DADOS BRUTOS'!EF$3:EF$500)+IF($C8="",0,SUMIF('DADOS BRUTOS'!$A$3:$A$500,$C8,'DADOS BRUTOS'!EF$3:EF$500)))</f>
        <v/>
      </c>
      <c r="HG8" s="56">
        <f>IF(OR(HG$4="",$B8=""),0,SUMIF('DADOS BRUTOS'!$A$3:$A$500,$B8,'DADOS BRUTOS'!EG$3:EG$500)+IF($C8="",0,SUMIF('DADOS BRUTOS'!$A$3:$A$500,$C8,'DADOS BRUTOS'!EG$3:EG$500)))</f>
        <v/>
      </c>
      <c r="HH8" s="56">
        <f>IF(OR(HH$4="",$B8=""),0,SUMIF('DADOS BRUTOS'!$A$3:$A$500,$B8,'DADOS BRUTOS'!EH$3:EH$500)+IF($C8="",0,SUMIF('DADOS BRUTOS'!$A$3:$A$500,$C8,'DADOS BRUTOS'!EH$3:EH$500)))</f>
        <v/>
      </c>
      <c r="HI8" s="56">
        <f>IF(OR(HI$4="",$B8=""),0,SUMIF('DADOS BRUTOS'!$A$3:$A$500,$B8,'DADOS BRUTOS'!EI$3:EI$500)+IF($C8="",0,SUMIF('DADOS BRUTOS'!$A$3:$A$500,$C8,'DADOS BRUTOS'!EI$3:EI$500)))</f>
        <v/>
      </c>
      <c r="HJ8" s="56">
        <f>IF(OR(HJ$4="",$B8=""),0,SUMIF('DADOS BRUTOS'!$A$3:$A$500,$B8,'DADOS BRUTOS'!EJ$3:EJ$500)+IF($C8="",0,SUMIF('DADOS BRUTOS'!$A$3:$A$500,$C8,'DADOS BRUTOS'!EJ$3:EJ$500)))</f>
        <v/>
      </c>
      <c r="HK8" s="56">
        <f>IF(OR(HK$4="",$B8=""),0,SUMIF('DADOS BRUTOS'!$A$3:$A$500,$B8,'DADOS BRUTOS'!EK$3:EK$500)+IF($C8="",0,SUMIF('DADOS BRUTOS'!$A$3:$A$500,$C8,'DADOS BRUTOS'!EK$3:EK$500)))</f>
        <v/>
      </c>
      <c r="HL8" s="56">
        <f>IF(OR(HL$4="",$B8=""),0,SUMIF('DADOS BRUTOS'!$A$3:$A$500,$B8,'DADOS BRUTOS'!EL$3:EL$500)+IF($C8="",0,SUMIF('DADOS BRUTOS'!$A$3:$A$500,$C8,'DADOS BRUTOS'!EL$3:EL$500)))</f>
        <v/>
      </c>
      <c r="HM8" s="56">
        <f>IF(OR(HM$4="",$B8=""),0,SUMIF('DADOS BRUTOS'!$A$3:$A$500,$B8,'DADOS BRUTOS'!EM$3:EM$500)+IF($C8="",0,SUMIF('DADOS BRUTOS'!$A$3:$A$500,$C8,'DADOS BRUTOS'!EM$3:EM$500)))</f>
        <v/>
      </c>
      <c r="HN8" s="56">
        <f>IF(OR(HN$4="",$B8=""),0,SUMIF('DADOS BRUTOS'!$A$3:$A$500,$B8,'DADOS BRUTOS'!EN$3:EN$500)+IF($C8="",0,SUMIF('DADOS BRUTOS'!$A$3:$A$500,$C8,'DADOS BRUTOS'!EN$3:EN$500)))</f>
        <v/>
      </c>
      <c r="HO8" s="56">
        <f>IF(OR(HO$4="",$B8=""),0,SUMIF('DADOS BRUTOS'!$A$3:$A$500,$B8,'DADOS BRUTOS'!EO$3:EO$500)+IF($C8="",0,SUMIF('DADOS BRUTOS'!$A$3:$A$500,$C8,'DADOS BRUTOS'!EO$3:EO$500)))</f>
        <v/>
      </c>
      <c r="HP8" s="56">
        <f>IF(OR(HP$4="",$B8=""),0,SUMIF('DADOS BRUTOS'!$A$3:$A$500,$B8,'DADOS BRUTOS'!EP$3:EP$500)+IF($C8="",0,SUMIF('DADOS BRUTOS'!$A$3:$A$500,$C8,'DADOS BRUTOS'!EP$3:EP$500)))</f>
        <v/>
      </c>
      <c r="HQ8" s="56">
        <f>IF(OR(HQ$4="",$B8=""),0,SUMIF('DADOS BRUTOS'!$A$3:$A$500,$B8,'DADOS BRUTOS'!EQ$3:EQ$500)+IF($C8="",0,SUMIF('DADOS BRUTOS'!$A$3:$A$500,$C8,'DADOS BRUTOS'!EQ$3:EQ$500)))</f>
        <v/>
      </c>
      <c r="HR8" s="56">
        <f>IF(OR(HR$4="",$B8=""),0,SUMIF('DADOS BRUTOS'!$A$3:$A$500,$B8,'DADOS BRUTOS'!ER$3:ER$500)+IF($C8="",0,SUMIF('DADOS BRUTOS'!$A$3:$A$500,$C8,'DADOS BRUTOS'!ER$3:ER$500)))</f>
        <v/>
      </c>
      <c r="HS8" s="56">
        <f>IF(OR(HS$4="",$B8=""),0,SUMIF('DADOS BRUTOS'!$A$3:$A$500,$B8,'DADOS BRUTOS'!ES$3:ES$500)+IF($C8="",0,SUMIF('DADOS BRUTOS'!$A$3:$A$500,$C8,'DADOS BRUTOS'!ES$3:ES$500)))</f>
        <v/>
      </c>
      <c r="HT8" s="56">
        <f>IF(OR(HT$4="",$B8=""),0,SUMIF('DADOS BRUTOS'!$A$3:$A$500,$B8,'DADOS BRUTOS'!ET$3:ET$500)+IF($C8="",0,SUMIF('DADOS BRUTOS'!$A$3:$A$500,$C8,'DADOS BRUTOS'!ET$3:ET$500)))</f>
        <v/>
      </c>
      <c r="HU8" s="56">
        <f>IF(OR(HU$4="",$B8=""),0,SUMIF('DADOS BRUTOS'!$A$3:$A$500,$B8,'DADOS BRUTOS'!EU$3:EU$500)+IF($C8="",0,SUMIF('DADOS BRUTOS'!$A$3:$A$500,$C8,'DADOS BRUTOS'!EU$3:EU$500)))</f>
        <v/>
      </c>
      <c r="HV8" s="56">
        <f>IF(OR(HV$4="",$B8=""),0,SUMIF('DADOS BRUTOS'!$A$3:$A$500,$B8,'DADOS BRUTOS'!EV$3:EV$500)+IF($C8="",0,SUMIF('DADOS BRUTOS'!$A$3:$A$500,$C8,'DADOS BRUTOS'!EV$3:EV$500)))</f>
        <v/>
      </c>
      <c r="HW8" s="56">
        <f>IF(OR(HW$4="",$B8=""),0,SUMIF('DADOS BRUTOS'!$A$3:$A$500,$B8,'DADOS BRUTOS'!EW$3:EW$500)+IF($C8="",0,SUMIF('DADOS BRUTOS'!$A$3:$A$500,$C8,'DADOS BRUTOS'!EW$3:EW$500)))</f>
        <v/>
      </c>
      <c r="HX8" s="56">
        <f>IF(OR(HX$4="",$B8=""),0,SUMIF('DADOS BRUTOS'!$A$3:$A$500,$B8,'DADOS BRUTOS'!EX$3:EX$500)+IF($C8="",0,SUMIF('DADOS BRUTOS'!$A$3:$A$500,$C8,'DADOS BRUTOS'!EX$3:EX$500)))</f>
        <v/>
      </c>
      <c r="HY8" s="56">
        <f>IF(OR(HY$4="",$B8=""),0,SUMIF('DADOS BRUTOS'!$A$3:$A$500,$B8,'DADOS BRUTOS'!EY$3:EY$500)+IF($C8="",0,SUMIF('DADOS BRUTOS'!$A$3:$A$500,$C8,'DADOS BRUTOS'!EY$3:EY$500)))</f>
        <v/>
      </c>
      <c r="HZ8" s="56">
        <f>IF(OR(HZ$4="",$B8=""),0,SUMIF('DADOS BRUTOS'!$A$3:$A$500,$B8,'DADOS BRUTOS'!EZ$3:EZ$500)+IF($C8="",0,SUMIF('DADOS BRUTOS'!$A$3:$A$500,$C8,'DADOS BRUTOS'!EZ$3:EZ$500)))</f>
        <v/>
      </c>
      <c r="IA8" s="56">
        <f>IF(OR(IA$4="",$B8=""),0,SUMIF('DADOS BRUTOS'!$A$3:$A$500,$B8,'DADOS BRUTOS'!FA$3:FA$500)+IF($C8="",0,SUMIF('DADOS BRUTOS'!$A$3:$A$500,$C8,'DADOS BRUTOS'!FA$3:FA$500)))</f>
        <v/>
      </c>
      <c r="IB8" s="56">
        <f>IF(OR(IB$4="",$B8=""),0,SUMIF('DADOS BRUTOS'!$A$3:$A$500,$B8,'DADOS BRUTOS'!FB$3:FB$500)+IF($C8="",0,SUMIF('DADOS BRUTOS'!$A$3:$A$500,$C8,'DADOS BRUTOS'!FB$3:FB$500)))</f>
        <v/>
      </c>
      <c r="IC8" s="56">
        <f>IF(OR(IC$4="",$B8=""),0,SUMIF('DADOS BRUTOS'!$A$3:$A$500,$B8,'DADOS BRUTOS'!FC$3:FC$500)+IF($C8="",0,SUMIF('DADOS BRUTOS'!$A$3:$A$500,$C8,'DADOS BRUTOS'!FC$3:FC$500)))</f>
        <v/>
      </c>
      <c r="ID8" s="56">
        <f>IF(OR(ID$4="",$B8=""),0,SUMIF('DADOS BRUTOS'!$A$3:$A$500,$B8,'DADOS BRUTOS'!FD$3:FD$500)+IF($C8="",0,SUMIF('DADOS BRUTOS'!$A$3:$A$500,$C8,'DADOS BRUTOS'!FD$3:FD$500)))</f>
        <v/>
      </c>
      <c r="IE8" s="56">
        <f>IF(OR(IE$4="",$B8=""),0,SUMIF('DADOS BRUTOS'!$A$3:$A$500,$B8,'DADOS BRUTOS'!FE$3:FE$500)+IF($C8="",0,SUMIF('DADOS BRUTOS'!$A$3:$A$500,$C8,'DADOS BRUTOS'!FE$3:FE$500)))</f>
        <v/>
      </c>
      <c r="IF8" s="56">
        <f>IF(OR(IF$4="",$B8=""),0,SUMIF('DADOS BRUTOS'!$A$3:$A$500,$B8,'DADOS BRUTOS'!FF$3:FF$500)+IF($C8="",0,SUMIF('DADOS BRUTOS'!$A$3:$A$500,$C8,'DADOS BRUTOS'!FF$3:FF$500)))</f>
        <v/>
      </c>
      <c r="IG8" s="56">
        <f>IF(OR(IG$4="",$B8=""),0,SUMIF('DADOS BRUTOS'!$A$3:$A$500,$B8,'DADOS BRUTOS'!FG$3:FG$500)+IF($C8="",0,SUMIF('DADOS BRUTOS'!$A$3:$A$500,$C8,'DADOS BRUTOS'!FG$3:FG$500)))</f>
        <v/>
      </c>
      <c r="IH8" s="56">
        <f>IF(OR(IH$4="",$B8=""),0,SUMIF('DADOS BRUTOS'!$A$3:$A$500,$B8,'DADOS BRUTOS'!FH$3:FH$500)+IF($C8="",0,SUMIF('DADOS BRUTOS'!$A$3:$A$500,$C8,'DADOS BRUTOS'!FH$3:FH$500)))</f>
        <v/>
      </c>
      <c r="II8" s="56">
        <f>IF(OR(II$4="",$B8=""),0,SUMIF('DADOS BRUTOS'!$A$3:$A$500,$B8,'DADOS BRUTOS'!FI$3:FI$500)+IF($C8="",0,SUMIF('DADOS BRUTOS'!$A$3:$A$500,$C8,'DADOS BRUTOS'!FI$3:FI$500)))</f>
        <v/>
      </c>
      <c r="IJ8" s="56">
        <f>IF(OR(IJ$4="",$B8=""),0,SUMIF('DADOS BRUTOS'!$A$3:$A$500,$B8,'DADOS BRUTOS'!FJ$3:FJ$500)+IF($C8="",0,SUMIF('DADOS BRUTOS'!$A$3:$A$500,$C8,'DADOS BRUTOS'!FJ$3:FJ$500)))</f>
        <v/>
      </c>
      <c r="IK8" s="56">
        <f>IF(OR(IK$4="",$B8=""),0,SUMIF('DADOS BRUTOS'!$A$3:$A$500,$B8,'DADOS BRUTOS'!FK$3:FK$500)+IF($C8="",0,SUMIF('DADOS BRUTOS'!$A$3:$A$500,$C8,'DADOS BRUTOS'!FK$3:FK$500)))</f>
        <v/>
      </c>
      <c r="IL8" s="56">
        <f>IF(OR(IL$4="",$B8=""),0,SUMIF('DADOS BRUTOS'!$A$3:$A$500,$B8,'DADOS BRUTOS'!FL$3:FL$500)+IF($C8="",0,SUMIF('DADOS BRUTOS'!$A$3:$A$500,$C8,'DADOS BRUTOS'!FL$3:FL$500)))</f>
        <v/>
      </c>
      <c r="IM8" s="56">
        <f>IF(OR(IM$4="",$B8=""),0,SUMIF('DADOS BRUTOS'!$A$3:$A$500,$B8,'DADOS BRUTOS'!FM$3:FM$500)+IF($C8="",0,SUMIF('DADOS BRUTOS'!$A$3:$A$500,$C8,'DADOS BRUTOS'!FM$3:FM$500)))</f>
        <v/>
      </c>
      <c r="IN8" s="56">
        <f>IF(OR(IN$4="",$B8=""),0,SUMIF('DADOS BRUTOS'!$A$3:$A$500,$B8,'DADOS BRUTOS'!FN$3:FN$500)+IF($C8="",0,SUMIF('DADOS BRUTOS'!$A$3:$A$500,$C8,'DADOS BRUTOS'!FN$3:FN$500)))</f>
        <v/>
      </c>
      <c r="IO8" s="56">
        <f>IF(OR(IO$4="",$B8=""),0,SUMIF('DADOS BRUTOS'!$A$3:$A$500,$B8,'DADOS BRUTOS'!FO$3:FO$500)+IF($C8="",0,SUMIF('DADOS BRUTOS'!$A$3:$A$500,$C8,'DADOS BRUTOS'!FO$3:FO$500)))</f>
        <v/>
      </c>
      <c r="IP8" s="56">
        <f>IF(OR(IP$4="",$B8=""),0,SUMIF('DADOS BRUTOS'!$A$3:$A$500,$B8,'DADOS BRUTOS'!FP$3:FP$500)+IF($C8="",0,SUMIF('DADOS BRUTOS'!$A$3:$A$500,$C8,'DADOS BRUTOS'!FP$3:FP$500)))</f>
        <v/>
      </c>
      <c r="IQ8" s="56">
        <f>IF(OR(IQ$4="",$B8=""),0,SUMIF('DADOS BRUTOS'!$A$3:$A$500,$B8,'DADOS BRUTOS'!FQ$3:FQ$500)+IF($C8="",0,SUMIF('DADOS BRUTOS'!$A$3:$A$500,$C8,'DADOS BRUTOS'!FQ$3:FQ$500)))</f>
        <v/>
      </c>
      <c r="IR8" s="56">
        <f>IF(OR(IR$4="",$B8=""),0,SUMIF('DADOS BRUTOS'!$A$3:$A$500,$B8,'DADOS BRUTOS'!FR$3:FR$500)+IF($C8="",0,SUMIF('DADOS BRUTOS'!$A$3:$A$500,$C8,'DADOS BRUTOS'!FR$3:FR$500)))</f>
        <v/>
      </c>
      <c r="IS8" s="56">
        <f>IF(OR(IS$4="",$B8=""),0,SUMIF('DADOS BRUTOS'!$A$3:$A$500,$B8,'DADOS BRUTOS'!FS$3:FS$500)+IF($C8="",0,SUMIF('DADOS BRUTOS'!$A$3:$A$500,$C8,'DADOS BRUTOS'!FS$3:FS$500)))</f>
        <v/>
      </c>
      <c r="IT8" s="56">
        <f>IF(OR(IT$4="",$B8=""),0,SUMIF('DADOS BRUTOS'!$A$3:$A$500,$B8,'DADOS BRUTOS'!FT$3:FT$500)+IF($C8="",0,SUMIF('DADOS BRUTOS'!$A$3:$A$500,$C8,'DADOS BRUTOS'!FT$3:FT$500)))</f>
        <v/>
      </c>
      <c r="IU8" s="56">
        <f>IF(OR(IU$4="",$B8=""),0,SUMIF('DADOS BRUTOS'!$A$3:$A$500,$B8,'DADOS BRUTOS'!FU$3:FU$500)+IF($C8="",0,SUMIF('DADOS BRUTOS'!$A$3:$A$500,$C8,'DADOS BRUTOS'!FU$3:FU$500)))</f>
        <v/>
      </c>
      <c r="IV8" s="56">
        <f>IF(OR(IV$4="",$B8=""),0,SUMIF('DADOS BRUTOS'!$A$3:$A$500,$B8,'DADOS BRUTOS'!FV$3:FV$500)+IF($C8="",0,SUMIF('DADOS BRUTOS'!$A$3:$A$500,$C8,'DADOS BRUTOS'!FV$3:FV$500)))</f>
        <v/>
      </c>
      <c r="IW8" s="56">
        <f>IF(OR(IW$4="",$B8=""),0,SUMIF('DADOS BRUTOS'!$A$3:$A$500,$B8,'DADOS BRUTOS'!FW$3:FW$500)+IF($C8="",0,SUMIF('DADOS BRUTOS'!$A$3:$A$500,$C8,'DADOS BRUTOS'!FW$3:FW$500)))</f>
        <v/>
      </c>
      <c r="IX8" s="56">
        <f>IF(OR(IX$4="",$B8=""),0,SUMIF('DADOS BRUTOS'!$A$3:$A$500,$B8,'DADOS BRUTOS'!FX$3:FX$500)+IF($C8="",0,SUMIF('DADOS BRUTOS'!$A$3:$A$500,$C8,'DADOS BRUTOS'!FX$3:FX$500)))</f>
        <v/>
      </c>
      <c r="IY8" s="56">
        <f>IF(OR(IY$4="",$B8=""),0,SUMIF('DADOS BRUTOS'!$A$3:$A$500,$B8,'DADOS BRUTOS'!FY$3:FY$500)+IF($C8="",0,SUMIF('DADOS BRUTOS'!$A$3:$A$500,$C8,'DADOS BRUTOS'!FY$3:FY$500)))</f>
        <v/>
      </c>
      <c r="IZ8" s="56">
        <f>IF(OR(IZ$4="",$B8=""),0,SUMIF('DADOS BRUTOS'!$A$3:$A$500,$B8,'DADOS BRUTOS'!FZ$3:FZ$500)+IF($C8="",0,SUMIF('DADOS BRUTOS'!$A$3:$A$500,$C8,'DADOS BRUTOS'!FZ$3:FZ$500)))</f>
        <v/>
      </c>
      <c r="JA8" s="56">
        <f>IF(OR(JA$4="",$B8=""),0,SUMIF('DADOS BRUTOS'!$A$3:$A$500,$B8,'DADOS BRUTOS'!GA$3:GA$500)+IF($C8="",0,SUMIF('DADOS BRUTOS'!$A$3:$A$500,$C8,'DADOS BRUTOS'!GA$3:GA$500)))</f>
        <v/>
      </c>
      <c r="JB8" s="56">
        <f>IF(OR(JB$4="",$B8=""),0,SUMIF('DADOS BRUTOS'!$A$3:$A$500,$B8,'DADOS BRUTOS'!GB$3:GB$500)+IF($C8="",0,SUMIF('DADOS BRUTOS'!$A$3:$A$500,$C8,'DADOS BRUTOS'!GB$3:GB$500)))</f>
        <v/>
      </c>
      <c r="JC8" s="56">
        <f>IF(OR(JC$4="",$B8=""),0,SUMIF('DADOS BRUTOS'!$A$3:$A$500,$B8,'DADOS BRUTOS'!GC$3:GC$500)+IF($C8="",0,SUMIF('DADOS BRUTOS'!$A$3:$A$500,$C8,'DADOS BRUTOS'!GC$3:GC$500)))</f>
        <v/>
      </c>
      <c r="JD8" s="56">
        <f>IF(OR(JD$4="",$B8=""),0,SUMIF('DADOS BRUTOS'!$A$3:$A$500,$B8,'DADOS BRUTOS'!GD$3:GD$500)+IF($C8="",0,SUMIF('DADOS BRUTOS'!$A$3:$A$500,$C8,'DADOS BRUTOS'!GD$3:GD$500)))</f>
        <v/>
      </c>
      <c r="JE8" s="56">
        <f>IF(OR(JE$4="",$B8=""),0,SUMIF('DADOS BRUTOS'!$A$3:$A$500,$B8,'DADOS BRUTOS'!GE$3:GE$500)+IF($C8="",0,SUMIF('DADOS BRUTOS'!$A$3:$A$500,$C8,'DADOS BRUTOS'!GE$3:GE$500)))</f>
        <v/>
      </c>
      <c r="JF8" s="56">
        <f>IF(OR(JF$4="",$B8=""),0,SUMIF('DADOS BRUTOS'!$A$3:$A$500,$B8,'DADOS BRUTOS'!GF$3:GF$500)+IF($C8="",0,SUMIF('DADOS BRUTOS'!$A$3:$A$500,$C8,'DADOS BRUTOS'!GF$3:GF$500)))</f>
        <v/>
      </c>
      <c r="JG8" s="56">
        <f>IF(OR(JG$4="",$B8=""),0,SUMIF('DADOS BRUTOS'!$A$3:$A$500,$B8,'DADOS BRUTOS'!GG$3:GG$500)+IF($C8="",0,SUMIF('DADOS BRUTOS'!$A$3:$A$500,$C8,'DADOS BRUTOS'!GG$3:GG$500)))</f>
        <v/>
      </c>
      <c r="JH8" s="56">
        <f>IF(OR(JH$4="",$B8=""),0,SUMIF('DADOS BRUTOS'!$A$3:$A$500,$B8,'DADOS BRUTOS'!GH$3:GH$500)+IF($C8="",0,SUMIF('DADOS BRUTOS'!$A$3:$A$500,$C8,'DADOS BRUTOS'!GH$3:GH$500)))</f>
        <v/>
      </c>
      <c r="JI8" s="56">
        <f>IF(OR(JI$4="",$B8=""),0,SUMIF('DADOS BRUTOS'!$A$3:$A$500,$B8,'DADOS BRUTOS'!GI$3:GI$500)+IF($C8="",0,SUMIF('DADOS BRUTOS'!$A$3:$A$500,$C8,'DADOS BRUTOS'!GI$3:GI$500)))</f>
        <v/>
      </c>
      <c r="JJ8" s="56">
        <f>IF(OR(JJ$4="",$B8=""),0,SUMIF('DADOS BRUTOS'!$A$3:$A$500,$B8,'DADOS BRUTOS'!GJ$3:GJ$500)+IF($C8="",0,SUMIF('DADOS BRUTOS'!$A$3:$A$500,$C8,'DADOS BRUTOS'!GJ$3:GJ$500)))</f>
        <v/>
      </c>
      <c r="JK8" s="56">
        <f>IF(OR(JK$4="",$B8=""),0,SUMIF('DADOS BRUTOS'!$A$3:$A$500,$B8,'DADOS BRUTOS'!GK$3:GK$500)+IF($C8="",0,SUMIF('DADOS BRUTOS'!$A$3:$A$500,$C8,'DADOS BRUTOS'!GK$3:GK$500)))</f>
        <v/>
      </c>
      <c r="JL8" s="56">
        <f>IF(OR(JL$4="",$B8=""),0,SUMIF('DADOS BRUTOS'!$A$3:$A$500,$B8,'DADOS BRUTOS'!GL$3:GL$500)+IF($C8="",0,SUMIF('DADOS BRUTOS'!$A$3:$A$500,$C8,'DADOS BRUTOS'!GL$3:GL$500)))</f>
        <v/>
      </c>
      <c r="JM8" s="56">
        <f>IF(OR(JM$4="",$B8=""),0,SUMIF('DADOS BRUTOS'!$A$3:$A$500,$B8,'DADOS BRUTOS'!GM$3:GM$500)+IF($C8="",0,SUMIF('DADOS BRUTOS'!$A$3:$A$500,$C8,'DADOS BRUTOS'!GM$3:GM$500)))</f>
        <v/>
      </c>
      <c r="JN8" s="56">
        <f>IF(OR(JN$4="",$B8=""),0,SUMIF('DADOS BRUTOS'!$A$3:$A$500,$B8,'DADOS BRUTOS'!GN$3:GN$500)+IF($C8="",0,SUMIF('DADOS BRUTOS'!$A$3:$A$500,$C8,'DADOS BRUTOS'!GN$3:GN$500)))</f>
        <v/>
      </c>
      <c r="JO8" s="56">
        <f>IF(OR(JO$4="",$B8=""),0,SUMIF('DADOS BRUTOS'!$A$3:$A$500,$B8,'DADOS BRUTOS'!GO$3:GO$500)+IF($C8="",0,SUMIF('DADOS BRUTOS'!$A$3:$A$500,$C8,'DADOS BRUTOS'!GO$3:GO$500)))</f>
        <v/>
      </c>
      <c r="JP8" s="56">
        <f>IF(OR(JP$4="",$B8=""),0,SUMIF('DADOS BRUTOS'!$A$3:$A$500,$B8,'DADOS BRUTOS'!GP$3:GP$500)+IF($C8="",0,SUMIF('DADOS BRUTOS'!$A$3:$A$500,$C8,'DADOS BRUTOS'!GP$3:GP$500)))</f>
        <v/>
      </c>
      <c r="JQ8" s="56">
        <f>IF(OR(JQ$4="",$B8=""),0,SUMIF('DADOS BRUTOS'!$A$3:$A$500,$B8,'DADOS BRUTOS'!GQ$3:GQ$500)+IF($C8="",0,SUMIF('DADOS BRUTOS'!$A$3:$A$500,$C8,'DADOS BRUTOS'!GQ$3:GQ$500)))</f>
        <v/>
      </c>
      <c r="JR8" s="56">
        <f>IF(OR(JR$4="",$B8=""),0,SUMIF('DADOS BRUTOS'!$A$3:$A$500,$B8,'DADOS BRUTOS'!GR$3:GR$500)+IF($C8="",0,SUMIF('DADOS BRUTOS'!$A$3:$A$500,$C8,'DADOS BRUTOS'!GR$3:GR$500)))</f>
        <v/>
      </c>
      <c r="JS8" s="56">
        <f>IF(OR(JS$4="",$B8=""),0,SUMIF('DADOS BRUTOS'!$A$3:$A$500,$B8,'DADOS BRUTOS'!GS$3:GS$500)+IF($C8="",0,SUMIF('DADOS BRUTOS'!$A$3:$A$500,$C8,'DADOS BRUTOS'!GS$3:GS$500)))</f>
        <v/>
      </c>
    </row>
    <row r="9">
      <c r="A9" s="34">
        <f>'VALOR POR PL'!D15</f>
        <v/>
      </c>
      <c r="B9" s="21" t="inlineStr">
        <is>
          <t>LIGAÇÕES PROVISÓRIAS AGUA, ENERGIA,TELEFONIA, ESGOTO</t>
        </is>
      </c>
      <c r="C9" s="21" t="n"/>
      <c r="D9" s="17">
        <f>SUMIF($CB$4:$JS$4,"&lt;="&amp;D$4,$CB9:$JS9)</f>
        <v/>
      </c>
      <c r="E9" s="17">
        <f>SUMIF($CB$4:$JS$4,E$4,$CB9:$JS9)</f>
        <v/>
      </c>
      <c r="F9" s="17">
        <f>SUMIF($CB$4:$JS$4,F$4,$CB9:$JS9)</f>
        <v/>
      </c>
      <c r="G9" s="17">
        <f>SUMIF($CB$4:$JS$4,G$4,$CB9:$JS9)</f>
        <v/>
      </c>
      <c r="H9" s="17">
        <f>SUMIF($CB$4:$JS$4,H$4,$CB9:$JS9)</f>
        <v/>
      </c>
      <c r="I9" s="17">
        <f>SUMIF($CB$4:$JS$4,I$4,$CB9:$JS9)</f>
        <v/>
      </c>
      <c r="J9" s="17">
        <f>SUMIF($CB$4:$JS$4,J$4,$CB9:$JS9)</f>
        <v/>
      </c>
      <c r="K9" s="17">
        <f>SUMIF($CB$4:$JS$4,K$4,$CB9:$JS9)</f>
        <v/>
      </c>
      <c r="L9" s="17">
        <f>SUMIF($CB$4:$JS$4,L$4,$CB9:$JS9)</f>
        <v/>
      </c>
      <c r="M9" s="17">
        <f>SUMIF($CB$4:$JS$4,M$4,$CB9:$JS9)</f>
        <v/>
      </c>
      <c r="N9" s="17">
        <f>SUMIF($CB$4:$JS$4,N$4,$CB9:$JS9)</f>
        <v/>
      </c>
      <c r="O9" s="17">
        <f>SUMIF($CB$4:$JS$4,O$4,$CB9:$JS9)</f>
        <v/>
      </c>
      <c r="P9" s="17">
        <f>SUMIF($CB$4:$JS$4,P$4,$CB9:$JS9)</f>
        <v/>
      </c>
      <c r="Q9" s="17">
        <f>SUMIF($CB$4:$JS$4,Q$4,$CB9:$JS9)</f>
        <v/>
      </c>
      <c r="R9" s="17">
        <f>SUMIF($CB$4:$JS$4,R$4,$CB9:$JS9)</f>
        <v/>
      </c>
      <c r="S9" s="17">
        <f>SUMIF($CB$4:$JS$4,S$4,$CB9:$JS9)</f>
        <v/>
      </c>
      <c r="T9" s="17">
        <f>SUMIF($CB$4:$JS$4,T$4,$CB9:$JS9)</f>
        <v/>
      </c>
      <c r="U9" s="17">
        <f>SUMIF($CB$4:$JS$4,U$4,$CB9:$JS9)</f>
        <v/>
      </c>
      <c r="V9" s="17">
        <f>SUMIF($CB$4:$JS$4,V$4,$CB9:$JS9)</f>
        <v/>
      </c>
      <c r="W9" s="17">
        <f>SUMIF($CB$4:$JS$4,W$4,$CB9:$JS9)</f>
        <v/>
      </c>
      <c r="X9" s="17">
        <f>SUMIF($CB$4:$JS$4,X$4,$CB9:$JS9)</f>
        <v/>
      </c>
      <c r="Y9" s="17">
        <f>SUMIF($CB$4:$JS$4,Y$4,$CB9:$JS9)</f>
        <v/>
      </c>
      <c r="Z9" s="17">
        <f>SUMIF($CB$4:$JS$4,Z$4,$CB9:$JS9)</f>
        <v/>
      </c>
      <c r="AA9" s="17">
        <f>SUMIF($CB$4:$JS$4,AA$4,$CB9:$JS9)</f>
        <v/>
      </c>
      <c r="AB9" s="17">
        <f>SUMIF($CB$4:$JS$4,AB$4,$CB9:$JS9)</f>
        <v/>
      </c>
      <c r="AC9" s="17">
        <f>SUMIF($CB$4:$JS$4,AC$4,$CB9:$JS9)</f>
        <v/>
      </c>
      <c r="AD9" s="17">
        <f>SUMIF($CB$4:$JS$4,AD$4,$CB9:$JS9)</f>
        <v/>
      </c>
      <c r="AE9" s="17">
        <f>SUMIF($CB$4:$JS$4,AE$4,$CB9:$JS9)</f>
        <v/>
      </c>
      <c r="AF9" s="17">
        <f>SUMIF($CB$4:$JS$4,AF$4,$CB9:$JS9)</f>
        <v/>
      </c>
      <c r="AG9" s="17">
        <f>SUMIF($CB$4:$JS$4,AG$4,$CB9:$JS9)</f>
        <v/>
      </c>
      <c r="AH9" s="17">
        <f>SUMIF($CB$4:$JS$4,AH$4,$CB9:$JS9)</f>
        <v/>
      </c>
      <c r="AI9" s="17">
        <f>SUMIF($CB$4:$JS$4,AI$4,$CB9:$JS9)</f>
        <v/>
      </c>
      <c r="AJ9" s="17">
        <f>SUMIF($CB$4:$JS$4,AJ$4,$CB9:$JS9)</f>
        <v/>
      </c>
      <c r="AK9" s="17">
        <f>SUMIF($CB$4:$JS$4,AK$4,$CB9:$JS9)</f>
        <v/>
      </c>
      <c r="AL9" s="17">
        <f>SUMIF($CB$4:$JS$4,AL$4,$CB9:$JS9)</f>
        <v/>
      </c>
      <c r="AM9" s="17">
        <f>SUMIF($CB$4:$JS$4,AM$4,$CB9:$JS9)</f>
        <v/>
      </c>
      <c r="AN9" s="17">
        <f>SUMIF($CB$4:$JS$4,AN$4,$CB9:$JS9)</f>
        <v/>
      </c>
      <c r="AO9" s="17">
        <f>SUMIF($CB$4:$JS$4,AO$4,$CB9:$JS9)</f>
        <v/>
      </c>
      <c r="AP9" s="17">
        <f>SUMIF($CB$4:$JS$4,AP$4,$CB9:$JS9)</f>
        <v/>
      </c>
      <c r="AQ9" s="17">
        <f>SUMIF($CB$4:$JS$4,AQ$4,$CB9:$JS9)</f>
        <v/>
      </c>
      <c r="AR9" s="17">
        <f>SUMIF($CB$4:$JS$4,AR$4,$CB9:$JS9)</f>
        <v/>
      </c>
      <c r="AS9" s="17">
        <f>SUMIF($CB$4:$JS$4,AS$4,$CB9:$JS9)</f>
        <v/>
      </c>
      <c r="AT9" s="17">
        <f>SUMIF($CB$4:$JS$4,AT$4,$CB9:$JS9)</f>
        <v/>
      </c>
      <c r="AU9" s="17">
        <f>SUMIF($CB$4:$JS$4,AU$4,$CB9:$JS9)</f>
        <v/>
      </c>
      <c r="AV9" s="17">
        <f>SUMIF($CB$4:$JS$4,AV$4,$CB9:$JS9)</f>
        <v/>
      </c>
      <c r="AW9" s="17">
        <f>SUMIF($CB$4:$JS$4,AW$4,$CB9:$JS9)</f>
        <v/>
      </c>
      <c r="AX9" s="17">
        <f>SUMIF($CB$4:$JS$4,AX$4,$CB9:$JS9)</f>
        <v/>
      </c>
      <c r="AY9" s="17">
        <f>SUMIF($CB$4:$JS$4,AY$4,$CB9:$JS9)</f>
        <v/>
      </c>
      <c r="AZ9" s="17">
        <f>SUMIF($CB$4:$JS$4,AZ$4,$CB9:$JS9)</f>
        <v/>
      </c>
      <c r="BA9" s="17">
        <f>SUMIF($CB$4:$JS$4,BA$4,$CB9:$JS9)</f>
        <v/>
      </c>
      <c r="BB9" s="17">
        <f>SUMIF($CB$4:$JS$4,BB$4,$CB9:$JS9)</f>
        <v/>
      </c>
      <c r="BC9" s="17">
        <f>SUMIF($CB$4:$JS$4,BC$4,$CB9:$JS9)</f>
        <v/>
      </c>
      <c r="BD9" s="17">
        <f>SUMIF($CB$4:$JS$4,BD$4,$CB9:$JS9)</f>
        <v/>
      </c>
      <c r="BE9" s="17">
        <f>SUMIF($CB$4:$JS$4,BE$4,$CB9:$JS9)</f>
        <v/>
      </c>
      <c r="BF9" s="17">
        <f>SUMIF($CB$4:$JS$4,BF$4,$CB9:$JS9)</f>
        <v/>
      </c>
      <c r="BG9" s="17">
        <f>SUMIF($CB$4:$JS$4,BG$4,$CB9:$JS9)</f>
        <v/>
      </c>
      <c r="BH9" s="17">
        <f>SUMIF($CB$4:$JS$4,BH$4,$CB9:$JS9)</f>
        <v/>
      </c>
      <c r="BI9" s="17">
        <f>SUMIF($CB$4:$JS$4,BI$4,$CB9:$JS9)</f>
        <v/>
      </c>
      <c r="BJ9" s="17">
        <f>SUMIF($CB$4:$JS$4,BJ$4,$CB9:$JS9)</f>
        <v/>
      </c>
      <c r="BK9" s="17">
        <f>SUMIF($CB$4:$JS$4,BK$4,$CB9:$JS9)</f>
        <v/>
      </c>
      <c r="BL9" s="17">
        <f>SUMIF($CB$4:$JS$4,BL$4,$CB9:$JS9)</f>
        <v/>
      </c>
      <c r="BM9" s="17">
        <f>SUMIF($CB$4:$JS$4,BM$4,$CB9:$JS9)</f>
        <v/>
      </c>
      <c r="BN9" s="17">
        <f>SUMIF($CB$4:$JS$4,BN$4,$CB9:$JS9)</f>
        <v/>
      </c>
      <c r="BO9" s="17">
        <f>SUMIF($CB$4:$JS$4,BO$4,$CB9:$JS9)</f>
        <v/>
      </c>
      <c r="BP9" s="17">
        <f>SUMIF($CB$4:$JS$4,BP$4,$CB9:$JS9)</f>
        <v/>
      </c>
      <c r="BQ9" s="17">
        <f>SUMIF($CB$4:$JS$4,BQ$4,$CB9:$JS9)</f>
        <v/>
      </c>
      <c r="BR9" s="17">
        <f>SUMIF($CB$4:$JS$4,BR$4,$CB9:$JS9)</f>
        <v/>
      </c>
      <c r="BS9" s="17">
        <f>SUMIF($CB$4:$JS$4,BS$4,$CB9:$JS9)</f>
        <v/>
      </c>
      <c r="BT9" s="17">
        <f>SUMIF($CB$4:$JS$4,BT$4,$CB9:$JS9)</f>
        <v/>
      </c>
      <c r="BU9" s="17">
        <f>SUMIF($CB$4:$JS$4,BU$4,$CB9:$JS9)</f>
        <v/>
      </c>
      <c r="BV9" s="17">
        <f>SUMIF($CB$4:$JS$4,BV$4,$CB9:$JS9)</f>
        <v/>
      </c>
      <c r="BW9" s="17">
        <f>SUMIF($CB$4:$JS$4,BW$4,$CB9:$JS9)</f>
        <v/>
      </c>
      <c r="BX9" s="17">
        <f>SUMIF($CB$4:$JS$4,"&gt;"&amp;'VALOR POR PL'!$P$8,$CB9:$JS9)</f>
        <v/>
      </c>
      <c r="BY9" s="17">
        <f>SUM($CB9:$JS9)</f>
        <v/>
      </c>
      <c r="CB9" s="56">
        <f>IF(OR(CB$4="",$B9=""),0,SUMIF('DADOS BRUTOS'!$A$3:$A$500,$B9,'DADOS BRUTOS'!B$3:B$500)+IF($C9="",0,SUMIF('DADOS BRUTOS'!$A$3:$A$500,$C9,'DADOS BRUTOS'!B$3:B$500)))</f>
        <v/>
      </c>
      <c r="CC9" s="56">
        <f>IF(OR(CC$4="",$B9=""),0,SUMIF('DADOS BRUTOS'!$A$3:$A$500,$B9,'DADOS BRUTOS'!C$3:C$500)+IF($C9="",0,SUMIF('DADOS BRUTOS'!$A$3:$A$500,$C9,'DADOS BRUTOS'!C$3:C$500)))</f>
        <v/>
      </c>
      <c r="CD9" s="56">
        <f>IF(OR(CD$4="",$B9=""),0,SUMIF('DADOS BRUTOS'!$A$3:$A$500,$B9,'DADOS BRUTOS'!D$3:D$500)+IF($C9="",0,SUMIF('DADOS BRUTOS'!$A$3:$A$500,$C9,'DADOS BRUTOS'!D$3:D$500)))</f>
        <v/>
      </c>
      <c r="CE9" s="56">
        <f>IF(OR(CE$4="",$B9=""),0,SUMIF('DADOS BRUTOS'!$A$3:$A$500,$B9,'DADOS BRUTOS'!E$3:E$500)+IF($C9="",0,SUMIF('DADOS BRUTOS'!$A$3:$A$500,$C9,'DADOS BRUTOS'!E$3:E$500)))</f>
        <v/>
      </c>
      <c r="CF9" s="56">
        <f>IF(OR(CF$4="",$B9=""),0,SUMIF('DADOS BRUTOS'!$A$3:$A$500,$B9,'DADOS BRUTOS'!F$3:F$500)+IF($C9="",0,SUMIF('DADOS BRUTOS'!$A$3:$A$500,$C9,'DADOS BRUTOS'!F$3:F$500)))</f>
        <v/>
      </c>
      <c r="CG9" s="56">
        <f>IF(OR(CG$4="",$B9=""),0,SUMIF('DADOS BRUTOS'!$A$3:$A$500,$B9,'DADOS BRUTOS'!G$3:G$500)+IF($C9="",0,SUMIF('DADOS BRUTOS'!$A$3:$A$500,$C9,'DADOS BRUTOS'!G$3:G$500)))</f>
        <v/>
      </c>
      <c r="CH9" s="56">
        <f>IF(OR(CH$4="",$B9=""),0,SUMIF('DADOS BRUTOS'!$A$3:$A$500,$B9,'DADOS BRUTOS'!H$3:H$500)+IF($C9="",0,SUMIF('DADOS BRUTOS'!$A$3:$A$500,$C9,'DADOS BRUTOS'!H$3:H$500)))</f>
        <v/>
      </c>
      <c r="CI9" s="56">
        <f>IF(OR(CI$4="",$B9=""),0,SUMIF('DADOS BRUTOS'!$A$3:$A$500,$B9,'DADOS BRUTOS'!I$3:I$500)+IF($C9="",0,SUMIF('DADOS BRUTOS'!$A$3:$A$500,$C9,'DADOS BRUTOS'!I$3:I$500)))</f>
        <v/>
      </c>
      <c r="CJ9" s="56">
        <f>IF(OR(CJ$4="",$B9=""),0,SUMIF('DADOS BRUTOS'!$A$3:$A$500,$B9,'DADOS BRUTOS'!J$3:J$500)+IF($C9="",0,SUMIF('DADOS BRUTOS'!$A$3:$A$500,$C9,'DADOS BRUTOS'!J$3:J$500)))</f>
        <v/>
      </c>
      <c r="CK9" s="56">
        <f>IF(OR(CK$4="",$B9=""),0,SUMIF('DADOS BRUTOS'!$A$3:$A$500,$B9,'DADOS BRUTOS'!K$3:K$500)+IF($C9="",0,SUMIF('DADOS BRUTOS'!$A$3:$A$500,$C9,'DADOS BRUTOS'!K$3:K$500)))</f>
        <v/>
      </c>
      <c r="CL9" s="56">
        <f>IF(OR(CL$4="",$B9=""),0,SUMIF('DADOS BRUTOS'!$A$3:$A$500,$B9,'DADOS BRUTOS'!L$3:L$500)+IF($C9="",0,SUMIF('DADOS BRUTOS'!$A$3:$A$500,$C9,'DADOS BRUTOS'!L$3:L$500)))</f>
        <v/>
      </c>
      <c r="CM9" s="56">
        <f>IF(OR(CM$4="",$B9=""),0,SUMIF('DADOS BRUTOS'!$A$3:$A$500,$B9,'DADOS BRUTOS'!M$3:M$500)+IF($C9="",0,SUMIF('DADOS BRUTOS'!$A$3:$A$500,$C9,'DADOS BRUTOS'!M$3:M$500)))</f>
        <v/>
      </c>
      <c r="CN9" s="56">
        <f>IF(OR(CN$4="",$B9=""),0,SUMIF('DADOS BRUTOS'!$A$3:$A$500,$B9,'DADOS BRUTOS'!N$3:N$500)+IF($C9="",0,SUMIF('DADOS BRUTOS'!$A$3:$A$500,$C9,'DADOS BRUTOS'!N$3:N$500)))</f>
        <v/>
      </c>
      <c r="CO9" s="56">
        <f>IF(OR(CO$4="",$B9=""),0,SUMIF('DADOS BRUTOS'!$A$3:$A$500,$B9,'DADOS BRUTOS'!O$3:O$500)+IF($C9="",0,SUMIF('DADOS BRUTOS'!$A$3:$A$500,$C9,'DADOS BRUTOS'!O$3:O$500)))</f>
        <v/>
      </c>
      <c r="CP9" s="56">
        <f>IF(OR(CP$4="",$B9=""),0,SUMIF('DADOS BRUTOS'!$A$3:$A$500,$B9,'DADOS BRUTOS'!P$3:P$500)+IF($C9="",0,SUMIF('DADOS BRUTOS'!$A$3:$A$500,$C9,'DADOS BRUTOS'!P$3:P$500)))</f>
        <v/>
      </c>
      <c r="CQ9" s="56">
        <f>IF(OR(CQ$4="",$B9=""),0,SUMIF('DADOS BRUTOS'!$A$3:$A$500,$B9,'DADOS BRUTOS'!Q$3:Q$500)+IF($C9="",0,SUMIF('DADOS BRUTOS'!$A$3:$A$500,$C9,'DADOS BRUTOS'!Q$3:Q$500)))</f>
        <v/>
      </c>
      <c r="CR9" s="56">
        <f>IF(OR(CR$4="",$B9=""),0,SUMIF('DADOS BRUTOS'!$A$3:$A$500,$B9,'DADOS BRUTOS'!R$3:R$500)+IF($C9="",0,SUMIF('DADOS BRUTOS'!$A$3:$A$500,$C9,'DADOS BRUTOS'!R$3:R$500)))</f>
        <v/>
      </c>
      <c r="CS9" s="56">
        <f>IF(OR(CS$4="",$B9=""),0,SUMIF('DADOS BRUTOS'!$A$3:$A$500,$B9,'DADOS BRUTOS'!S$3:S$500)+IF($C9="",0,SUMIF('DADOS BRUTOS'!$A$3:$A$500,$C9,'DADOS BRUTOS'!S$3:S$500)))</f>
        <v/>
      </c>
      <c r="CT9" s="56">
        <f>IF(OR(CT$4="",$B9=""),0,SUMIF('DADOS BRUTOS'!$A$3:$A$500,$B9,'DADOS BRUTOS'!T$3:T$500)+IF($C9="",0,SUMIF('DADOS BRUTOS'!$A$3:$A$500,$C9,'DADOS BRUTOS'!T$3:T$500)))</f>
        <v/>
      </c>
      <c r="CU9" s="56">
        <f>IF(OR(CU$4="",$B9=""),0,SUMIF('DADOS BRUTOS'!$A$3:$A$500,$B9,'DADOS BRUTOS'!U$3:U$500)+IF($C9="",0,SUMIF('DADOS BRUTOS'!$A$3:$A$500,$C9,'DADOS BRUTOS'!U$3:U$500)))</f>
        <v/>
      </c>
      <c r="CV9" s="56">
        <f>IF(OR(CV$4="",$B9=""),0,SUMIF('DADOS BRUTOS'!$A$3:$A$500,$B9,'DADOS BRUTOS'!V$3:V$500)+IF($C9="",0,SUMIF('DADOS BRUTOS'!$A$3:$A$500,$C9,'DADOS BRUTOS'!V$3:V$500)))</f>
        <v/>
      </c>
      <c r="CW9" s="56">
        <f>IF(OR(CW$4="",$B9=""),0,SUMIF('DADOS BRUTOS'!$A$3:$A$500,$B9,'DADOS BRUTOS'!W$3:W$500)+IF($C9="",0,SUMIF('DADOS BRUTOS'!$A$3:$A$500,$C9,'DADOS BRUTOS'!W$3:W$500)))</f>
        <v/>
      </c>
      <c r="CX9" s="56">
        <f>IF(OR(CX$4="",$B9=""),0,SUMIF('DADOS BRUTOS'!$A$3:$A$500,$B9,'DADOS BRUTOS'!X$3:X$500)+IF($C9="",0,SUMIF('DADOS BRUTOS'!$A$3:$A$500,$C9,'DADOS BRUTOS'!X$3:X$500)))</f>
        <v/>
      </c>
      <c r="CY9" s="56">
        <f>IF(OR(CY$4="",$B9=""),0,SUMIF('DADOS BRUTOS'!$A$3:$A$500,$B9,'DADOS BRUTOS'!Y$3:Y$500)+IF($C9="",0,SUMIF('DADOS BRUTOS'!$A$3:$A$500,$C9,'DADOS BRUTOS'!Y$3:Y$500)))</f>
        <v/>
      </c>
      <c r="CZ9" s="56">
        <f>IF(OR(CZ$4="",$B9=""),0,SUMIF('DADOS BRUTOS'!$A$3:$A$500,$B9,'DADOS BRUTOS'!Z$3:Z$500)+IF($C9="",0,SUMIF('DADOS BRUTOS'!$A$3:$A$500,$C9,'DADOS BRUTOS'!Z$3:Z$500)))</f>
        <v/>
      </c>
      <c r="DA9" s="56">
        <f>IF(OR(DA$4="",$B9=""),0,SUMIF('DADOS BRUTOS'!$A$3:$A$500,$B9,'DADOS BRUTOS'!AA$3:AA$500)+IF($C9="",0,SUMIF('DADOS BRUTOS'!$A$3:$A$500,$C9,'DADOS BRUTOS'!AA$3:AA$500)))</f>
        <v/>
      </c>
      <c r="DB9" s="56">
        <f>IF(OR(DB$4="",$B9=""),0,SUMIF('DADOS BRUTOS'!$A$3:$A$500,$B9,'DADOS BRUTOS'!AB$3:AB$500)+IF($C9="",0,SUMIF('DADOS BRUTOS'!$A$3:$A$500,$C9,'DADOS BRUTOS'!AB$3:AB$500)))</f>
        <v/>
      </c>
      <c r="DC9" s="56">
        <f>IF(OR(DC$4="",$B9=""),0,SUMIF('DADOS BRUTOS'!$A$3:$A$500,$B9,'DADOS BRUTOS'!AC$3:AC$500)+IF($C9="",0,SUMIF('DADOS BRUTOS'!$A$3:$A$500,$C9,'DADOS BRUTOS'!AC$3:AC$500)))</f>
        <v/>
      </c>
      <c r="DD9" s="56">
        <f>IF(OR(DD$4="",$B9=""),0,SUMIF('DADOS BRUTOS'!$A$3:$A$500,$B9,'DADOS BRUTOS'!AD$3:AD$500)+IF($C9="",0,SUMIF('DADOS BRUTOS'!$A$3:$A$500,$C9,'DADOS BRUTOS'!AD$3:AD$500)))</f>
        <v/>
      </c>
      <c r="DE9" s="56">
        <f>IF(OR(DE$4="",$B9=""),0,SUMIF('DADOS BRUTOS'!$A$3:$A$500,$B9,'DADOS BRUTOS'!AE$3:AE$500)+IF($C9="",0,SUMIF('DADOS BRUTOS'!$A$3:$A$500,$C9,'DADOS BRUTOS'!AE$3:AE$500)))</f>
        <v/>
      </c>
      <c r="DF9" s="56">
        <f>IF(OR(DF$4="",$B9=""),0,SUMIF('DADOS BRUTOS'!$A$3:$A$500,$B9,'DADOS BRUTOS'!AF$3:AF$500)+IF($C9="",0,SUMIF('DADOS BRUTOS'!$A$3:$A$500,$C9,'DADOS BRUTOS'!AF$3:AF$500)))</f>
        <v/>
      </c>
      <c r="DG9" s="56">
        <f>IF(OR(DG$4="",$B9=""),0,SUMIF('DADOS BRUTOS'!$A$3:$A$500,$B9,'DADOS BRUTOS'!AG$3:AG$500)+IF($C9="",0,SUMIF('DADOS BRUTOS'!$A$3:$A$500,$C9,'DADOS BRUTOS'!AG$3:AG$500)))</f>
        <v/>
      </c>
      <c r="DH9" s="56">
        <f>IF(OR(DH$4="",$B9=""),0,SUMIF('DADOS BRUTOS'!$A$3:$A$500,$B9,'DADOS BRUTOS'!AH$3:AH$500)+IF($C9="",0,SUMIF('DADOS BRUTOS'!$A$3:$A$500,$C9,'DADOS BRUTOS'!AH$3:AH$500)))</f>
        <v/>
      </c>
      <c r="DI9" s="56">
        <f>IF(OR(DI$4="",$B9=""),0,SUMIF('DADOS BRUTOS'!$A$3:$A$500,$B9,'DADOS BRUTOS'!AI$3:AI$500)+IF($C9="",0,SUMIF('DADOS BRUTOS'!$A$3:$A$500,$C9,'DADOS BRUTOS'!AI$3:AI$500)))</f>
        <v/>
      </c>
      <c r="DJ9" s="56">
        <f>IF(OR(DJ$4="",$B9=""),0,SUMIF('DADOS BRUTOS'!$A$3:$A$500,$B9,'DADOS BRUTOS'!AJ$3:AJ$500)+IF($C9="",0,SUMIF('DADOS BRUTOS'!$A$3:$A$500,$C9,'DADOS BRUTOS'!AJ$3:AJ$500)))</f>
        <v/>
      </c>
      <c r="DK9" s="56">
        <f>IF(OR(DK$4="",$B9=""),0,SUMIF('DADOS BRUTOS'!$A$3:$A$500,$B9,'DADOS BRUTOS'!AK$3:AK$500)+IF($C9="",0,SUMIF('DADOS BRUTOS'!$A$3:$A$500,$C9,'DADOS BRUTOS'!AK$3:AK$500)))</f>
        <v/>
      </c>
      <c r="DL9" s="56">
        <f>IF(OR(DL$4="",$B9=""),0,SUMIF('DADOS BRUTOS'!$A$3:$A$500,$B9,'DADOS BRUTOS'!AL$3:AL$500)+IF($C9="",0,SUMIF('DADOS BRUTOS'!$A$3:$A$500,$C9,'DADOS BRUTOS'!AL$3:AL$500)))</f>
        <v/>
      </c>
      <c r="DM9" s="56">
        <f>IF(OR(DM$4="",$B9=""),0,SUMIF('DADOS BRUTOS'!$A$3:$A$500,$B9,'DADOS BRUTOS'!AM$3:AM$500)+IF($C9="",0,SUMIF('DADOS BRUTOS'!$A$3:$A$500,$C9,'DADOS BRUTOS'!AM$3:AM$500)))</f>
        <v/>
      </c>
      <c r="DN9" s="56">
        <f>IF(OR(DN$4="",$B9=""),0,SUMIF('DADOS BRUTOS'!$A$3:$A$500,$B9,'DADOS BRUTOS'!AN$3:AN$500)+IF($C9="",0,SUMIF('DADOS BRUTOS'!$A$3:$A$500,$C9,'DADOS BRUTOS'!AN$3:AN$500)))</f>
        <v/>
      </c>
      <c r="DO9" s="56">
        <f>IF(OR(DO$4="",$B9=""),0,SUMIF('DADOS BRUTOS'!$A$3:$A$500,$B9,'DADOS BRUTOS'!AO$3:AO$500)+IF($C9="",0,SUMIF('DADOS BRUTOS'!$A$3:$A$500,$C9,'DADOS BRUTOS'!AO$3:AO$500)))</f>
        <v/>
      </c>
      <c r="DP9" s="56">
        <f>IF(OR(DP$4="",$B9=""),0,SUMIF('DADOS BRUTOS'!$A$3:$A$500,$B9,'DADOS BRUTOS'!AP$3:AP$500)+IF($C9="",0,SUMIF('DADOS BRUTOS'!$A$3:$A$500,$C9,'DADOS BRUTOS'!AP$3:AP$500)))</f>
        <v/>
      </c>
      <c r="DQ9" s="56">
        <f>IF(OR(DQ$4="",$B9=""),0,SUMIF('DADOS BRUTOS'!$A$3:$A$500,$B9,'DADOS BRUTOS'!AQ$3:AQ$500)+IF($C9="",0,SUMIF('DADOS BRUTOS'!$A$3:$A$500,$C9,'DADOS BRUTOS'!AQ$3:AQ$500)))</f>
        <v/>
      </c>
      <c r="DR9" s="56">
        <f>IF(OR(DR$4="",$B9=""),0,SUMIF('DADOS BRUTOS'!$A$3:$A$500,$B9,'DADOS BRUTOS'!AR$3:AR$500)+IF($C9="",0,SUMIF('DADOS BRUTOS'!$A$3:$A$500,$C9,'DADOS BRUTOS'!AR$3:AR$500)))</f>
        <v/>
      </c>
      <c r="DS9" s="56">
        <f>IF(OR(DS$4="",$B9=""),0,SUMIF('DADOS BRUTOS'!$A$3:$A$500,$B9,'DADOS BRUTOS'!AS$3:AS$500)+IF($C9="",0,SUMIF('DADOS BRUTOS'!$A$3:$A$500,$C9,'DADOS BRUTOS'!AS$3:AS$500)))</f>
        <v/>
      </c>
      <c r="DT9" s="56">
        <f>IF(OR(DT$4="",$B9=""),0,SUMIF('DADOS BRUTOS'!$A$3:$A$500,$B9,'DADOS BRUTOS'!AT$3:AT$500)+IF($C9="",0,SUMIF('DADOS BRUTOS'!$A$3:$A$500,$C9,'DADOS BRUTOS'!AT$3:AT$500)))</f>
        <v/>
      </c>
      <c r="DU9" s="56">
        <f>IF(OR(DU$4="",$B9=""),0,SUMIF('DADOS BRUTOS'!$A$3:$A$500,$B9,'DADOS BRUTOS'!AU$3:AU$500)+IF($C9="",0,SUMIF('DADOS BRUTOS'!$A$3:$A$500,$C9,'DADOS BRUTOS'!AU$3:AU$500)))</f>
        <v/>
      </c>
      <c r="DV9" s="56">
        <f>IF(OR(DV$4="",$B9=""),0,SUMIF('DADOS BRUTOS'!$A$3:$A$500,$B9,'DADOS BRUTOS'!AV$3:AV$500)+IF($C9="",0,SUMIF('DADOS BRUTOS'!$A$3:$A$500,$C9,'DADOS BRUTOS'!AV$3:AV$500)))</f>
        <v/>
      </c>
      <c r="DW9" s="56">
        <f>IF(OR(DW$4="",$B9=""),0,SUMIF('DADOS BRUTOS'!$A$3:$A$500,$B9,'DADOS BRUTOS'!AW$3:AW$500)+IF($C9="",0,SUMIF('DADOS BRUTOS'!$A$3:$A$500,$C9,'DADOS BRUTOS'!AW$3:AW$500)))</f>
        <v/>
      </c>
      <c r="DX9" s="56">
        <f>IF(OR(DX$4="",$B9=""),0,SUMIF('DADOS BRUTOS'!$A$3:$A$500,$B9,'DADOS BRUTOS'!AX$3:AX$500)+IF($C9="",0,SUMIF('DADOS BRUTOS'!$A$3:$A$500,$C9,'DADOS BRUTOS'!AX$3:AX$500)))</f>
        <v/>
      </c>
      <c r="DY9" s="56">
        <f>IF(OR(DY$4="",$B9=""),0,SUMIF('DADOS BRUTOS'!$A$3:$A$500,$B9,'DADOS BRUTOS'!AY$3:AY$500)+IF($C9="",0,SUMIF('DADOS BRUTOS'!$A$3:$A$500,$C9,'DADOS BRUTOS'!AY$3:AY$500)))</f>
        <v/>
      </c>
      <c r="DZ9" s="56">
        <f>IF(OR(DZ$4="",$B9=""),0,SUMIF('DADOS BRUTOS'!$A$3:$A$500,$B9,'DADOS BRUTOS'!AZ$3:AZ$500)+IF($C9="",0,SUMIF('DADOS BRUTOS'!$A$3:$A$500,$C9,'DADOS BRUTOS'!AZ$3:AZ$500)))</f>
        <v/>
      </c>
      <c r="EA9" s="56">
        <f>IF(OR(EA$4="",$B9=""),0,SUMIF('DADOS BRUTOS'!$A$3:$A$500,$B9,'DADOS BRUTOS'!BA$3:BA$500)+IF($C9="",0,SUMIF('DADOS BRUTOS'!$A$3:$A$500,$C9,'DADOS BRUTOS'!BA$3:BA$500)))</f>
        <v/>
      </c>
      <c r="EB9" s="56">
        <f>IF(OR(EB$4="",$B9=""),0,SUMIF('DADOS BRUTOS'!$A$3:$A$500,$B9,'DADOS BRUTOS'!BB$3:BB$500)+IF($C9="",0,SUMIF('DADOS BRUTOS'!$A$3:$A$500,$C9,'DADOS BRUTOS'!BB$3:BB$500)))</f>
        <v/>
      </c>
      <c r="EC9" s="56">
        <f>IF(OR(EC$4="",$B9=""),0,SUMIF('DADOS BRUTOS'!$A$3:$A$500,$B9,'DADOS BRUTOS'!BC$3:BC$500)+IF($C9="",0,SUMIF('DADOS BRUTOS'!$A$3:$A$500,$C9,'DADOS BRUTOS'!BC$3:BC$500)))</f>
        <v/>
      </c>
      <c r="ED9" s="56">
        <f>IF(OR(ED$4="",$B9=""),0,SUMIF('DADOS BRUTOS'!$A$3:$A$500,$B9,'DADOS BRUTOS'!BD$3:BD$500)+IF($C9="",0,SUMIF('DADOS BRUTOS'!$A$3:$A$500,$C9,'DADOS BRUTOS'!BD$3:BD$500)))</f>
        <v/>
      </c>
      <c r="EE9" s="56">
        <f>IF(OR(EE$4="",$B9=""),0,SUMIF('DADOS BRUTOS'!$A$3:$A$500,$B9,'DADOS BRUTOS'!BE$3:BE$500)+IF($C9="",0,SUMIF('DADOS BRUTOS'!$A$3:$A$500,$C9,'DADOS BRUTOS'!BE$3:BE$500)))</f>
        <v/>
      </c>
      <c r="EF9" s="56">
        <f>IF(OR(EF$4="",$B9=""),0,SUMIF('DADOS BRUTOS'!$A$3:$A$500,$B9,'DADOS BRUTOS'!BF$3:BF$500)+IF($C9="",0,SUMIF('DADOS BRUTOS'!$A$3:$A$500,$C9,'DADOS BRUTOS'!BF$3:BF$500)))</f>
        <v/>
      </c>
      <c r="EG9" s="56">
        <f>IF(OR(EG$4="",$B9=""),0,SUMIF('DADOS BRUTOS'!$A$3:$A$500,$B9,'DADOS BRUTOS'!BG$3:BG$500)+IF($C9="",0,SUMIF('DADOS BRUTOS'!$A$3:$A$500,$C9,'DADOS BRUTOS'!BG$3:BG$500)))</f>
        <v/>
      </c>
      <c r="EH9" s="56">
        <f>IF(OR(EH$4="",$B9=""),0,SUMIF('DADOS BRUTOS'!$A$3:$A$500,$B9,'DADOS BRUTOS'!BH$3:BH$500)+IF($C9="",0,SUMIF('DADOS BRUTOS'!$A$3:$A$500,$C9,'DADOS BRUTOS'!BH$3:BH$500)))</f>
        <v/>
      </c>
      <c r="EI9" s="56">
        <f>IF(OR(EI$4="",$B9=""),0,SUMIF('DADOS BRUTOS'!$A$3:$A$500,$B9,'DADOS BRUTOS'!BI$3:BI$500)+IF($C9="",0,SUMIF('DADOS BRUTOS'!$A$3:$A$500,$C9,'DADOS BRUTOS'!BI$3:BI$500)))</f>
        <v/>
      </c>
      <c r="EJ9" s="56">
        <f>IF(OR(EJ$4="",$B9=""),0,SUMIF('DADOS BRUTOS'!$A$3:$A$500,$B9,'DADOS BRUTOS'!BJ$3:BJ$500)+IF($C9="",0,SUMIF('DADOS BRUTOS'!$A$3:$A$500,$C9,'DADOS BRUTOS'!BJ$3:BJ$500)))</f>
        <v/>
      </c>
      <c r="EK9" s="56">
        <f>IF(OR(EK$4="",$B9=""),0,SUMIF('DADOS BRUTOS'!$A$3:$A$500,$B9,'DADOS BRUTOS'!BK$3:BK$500)+IF($C9="",0,SUMIF('DADOS BRUTOS'!$A$3:$A$500,$C9,'DADOS BRUTOS'!BK$3:BK$500)))</f>
        <v/>
      </c>
      <c r="EL9" s="56">
        <f>IF(OR(EL$4="",$B9=""),0,SUMIF('DADOS BRUTOS'!$A$3:$A$500,$B9,'DADOS BRUTOS'!BL$3:BL$500)+IF($C9="",0,SUMIF('DADOS BRUTOS'!$A$3:$A$500,$C9,'DADOS BRUTOS'!BL$3:BL$500)))</f>
        <v/>
      </c>
      <c r="EM9" s="56">
        <f>IF(OR(EM$4="",$B9=""),0,SUMIF('DADOS BRUTOS'!$A$3:$A$500,$B9,'DADOS BRUTOS'!BM$3:BM$500)+IF($C9="",0,SUMIF('DADOS BRUTOS'!$A$3:$A$500,$C9,'DADOS BRUTOS'!BM$3:BM$500)))</f>
        <v/>
      </c>
      <c r="EN9" s="56">
        <f>IF(OR(EN$4="",$B9=""),0,SUMIF('DADOS BRUTOS'!$A$3:$A$500,$B9,'DADOS BRUTOS'!BN$3:BN$500)+IF($C9="",0,SUMIF('DADOS BRUTOS'!$A$3:$A$500,$C9,'DADOS BRUTOS'!BN$3:BN$500)))</f>
        <v/>
      </c>
      <c r="EO9" s="56">
        <f>IF(OR(EO$4="",$B9=""),0,SUMIF('DADOS BRUTOS'!$A$3:$A$500,$B9,'DADOS BRUTOS'!BO$3:BO$500)+IF($C9="",0,SUMIF('DADOS BRUTOS'!$A$3:$A$500,$C9,'DADOS BRUTOS'!BO$3:BO$500)))</f>
        <v/>
      </c>
      <c r="EP9" s="56">
        <f>IF(OR(EP$4="",$B9=""),0,SUMIF('DADOS BRUTOS'!$A$3:$A$500,$B9,'DADOS BRUTOS'!BP$3:BP$500)+IF($C9="",0,SUMIF('DADOS BRUTOS'!$A$3:$A$500,$C9,'DADOS BRUTOS'!BP$3:BP$500)))</f>
        <v/>
      </c>
      <c r="EQ9" s="56">
        <f>IF(OR(EQ$4="",$B9=""),0,SUMIF('DADOS BRUTOS'!$A$3:$A$500,$B9,'DADOS BRUTOS'!BQ$3:BQ$500)+IF($C9="",0,SUMIF('DADOS BRUTOS'!$A$3:$A$500,$C9,'DADOS BRUTOS'!BQ$3:BQ$500)))</f>
        <v/>
      </c>
      <c r="ER9" s="56">
        <f>IF(OR(ER$4="",$B9=""),0,SUMIF('DADOS BRUTOS'!$A$3:$A$500,$B9,'DADOS BRUTOS'!BR$3:BR$500)+IF($C9="",0,SUMIF('DADOS BRUTOS'!$A$3:$A$500,$C9,'DADOS BRUTOS'!BR$3:BR$500)))</f>
        <v/>
      </c>
      <c r="ES9" s="56">
        <f>IF(OR(ES$4="",$B9=""),0,SUMIF('DADOS BRUTOS'!$A$3:$A$500,$B9,'DADOS BRUTOS'!BS$3:BS$500)+IF($C9="",0,SUMIF('DADOS BRUTOS'!$A$3:$A$500,$C9,'DADOS BRUTOS'!BS$3:BS$500)))</f>
        <v/>
      </c>
      <c r="ET9" s="56">
        <f>IF(OR(ET$4="",$B9=""),0,SUMIF('DADOS BRUTOS'!$A$3:$A$500,$B9,'DADOS BRUTOS'!BT$3:BT$500)+IF($C9="",0,SUMIF('DADOS BRUTOS'!$A$3:$A$500,$C9,'DADOS BRUTOS'!BT$3:BT$500)))</f>
        <v/>
      </c>
      <c r="EU9" s="56">
        <f>IF(OR(EU$4="",$B9=""),0,SUMIF('DADOS BRUTOS'!$A$3:$A$500,$B9,'DADOS BRUTOS'!BU$3:BU$500)+IF($C9="",0,SUMIF('DADOS BRUTOS'!$A$3:$A$500,$C9,'DADOS BRUTOS'!BU$3:BU$500)))</f>
        <v/>
      </c>
      <c r="EV9" s="56">
        <f>IF(OR(EV$4="",$B9=""),0,SUMIF('DADOS BRUTOS'!$A$3:$A$500,$B9,'DADOS BRUTOS'!BV$3:BV$500)+IF($C9="",0,SUMIF('DADOS BRUTOS'!$A$3:$A$500,$C9,'DADOS BRUTOS'!BV$3:BV$500)))</f>
        <v/>
      </c>
      <c r="EW9" s="56">
        <f>IF(OR(EW$4="",$B9=""),0,SUMIF('DADOS BRUTOS'!$A$3:$A$500,$B9,'DADOS BRUTOS'!BW$3:BW$500)+IF($C9="",0,SUMIF('DADOS BRUTOS'!$A$3:$A$500,$C9,'DADOS BRUTOS'!BW$3:BW$500)))</f>
        <v/>
      </c>
      <c r="EX9" s="56">
        <f>IF(OR(EX$4="",$B9=""),0,SUMIF('DADOS BRUTOS'!$A$3:$A$500,$B9,'DADOS BRUTOS'!BX$3:BX$500)+IF($C9="",0,SUMIF('DADOS BRUTOS'!$A$3:$A$500,$C9,'DADOS BRUTOS'!BX$3:BX$500)))</f>
        <v/>
      </c>
      <c r="EY9" s="56">
        <f>IF(OR(EY$4="",$B9=""),0,SUMIF('DADOS BRUTOS'!$A$3:$A$500,$B9,'DADOS BRUTOS'!BY$3:BY$500)+IF($C9="",0,SUMIF('DADOS BRUTOS'!$A$3:$A$500,$C9,'DADOS BRUTOS'!BY$3:BY$500)))</f>
        <v/>
      </c>
      <c r="EZ9" s="56">
        <f>IF(OR(EZ$4="",$B9=""),0,SUMIF('DADOS BRUTOS'!$A$3:$A$500,$B9,'DADOS BRUTOS'!BZ$3:BZ$500)+IF($C9="",0,SUMIF('DADOS BRUTOS'!$A$3:$A$500,$C9,'DADOS BRUTOS'!BZ$3:BZ$500)))</f>
        <v/>
      </c>
      <c r="FA9" s="56">
        <f>IF(OR(FA$4="",$B9=""),0,SUMIF('DADOS BRUTOS'!$A$3:$A$500,$B9,'DADOS BRUTOS'!CA$3:CA$500)+IF($C9="",0,SUMIF('DADOS BRUTOS'!$A$3:$A$500,$C9,'DADOS BRUTOS'!CA$3:CA$500)))</f>
        <v/>
      </c>
      <c r="FB9" s="56">
        <f>IF(OR(FB$4="",$B9=""),0,SUMIF('DADOS BRUTOS'!$A$3:$A$500,$B9,'DADOS BRUTOS'!CB$3:CB$500)+IF($C9="",0,SUMIF('DADOS BRUTOS'!$A$3:$A$500,$C9,'DADOS BRUTOS'!CB$3:CB$500)))</f>
        <v/>
      </c>
      <c r="FC9" s="56">
        <f>IF(OR(FC$4="",$B9=""),0,SUMIF('DADOS BRUTOS'!$A$3:$A$500,$B9,'DADOS BRUTOS'!CC$3:CC$500)+IF($C9="",0,SUMIF('DADOS BRUTOS'!$A$3:$A$500,$C9,'DADOS BRUTOS'!CC$3:CC$500)))</f>
        <v/>
      </c>
      <c r="FD9" s="56">
        <f>IF(OR(FD$4="",$B9=""),0,SUMIF('DADOS BRUTOS'!$A$3:$A$500,$B9,'DADOS BRUTOS'!CD$3:CD$500)+IF($C9="",0,SUMIF('DADOS BRUTOS'!$A$3:$A$500,$C9,'DADOS BRUTOS'!CD$3:CD$500)))</f>
        <v/>
      </c>
      <c r="FE9" s="56">
        <f>IF(OR(FE$4="",$B9=""),0,SUMIF('DADOS BRUTOS'!$A$3:$A$500,$B9,'DADOS BRUTOS'!CE$3:CE$500)+IF($C9="",0,SUMIF('DADOS BRUTOS'!$A$3:$A$500,$C9,'DADOS BRUTOS'!CE$3:CE$500)))</f>
        <v/>
      </c>
      <c r="FF9" s="56">
        <f>IF(OR(FF$4="",$B9=""),0,SUMIF('DADOS BRUTOS'!$A$3:$A$500,$B9,'DADOS BRUTOS'!CF$3:CF$500)+IF($C9="",0,SUMIF('DADOS BRUTOS'!$A$3:$A$500,$C9,'DADOS BRUTOS'!CF$3:CF$500)))</f>
        <v/>
      </c>
      <c r="FG9" s="56">
        <f>IF(OR(FG$4="",$B9=""),0,SUMIF('DADOS BRUTOS'!$A$3:$A$500,$B9,'DADOS BRUTOS'!CG$3:CG$500)+IF($C9="",0,SUMIF('DADOS BRUTOS'!$A$3:$A$500,$C9,'DADOS BRUTOS'!CG$3:CG$500)))</f>
        <v/>
      </c>
      <c r="FH9" s="56">
        <f>IF(OR(FH$4="",$B9=""),0,SUMIF('DADOS BRUTOS'!$A$3:$A$500,$B9,'DADOS BRUTOS'!CH$3:CH$500)+IF($C9="",0,SUMIF('DADOS BRUTOS'!$A$3:$A$500,$C9,'DADOS BRUTOS'!CH$3:CH$500)))</f>
        <v/>
      </c>
      <c r="FI9" s="56">
        <f>IF(OR(FI$4="",$B9=""),0,SUMIF('DADOS BRUTOS'!$A$3:$A$500,$B9,'DADOS BRUTOS'!CI$3:CI$500)+IF($C9="",0,SUMIF('DADOS BRUTOS'!$A$3:$A$500,$C9,'DADOS BRUTOS'!CI$3:CI$500)))</f>
        <v/>
      </c>
      <c r="FJ9" s="56">
        <f>IF(OR(FJ$4="",$B9=""),0,SUMIF('DADOS BRUTOS'!$A$3:$A$500,$B9,'DADOS BRUTOS'!CJ$3:CJ$500)+IF($C9="",0,SUMIF('DADOS BRUTOS'!$A$3:$A$500,$C9,'DADOS BRUTOS'!CJ$3:CJ$500)))</f>
        <v/>
      </c>
      <c r="FK9" s="56">
        <f>IF(OR(FK$4="",$B9=""),0,SUMIF('DADOS BRUTOS'!$A$3:$A$500,$B9,'DADOS BRUTOS'!CK$3:CK$500)+IF($C9="",0,SUMIF('DADOS BRUTOS'!$A$3:$A$500,$C9,'DADOS BRUTOS'!CK$3:CK$500)))</f>
        <v/>
      </c>
      <c r="FL9" s="56">
        <f>IF(OR(FL$4="",$B9=""),0,SUMIF('DADOS BRUTOS'!$A$3:$A$500,$B9,'DADOS BRUTOS'!CL$3:CL$500)+IF($C9="",0,SUMIF('DADOS BRUTOS'!$A$3:$A$500,$C9,'DADOS BRUTOS'!CL$3:CL$500)))</f>
        <v/>
      </c>
      <c r="FM9" s="56">
        <f>IF(OR(FM$4="",$B9=""),0,SUMIF('DADOS BRUTOS'!$A$3:$A$500,$B9,'DADOS BRUTOS'!CM$3:CM$500)+IF($C9="",0,SUMIF('DADOS BRUTOS'!$A$3:$A$500,$C9,'DADOS BRUTOS'!CM$3:CM$500)))</f>
        <v/>
      </c>
      <c r="FN9" s="56">
        <f>IF(OR(FN$4="",$B9=""),0,SUMIF('DADOS BRUTOS'!$A$3:$A$500,$B9,'DADOS BRUTOS'!CN$3:CN$500)+IF($C9="",0,SUMIF('DADOS BRUTOS'!$A$3:$A$500,$C9,'DADOS BRUTOS'!CN$3:CN$500)))</f>
        <v/>
      </c>
      <c r="FO9" s="56">
        <f>IF(OR(FO$4="",$B9=""),0,SUMIF('DADOS BRUTOS'!$A$3:$A$500,$B9,'DADOS BRUTOS'!CO$3:CO$500)+IF($C9="",0,SUMIF('DADOS BRUTOS'!$A$3:$A$500,$C9,'DADOS BRUTOS'!CO$3:CO$500)))</f>
        <v/>
      </c>
      <c r="FP9" s="56">
        <f>IF(OR(FP$4="",$B9=""),0,SUMIF('DADOS BRUTOS'!$A$3:$A$500,$B9,'DADOS BRUTOS'!CP$3:CP$500)+IF($C9="",0,SUMIF('DADOS BRUTOS'!$A$3:$A$500,$C9,'DADOS BRUTOS'!CP$3:CP$500)))</f>
        <v/>
      </c>
      <c r="FQ9" s="56">
        <f>IF(OR(FQ$4="",$B9=""),0,SUMIF('DADOS BRUTOS'!$A$3:$A$500,$B9,'DADOS BRUTOS'!CQ$3:CQ$500)+IF($C9="",0,SUMIF('DADOS BRUTOS'!$A$3:$A$500,$C9,'DADOS BRUTOS'!CQ$3:CQ$500)))</f>
        <v/>
      </c>
      <c r="FR9" s="56">
        <f>IF(OR(FR$4="",$B9=""),0,SUMIF('DADOS BRUTOS'!$A$3:$A$500,$B9,'DADOS BRUTOS'!CR$3:CR$500)+IF($C9="",0,SUMIF('DADOS BRUTOS'!$A$3:$A$500,$C9,'DADOS BRUTOS'!CR$3:CR$500)))</f>
        <v/>
      </c>
      <c r="FS9" s="56">
        <f>IF(OR(FS$4="",$B9=""),0,SUMIF('DADOS BRUTOS'!$A$3:$A$500,$B9,'DADOS BRUTOS'!CS$3:CS$500)+IF($C9="",0,SUMIF('DADOS BRUTOS'!$A$3:$A$500,$C9,'DADOS BRUTOS'!CS$3:CS$500)))</f>
        <v/>
      </c>
      <c r="FT9" s="56">
        <f>IF(OR(FT$4="",$B9=""),0,SUMIF('DADOS BRUTOS'!$A$3:$A$500,$B9,'DADOS BRUTOS'!CT$3:CT$500)+IF($C9="",0,SUMIF('DADOS BRUTOS'!$A$3:$A$500,$C9,'DADOS BRUTOS'!CT$3:CT$500)))</f>
        <v/>
      </c>
      <c r="FU9" s="56">
        <f>IF(OR(FU$4="",$B9=""),0,SUMIF('DADOS BRUTOS'!$A$3:$A$500,$B9,'DADOS BRUTOS'!CU$3:CU$500)+IF($C9="",0,SUMIF('DADOS BRUTOS'!$A$3:$A$500,$C9,'DADOS BRUTOS'!CU$3:CU$500)))</f>
        <v/>
      </c>
      <c r="FV9" s="56">
        <f>IF(OR(FV$4="",$B9=""),0,SUMIF('DADOS BRUTOS'!$A$3:$A$500,$B9,'DADOS BRUTOS'!CV$3:CV$500)+IF($C9="",0,SUMIF('DADOS BRUTOS'!$A$3:$A$500,$C9,'DADOS BRUTOS'!CV$3:CV$500)))</f>
        <v/>
      </c>
      <c r="FW9" s="56">
        <f>IF(OR(FW$4="",$B9=""),0,SUMIF('DADOS BRUTOS'!$A$3:$A$500,$B9,'DADOS BRUTOS'!CW$3:CW$500)+IF($C9="",0,SUMIF('DADOS BRUTOS'!$A$3:$A$500,$C9,'DADOS BRUTOS'!CW$3:CW$500)))</f>
        <v/>
      </c>
      <c r="FX9" s="56">
        <f>IF(OR(FX$4="",$B9=""),0,SUMIF('DADOS BRUTOS'!$A$3:$A$500,$B9,'DADOS BRUTOS'!CX$3:CX$500)+IF($C9="",0,SUMIF('DADOS BRUTOS'!$A$3:$A$500,$C9,'DADOS BRUTOS'!CX$3:CX$500)))</f>
        <v/>
      </c>
      <c r="FY9" s="56">
        <f>IF(OR(FY$4="",$B9=""),0,SUMIF('DADOS BRUTOS'!$A$3:$A$500,$B9,'DADOS BRUTOS'!CY$3:CY$500)+IF($C9="",0,SUMIF('DADOS BRUTOS'!$A$3:$A$500,$C9,'DADOS BRUTOS'!CY$3:CY$500)))</f>
        <v/>
      </c>
      <c r="FZ9" s="56">
        <f>IF(OR(FZ$4="",$B9=""),0,SUMIF('DADOS BRUTOS'!$A$3:$A$500,$B9,'DADOS BRUTOS'!CZ$3:CZ$500)+IF($C9="",0,SUMIF('DADOS BRUTOS'!$A$3:$A$500,$C9,'DADOS BRUTOS'!CZ$3:CZ$500)))</f>
        <v/>
      </c>
      <c r="GA9" s="56">
        <f>IF(OR(GA$4="",$B9=""),0,SUMIF('DADOS BRUTOS'!$A$3:$A$500,$B9,'DADOS BRUTOS'!DA$3:DA$500)+IF($C9="",0,SUMIF('DADOS BRUTOS'!$A$3:$A$500,$C9,'DADOS BRUTOS'!DA$3:DA$500)))</f>
        <v/>
      </c>
      <c r="GB9" s="56">
        <f>IF(OR(GB$4="",$B9=""),0,SUMIF('DADOS BRUTOS'!$A$3:$A$500,$B9,'DADOS BRUTOS'!DB$3:DB$500)+IF($C9="",0,SUMIF('DADOS BRUTOS'!$A$3:$A$500,$C9,'DADOS BRUTOS'!DB$3:DB$500)))</f>
        <v/>
      </c>
      <c r="GC9" s="56">
        <f>IF(OR(GC$4="",$B9=""),0,SUMIF('DADOS BRUTOS'!$A$3:$A$500,$B9,'DADOS BRUTOS'!DC$3:DC$500)+IF($C9="",0,SUMIF('DADOS BRUTOS'!$A$3:$A$500,$C9,'DADOS BRUTOS'!DC$3:DC$500)))</f>
        <v/>
      </c>
      <c r="GD9" s="56">
        <f>IF(OR(GD$4="",$B9=""),0,SUMIF('DADOS BRUTOS'!$A$3:$A$500,$B9,'DADOS BRUTOS'!DD$3:DD$500)+IF($C9="",0,SUMIF('DADOS BRUTOS'!$A$3:$A$500,$C9,'DADOS BRUTOS'!DD$3:DD$500)))</f>
        <v/>
      </c>
      <c r="GE9" s="56">
        <f>IF(OR(GE$4="",$B9=""),0,SUMIF('DADOS BRUTOS'!$A$3:$A$500,$B9,'DADOS BRUTOS'!DE$3:DE$500)+IF($C9="",0,SUMIF('DADOS BRUTOS'!$A$3:$A$500,$C9,'DADOS BRUTOS'!DE$3:DE$500)))</f>
        <v/>
      </c>
      <c r="GF9" s="56">
        <f>IF(OR(GF$4="",$B9=""),0,SUMIF('DADOS BRUTOS'!$A$3:$A$500,$B9,'DADOS BRUTOS'!DF$3:DF$500)+IF($C9="",0,SUMIF('DADOS BRUTOS'!$A$3:$A$500,$C9,'DADOS BRUTOS'!DF$3:DF$500)))</f>
        <v/>
      </c>
      <c r="GG9" s="56">
        <f>IF(OR(GG$4="",$B9=""),0,SUMIF('DADOS BRUTOS'!$A$3:$A$500,$B9,'DADOS BRUTOS'!DG$3:DG$500)+IF($C9="",0,SUMIF('DADOS BRUTOS'!$A$3:$A$500,$C9,'DADOS BRUTOS'!DG$3:DG$500)))</f>
        <v/>
      </c>
      <c r="GH9" s="56">
        <f>IF(OR(GH$4="",$B9=""),0,SUMIF('DADOS BRUTOS'!$A$3:$A$500,$B9,'DADOS BRUTOS'!DH$3:DH$500)+IF($C9="",0,SUMIF('DADOS BRUTOS'!$A$3:$A$500,$C9,'DADOS BRUTOS'!DH$3:DH$500)))</f>
        <v/>
      </c>
      <c r="GI9" s="56">
        <f>IF(OR(GI$4="",$B9=""),0,SUMIF('DADOS BRUTOS'!$A$3:$A$500,$B9,'DADOS BRUTOS'!DI$3:DI$500)+IF($C9="",0,SUMIF('DADOS BRUTOS'!$A$3:$A$500,$C9,'DADOS BRUTOS'!DI$3:DI$500)))</f>
        <v/>
      </c>
      <c r="GJ9" s="56">
        <f>IF(OR(GJ$4="",$B9=""),0,SUMIF('DADOS BRUTOS'!$A$3:$A$500,$B9,'DADOS BRUTOS'!DJ$3:DJ$500)+IF($C9="",0,SUMIF('DADOS BRUTOS'!$A$3:$A$500,$C9,'DADOS BRUTOS'!DJ$3:DJ$500)))</f>
        <v/>
      </c>
      <c r="GK9" s="56">
        <f>IF(OR(GK$4="",$B9=""),0,SUMIF('DADOS BRUTOS'!$A$3:$A$500,$B9,'DADOS BRUTOS'!DK$3:DK$500)+IF($C9="",0,SUMIF('DADOS BRUTOS'!$A$3:$A$500,$C9,'DADOS BRUTOS'!DK$3:DK$500)))</f>
        <v/>
      </c>
      <c r="GL9" s="56">
        <f>IF(OR(GL$4="",$B9=""),0,SUMIF('DADOS BRUTOS'!$A$3:$A$500,$B9,'DADOS BRUTOS'!DL$3:DL$500)+IF($C9="",0,SUMIF('DADOS BRUTOS'!$A$3:$A$500,$C9,'DADOS BRUTOS'!DL$3:DL$500)))</f>
        <v/>
      </c>
      <c r="GM9" s="56">
        <f>IF(OR(GM$4="",$B9=""),0,SUMIF('DADOS BRUTOS'!$A$3:$A$500,$B9,'DADOS BRUTOS'!DM$3:DM$500)+IF($C9="",0,SUMIF('DADOS BRUTOS'!$A$3:$A$500,$C9,'DADOS BRUTOS'!DM$3:DM$500)))</f>
        <v/>
      </c>
      <c r="GN9" s="56">
        <f>IF(OR(GN$4="",$B9=""),0,SUMIF('DADOS BRUTOS'!$A$3:$A$500,$B9,'DADOS BRUTOS'!DN$3:DN$500)+IF($C9="",0,SUMIF('DADOS BRUTOS'!$A$3:$A$500,$C9,'DADOS BRUTOS'!DN$3:DN$500)))</f>
        <v/>
      </c>
      <c r="GO9" s="56">
        <f>IF(OR(GO$4="",$B9=""),0,SUMIF('DADOS BRUTOS'!$A$3:$A$500,$B9,'DADOS BRUTOS'!DO$3:DO$500)+IF($C9="",0,SUMIF('DADOS BRUTOS'!$A$3:$A$500,$C9,'DADOS BRUTOS'!DO$3:DO$500)))</f>
        <v/>
      </c>
      <c r="GP9" s="56">
        <f>IF(OR(GP$4="",$B9=""),0,SUMIF('DADOS BRUTOS'!$A$3:$A$500,$B9,'DADOS BRUTOS'!DP$3:DP$500)+IF($C9="",0,SUMIF('DADOS BRUTOS'!$A$3:$A$500,$C9,'DADOS BRUTOS'!DP$3:DP$500)))</f>
        <v/>
      </c>
      <c r="GQ9" s="56">
        <f>IF(OR(GQ$4="",$B9=""),0,SUMIF('DADOS BRUTOS'!$A$3:$A$500,$B9,'DADOS BRUTOS'!DQ$3:DQ$500)+IF($C9="",0,SUMIF('DADOS BRUTOS'!$A$3:$A$500,$C9,'DADOS BRUTOS'!DQ$3:DQ$500)))</f>
        <v/>
      </c>
      <c r="GR9" s="56">
        <f>IF(OR(GR$4="",$B9=""),0,SUMIF('DADOS BRUTOS'!$A$3:$A$500,$B9,'DADOS BRUTOS'!DR$3:DR$500)+IF($C9="",0,SUMIF('DADOS BRUTOS'!$A$3:$A$500,$C9,'DADOS BRUTOS'!DR$3:DR$500)))</f>
        <v/>
      </c>
      <c r="GS9" s="56">
        <f>IF(OR(GS$4="",$B9=""),0,SUMIF('DADOS BRUTOS'!$A$3:$A$500,$B9,'DADOS BRUTOS'!DS$3:DS$500)+IF($C9="",0,SUMIF('DADOS BRUTOS'!$A$3:$A$500,$C9,'DADOS BRUTOS'!DS$3:DS$500)))</f>
        <v/>
      </c>
      <c r="GT9" s="56">
        <f>IF(OR(GT$4="",$B9=""),0,SUMIF('DADOS BRUTOS'!$A$3:$A$500,$B9,'DADOS BRUTOS'!DT$3:DT$500)+IF($C9="",0,SUMIF('DADOS BRUTOS'!$A$3:$A$500,$C9,'DADOS BRUTOS'!DT$3:DT$500)))</f>
        <v/>
      </c>
      <c r="GU9" s="56">
        <f>IF(OR(GU$4="",$B9=""),0,SUMIF('DADOS BRUTOS'!$A$3:$A$500,$B9,'DADOS BRUTOS'!DU$3:DU$500)+IF($C9="",0,SUMIF('DADOS BRUTOS'!$A$3:$A$500,$C9,'DADOS BRUTOS'!DU$3:DU$500)))</f>
        <v/>
      </c>
      <c r="GV9" s="56">
        <f>IF(OR(GV$4="",$B9=""),0,SUMIF('DADOS BRUTOS'!$A$3:$A$500,$B9,'DADOS BRUTOS'!DV$3:DV$500)+IF($C9="",0,SUMIF('DADOS BRUTOS'!$A$3:$A$500,$C9,'DADOS BRUTOS'!DV$3:DV$500)))</f>
        <v/>
      </c>
      <c r="GW9" s="56">
        <f>IF(OR(GW$4="",$B9=""),0,SUMIF('DADOS BRUTOS'!$A$3:$A$500,$B9,'DADOS BRUTOS'!DW$3:DW$500)+IF($C9="",0,SUMIF('DADOS BRUTOS'!$A$3:$A$500,$C9,'DADOS BRUTOS'!DW$3:DW$500)))</f>
        <v/>
      </c>
      <c r="GX9" s="56">
        <f>IF(OR(GX$4="",$B9=""),0,SUMIF('DADOS BRUTOS'!$A$3:$A$500,$B9,'DADOS BRUTOS'!DX$3:DX$500)+IF($C9="",0,SUMIF('DADOS BRUTOS'!$A$3:$A$500,$C9,'DADOS BRUTOS'!DX$3:DX$500)))</f>
        <v/>
      </c>
      <c r="GY9" s="56">
        <f>IF(OR(GY$4="",$B9=""),0,SUMIF('DADOS BRUTOS'!$A$3:$A$500,$B9,'DADOS BRUTOS'!DY$3:DY$500)+IF($C9="",0,SUMIF('DADOS BRUTOS'!$A$3:$A$500,$C9,'DADOS BRUTOS'!DY$3:DY$500)))</f>
        <v/>
      </c>
      <c r="GZ9" s="56">
        <f>IF(OR(GZ$4="",$B9=""),0,SUMIF('DADOS BRUTOS'!$A$3:$A$500,$B9,'DADOS BRUTOS'!DZ$3:DZ$500)+IF($C9="",0,SUMIF('DADOS BRUTOS'!$A$3:$A$500,$C9,'DADOS BRUTOS'!DZ$3:DZ$500)))</f>
        <v/>
      </c>
      <c r="HA9" s="56">
        <f>IF(OR(HA$4="",$B9=""),0,SUMIF('DADOS BRUTOS'!$A$3:$A$500,$B9,'DADOS BRUTOS'!EA$3:EA$500)+IF($C9="",0,SUMIF('DADOS BRUTOS'!$A$3:$A$500,$C9,'DADOS BRUTOS'!EA$3:EA$500)))</f>
        <v/>
      </c>
      <c r="HB9" s="56">
        <f>IF(OR(HB$4="",$B9=""),0,SUMIF('DADOS BRUTOS'!$A$3:$A$500,$B9,'DADOS BRUTOS'!EB$3:EB$500)+IF($C9="",0,SUMIF('DADOS BRUTOS'!$A$3:$A$500,$C9,'DADOS BRUTOS'!EB$3:EB$500)))</f>
        <v/>
      </c>
      <c r="HC9" s="56">
        <f>IF(OR(HC$4="",$B9=""),0,SUMIF('DADOS BRUTOS'!$A$3:$A$500,$B9,'DADOS BRUTOS'!EC$3:EC$500)+IF($C9="",0,SUMIF('DADOS BRUTOS'!$A$3:$A$500,$C9,'DADOS BRUTOS'!EC$3:EC$500)))</f>
        <v/>
      </c>
      <c r="HD9" s="56">
        <f>IF(OR(HD$4="",$B9=""),0,SUMIF('DADOS BRUTOS'!$A$3:$A$500,$B9,'DADOS BRUTOS'!ED$3:ED$500)+IF($C9="",0,SUMIF('DADOS BRUTOS'!$A$3:$A$500,$C9,'DADOS BRUTOS'!ED$3:ED$500)))</f>
        <v/>
      </c>
      <c r="HE9" s="56">
        <f>IF(OR(HE$4="",$B9=""),0,SUMIF('DADOS BRUTOS'!$A$3:$A$500,$B9,'DADOS BRUTOS'!EE$3:EE$500)+IF($C9="",0,SUMIF('DADOS BRUTOS'!$A$3:$A$500,$C9,'DADOS BRUTOS'!EE$3:EE$500)))</f>
        <v/>
      </c>
      <c r="HF9" s="56">
        <f>IF(OR(HF$4="",$B9=""),0,SUMIF('DADOS BRUTOS'!$A$3:$A$500,$B9,'DADOS BRUTOS'!EF$3:EF$500)+IF($C9="",0,SUMIF('DADOS BRUTOS'!$A$3:$A$500,$C9,'DADOS BRUTOS'!EF$3:EF$500)))</f>
        <v/>
      </c>
      <c r="HG9" s="56">
        <f>IF(OR(HG$4="",$B9=""),0,SUMIF('DADOS BRUTOS'!$A$3:$A$500,$B9,'DADOS BRUTOS'!EG$3:EG$500)+IF($C9="",0,SUMIF('DADOS BRUTOS'!$A$3:$A$500,$C9,'DADOS BRUTOS'!EG$3:EG$500)))</f>
        <v/>
      </c>
      <c r="HH9" s="56">
        <f>IF(OR(HH$4="",$B9=""),0,SUMIF('DADOS BRUTOS'!$A$3:$A$500,$B9,'DADOS BRUTOS'!EH$3:EH$500)+IF($C9="",0,SUMIF('DADOS BRUTOS'!$A$3:$A$500,$C9,'DADOS BRUTOS'!EH$3:EH$500)))</f>
        <v/>
      </c>
      <c r="HI9" s="56">
        <f>IF(OR(HI$4="",$B9=""),0,SUMIF('DADOS BRUTOS'!$A$3:$A$500,$B9,'DADOS BRUTOS'!EI$3:EI$500)+IF($C9="",0,SUMIF('DADOS BRUTOS'!$A$3:$A$500,$C9,'DADOS BRUTOS'!EI$3:EI$500)))</f>
        <v/>
      </c>
      <c r="HJ9" s="56">
        <f>IF(OR(HJ$4="",$B9=""),0,SUMIF('DADOS BRUTOS'!$A$3:$A$500,$B9,'DADOS BRUTOS'!EJ$3:EJ$500)+IF($C9="",0,SUMIF('DADOS BRUTOS'!$A$3:$A$500,$C9,'DADOS BRUTOS'!EJ$3:EJ$500)))</f>
        <v/>
      </c>
      <c r="HK9" s="56">
        <f>IF(OR(HK$4="",$B9=""),0,SUMIF('DADOS BRUTOS'!$A$3:$A$500,$B9,'DADOS BRUTOS'!EK$3:EK$500)+IF($C9="",0,SUMIF('DADOS BRUTOS'!$A$3:$A$500,$C9,'DADOS BRUTOS'!EK$3:EK$500)))</f>
        <v/>
      </c>
      <c r="HL9" s="56">
        <f>IF(OR(HL$4="",$B9=""),0,SUMIF('DADOS BRUTOS'!$A$3:$A$500,$B9,'DADOS BRUTOS'!EL$3:EL$500)+IF($C9="",0,SUMIF('DADOS BRUTOS'!$A$3:$A$500,$C9,'DADOS BRUTOS'!EL$3:EL$500)))</f>
        <v/>
      </c>
      <c r="HM9" s="56">
        <f>IF(OR(HM$4="",$B9=""),0,SUMIF('DADOS BRUTOS'!$A$3:$A$500,$B9,'DADOS BRUTOS'!EM$3:EM$500)+IF($C9="",0,SUMIF('DADOS BRUTOS'!$A$3:$A$500,$C9,'DADOS BRUTOS'!EM$3:EM$500)))</f>
        <v/>
      </c>
      <c r="HN9" s="56">
        <f>IF(OR(HN$4="",$B9=""),0,SUMIF('DADOS BRUTOS'!$A$3:$A$500,$B9,'DADOS BRUTOS'!EN$3:EN$500)+IF($C9="",0,SUMIF('DADOS BRUTOS'!$A$3:$A$500,$C9,'DADOS BRUTOS'!EN$3:EN$500)))</f>
        <v/>
      </c>
      <c r="HO9" s="56">
        <f>IF(OR(HO$4="",$B9=""),0,SUMIF('DADOS BRUTOS'!$A$3:$A$500,$B9,'DADOS BRUTOS'!EO$3:EO$500)+IF($C9="",0,SUMIF('DADOS BRUTOS'!$A$3:$A$500,$C9,'DADOS BRUTOS'!EO$3:EO$500)))</f>
        <v/>
      </c>
      <c r="HP9" s="56">
        <f>IF(OR(HP$4="",$B9=""),0,SUMIF('DADOS BRUTOS'!$A$3:$A$500,$B9,'DADOS BRUTOS'!EP$3:EP$500)+IF($C9="",0,SUMIF('DADOS BRUTOS'!$A$3:$A$500,$C9,'DADOS BRUTOS'!EP$3:EP$500)))</f>
        <v/>
      </c>
      <c r="HQ9" s="56">
        <f>IF(OR(HQ$4="",$B9=""),0,SUMIF('DADOS BRUTOS'!$A$3:$A$500,$B9,'DADOS BRUTOS'!EQ$3:EQ$500)+IF($C9="",0,SUMIF('DADOS BRUTOS'!$A$3:$A$500,$C9,'DADOS BRUTOS'!EQ$3:EQ$500)))</f>
        <v/>
      </c>
      <c r="HR9" s="56">
        <f>IF(OR(HR$4="",$B9=""),0,SUMIF('DADOS BRUTOS'!$A$3:$A$500,$B9,'DADOS BRUTOS'!ER$3:ER$500)+IF($C9="",0,SUMIF('DADOS BRUTOS'!$A$3:$A$500,$C9,'DADOS BRUTOS'!ER$3:ER$500)))</f>
        <v/>
      </c>
      <c r="HS9" s="56">
        <f>IF(OR(HS$4="",$B9=""),0,SUMIF('DADOS BRUTOS'!$A$3:$A$500,$B9,'DADOS BRUTOS'!ES$3:ES$500)+IF($C9="",0,SUMIF('DADOS BRUTOS'!$A$3:$A$500,$C9,'DADOS BRUTOS'!ES$3:ES$500)))</f>
        <v/>
      </c>
      <c r="HT9" s="56">
        <f>IF(OR(HT$4="",$B9=""),0,SUMIF('DADOS BRUTOS'!$A$3:$A$500,$B9,'DADOS BRUTOS'!ET$3:ET$500)+IF($C9="",0,SUMIF('DADOS BRUTOS'!$A$3:$A$500,$C9,'DADOS BRUTOS'!ET$3:ET$500)))</f>
        <v/>
      </c>
      <c r="HU9" s="56">
        <f>IF(OR(HU$4="",$B9=""),0,SUMIF('DADOS BRUTOS'!$A$3:$A$500,$B9,'DADOS BRUTOS'!EU$3:EU$500)+IF($C9="",0,SUMIF('DADOS BRUTOS'!$A$3:$A$500,$C9,'DADOS BRUTOS'!EU$3:EU$500)))</f>
        <v/>
      </c>
      <c r="HV9" s="56">
        <f>IF(OR(HV$4="",$B9=""),0,SUMIF('DADOS BRUTOS'!$A$3:$A$500,$B9,'DADOS BRUTOS'!EV$3:EV$500)+IF($C9="",0,SUMIF('DADOS BRUTOS'!$A$3:$A$500,$C9,'DADOS BRUTOS'!EV$3:EV$500)))</f>
        <v/>
      </c>
      <c r="HW9" s="56">
        <f>IF(OR(HW$4="",$B9=""),0,SUMIF('DADOS BRUTOS'!$A$3:$A$500,$B9,'DADOS BRUTOS'!EW$3:EW$500)+IF($C9="",0,SUMIF('DADOS BRUTOS'!$A$3:$A$500,$C9,'DADOS BRUTOS'!EW$3:EW$500)))</f>
        <v/>
      </c>
      <c r="HX9" s="56">
        <f>IF(OR(HX$4="",$B9=""),0,SUMIF('DADOS BRUTOS'!$A$3:$A$500,$B9,'DADOS BRUTOS'!EX$3:EX$500)+IF($C9="",0,SUMIF('DADOS BRUTOS'!$A$3:$A$500,$C9,'DADOS BRUTOS'!EX$3:EX$500)))</f>
        <v/>
      </c>
      <c r="HY9" s="56">
        <f>IF(OR(HY$4="",$B9=""),0,SUMIF('DADOS BRUTOS'!$A$3:$A$500,$B9,'DADOS BRUTOS'!EY$3:EY$500)+IF($C9="",0,SUMIF('DADOS BRUTOS'!$A$3:$A$500,$C9,'DADOS BRUTOS'!EY$3:EY$500)))</f>
        <v/>
      </c>
      <c r="HZ9" s="56">
        <f>IF(OR(HZ$4="",$B9=""),0,SUMIF('DADOS BRUTOS'!$A$3:$A$500,$B9,'DADOS BRUTOS'!EZ$3:EZ$500)+IF($C9="",0,SUMIF('DADOS BRUTOS'!$A$3:$A$500,$C9,'DADOS BRUTOS'!EZ$3:EZ$500)))</f>
        <v/>
      </c>
      <c r="IA9" s="56">
        <f>IF(OR(IA$4="",$B9=""),0,SUMIF('DADOS BRUTOS'!$A$3:$A$500,$B9,'DADOS BRUTOS'!FA$3:FA$500)+IF($C9="",0,SUMIF('DADOS BRUTOS'!$A$3:$A$500,$C9,'DADOS BRUTOS'!FA$3:FA$500)))</f>
        <v/>
      </c>
      <c r="IB9" s="56">
        <f>IF(OR(IB$4="",$B9=""),0,SUMIF('DADOS BRUTOS'!$A$3:$A$500,$B9,'DADOS BRUTOS'!FB$3:FB$500)+IF($C9="",0,SUMIF('DADOS BRUTOS'!$A$3:$A$500,$C9,'DADOS BRUTOS'!FB$3:FB$500)))</f>
        <v/>
      </c>
      <c r="IC9" s="56">
        <f>IF(OR(IC$4="",$B9=""),0,SUMIF('DADOS BRUTOS'!$A$3:$A$500,$B9,'DADOS BRUTOS'!FC$3:FC$500)+IF($C9="",0,SUMIF('DADOS BRUTOS'!$A$3:$A$500,$C9,'DADOS BRUTOS'!FC$3:FC$500)))</f>
        <v/>
      </c>
      <c r="ID9" s="56">
        <f>IF(OR(ID$4="",$B9=""),0,SUMIF('DADOS BRUTOS'!$A$3:$A$500,$B9,'DADOS BRUTOS'!FD$3:FD$500)+IF($C9="",0,SUMIF('DADOS BRUTOS'!$A$3:$A$500,$C9,'DADOS BRUTOS'!FD$3:FD$500)))</f>
        <v/>
      </c>
      <c r="IE9" s="56">
        <f>IF(OR(IE$4="",$B9=""),0,SUMIF('DADOS BRUTOS'!$A$3:$A$500,$B9,'DADOS BRUTOS'!FE$3:FE$500)+IF($C9="",0,SUMIF('DADOS BRUTOS'!$A$3:$A$500,$C9,'DADOS BRUTOS'!FE$3:FE$500)))</f>
        <v/>
      </c>
      <c r="IF9" s="56">
        <f>IF(OR(IF$4="",$B9=""),0,SUMIF('DADOS BRUTOS'!$A$3:$A$500,$B9,'DADOS BRUTOS'!FF$3:FF$500)+IF($C9="",0,SUMIF('DADOS BRUTOS'!$A$3:$A$500,$C9,'DADOS BRUTOS'!FF$3:FF$500)))</f>
        <v/>
      </c>
      <c r="IG9" s="56">
        <f>IF(OR(IG$4="",$B9=""),0,SUMIF('DADOS BRUTOS'!$A$3:$A$500,$B9,'DADOS BRUTOS'!FG$3:FG$500)+IF($C9="",0,SUMIF('DADOS BRUTOS'!$A$3:$A$500,$C9,'DADOS BRUTOS'!FG$3:FG$500)))</f>
        <v/>
      </c>
      <c r="IH9" s="56">
        <f>IF(OR(IH$4="",$B9=""),0,SUMIF('DADOS BRUTOS'!$A$3:$A$500,$B9,'DADOS BRUTOS'!FH$3:FH$500)+IF($C9="",0,SUMIF('DADOS BRUTOS'!$A$3:$A$500,$C9,'DADOS BRUTOS'!FH$3:FH$500)))</f>
        <v/>
      </c>
      <c r="II9" s="56">
        <f>IF(OR(II$4="",$B9=""),0,SUMIF('DADOS BRUTOS'!$A$3:$A$500,$B9,'DADOS BRUTOS'!FI$3:FI$500)+IF($C9="",0,SUMIF('DADOS BRUTOS'!$A$3:$A$500,$C9,'DADOS BRUTOS'!FI$3:FI$500)))</f>
        <v/>
      </c>
      <c r="IJ9" s="56">
        <f>IF(OR(IJ$4="",$B9=""),0,SUMIF('DADOS BRUTOS'!$A$3:$A$500,$B9,'DADOS BRUTOS'!FJ$3:FJ$500)+IF($C9="",0,SUMIF('DADOS BRUTOS'!$A$3:$A$500,$C9,'DADOS BRUTOS'!FJ$3:FJ$500)))</f>
        <v/>
      </c>
      <c r="IK9" s="56">
        <f>IF(OR(IK$4="",$B9=""),0,SUMIF('DADOS BRUTOS'!$A$3:$A$500,$B9,'DADOS BRUTOS'!FK$3:FK$500)+IF($C9="",0,SUMIF('DADOS BRUTOS'!$A$3:$A$500,$C9,'DADOS BRUTOS'!FK$3:FK$500)))</f>
        <v/>
      </c>
      <c r="IL9" s="56">
        <f>IF(OR(IL$4="",$B9=""),0,SUMIF('DADOS BRUTOS'!$A$3:$A$500,$B9,'DADOS BRUTOS'!FL$3:FL$500)+IF($C9="",0,SUMIF('DADOS BRUTOS'!$A$3:$A$500,$C9,'DADOS BRUTOS'!FL$3:FL$500)))</f>
        <v/>
      </c>
      <c r="IM9" s="56">
        <f>IF(OR(IM$4="",$B9=""),0,SUMIF('DADOS BRUTOS'!$A$3:$A$500,$B9,'DADOS BRUTOS'!FM$3:FM$500)+IF($C9="",0,SUMIF('DADOS BRUTOS'!$A$3:$A$500,$C9,'DADOS BRUTOS'!FM$3:FM$500)))</f>
        <v/>
      </c>
      <c r="IN9" s="56">
        <f>IF(OR(IN$4="",$B9=""),0,SUMIF('DADOS BRUTOS'!$A$3:$A$500,$B9,'DADOS BRUTOS'!FN$3:FN$500)+IF($C9="",0,SUMIF('DADOS BRUTOS'!$A$3:$A$500,$C9,'DADOS BRUTOS'!FN$3:FN$500)))</f>
        <v/>
      </c>
      <c r="IO9" s="56">
        <f>IF(OR(IO$4="",$B9=""),0,SUMIF('DADOS BRUTOS'!$A$3:$A$500,$B9,'DADOS BRUTOS'!FO$3:FO$500)+IF($C9="",0,SUMIF('DADOS BRUTOS'!$A$3:$A$500,$C9,'DADOS BRUTOS'!FO$3:FO$500)))</f>
        <v/>
      </c>
      <c r="IP9" s="56">
        <f>IF(OR(IP$4="",$B9=""),0,SUMIF('DADOS BRUTOS'!$A$3:$A$500,$B9,'DADOS BRUTOS'!FP$3:FP$500)+IF($C9="",0,SUMIF('DADOS BRUTOS'!$A$3:$A$500,$C9,'DADOS BRUTOS'!FP$3:FP$500)))</f>
        <v/>
      </c>
      <c r="IQ9" s="56">
        <f>IF(OR(IQ$4="",$B9=""),0,SUMIF('DADOS BRUTOS'!$A$3:$A$500,$B9,'DADOS BRUTOS'!FQ$3:FQ$500)+IF($C9="",0,SUMIF('DADOS BRUTOS'!$A$3:$A$500,$C9,'DADOS BRUTOS'!FQ$3:FQ$500)))</f>
        <v/>
      </c>
      <c r="IR9" s="56">
        <f>IF(OR(IR$4="",$B9=""),0,SUMIF('DADOS BRUTOS'!$A$3:$A$500,$B9,'DADOS BRUTOS'!FR$3:FR$500)+IF($C9="",0,SUMIF('DADOS BRUTOS'!$A$3:$A$500,$C9,'DADOS BRUTOS'!FR$3:FR$500)))</f>
        <v/>
      </c>
      <c r="IS9" s="56">
        <f>IF(OR(IS$4="",$B9=""),0,SUMIF('DADOS BRUTOS'!$A$3:$A$500,$B9,'DADOS BRUTOS'!FS$3:FS$500)+IF($C9="",0,SUMIF('DADOS BRUTOS'!$A$3:$A$500,$C9,'DADOS BRUTOS'!FS$3:FS$500)))</f>
        <v/>
      </c>
      <c r="IT9" s="56">
        <f>IF(OR(IT$4="",$B9=""),0,SUMIF('DADOS BRUTOS'!$A$3:$A$500,$B9,'DADOS BRUTOS'!FT$3:FT$500)+IF($C9="",0,SUMIF('DADOS BRUTOS'!$A$3:$A$500,$C9,'DADOS BRUTOS'!FT$3:FT$500)))</f>
        <v/>
      </c>
      <c r="IU9" s="56">
        <f>IF(OR(IU$4="",$B9=""),0,SUMIF('DADOS BRUTOS'!$A$3:$A$500,$B9,'DADOS BRUTOS'!FU$3:FU$500)+IF($C9="",0,SUMIF('DADOS BRUTOS'!$A$3:$A$500,$C9,'DADOS BRUTOS'!FU$3:FU$500)))</f>
        <v/>
      </c>
      <c r="IV9" s="56">
        <f>IF(OR(IV$4="",$B9=""),0,SUMIF('DADOS BRUTOS'!$A$3:$A$500,$B9,'DADOS BRUTOS'!FV$3:FV$500)+IF($C9="",0,SUMIF('DADOS BRUTOS'!$A$3:$A$500,$C9,'DADOS BRUTOS'!FV$3:FV$500)))</f>
        <v/>
      </c>
      <c r="IW9" s="56">
        <f>IF(OR(IW$4="",$B9=""),0,SUMIF('DADOS BRUTOS'!$A$3:$A$500,$B9,'DADOS BRUTOS'!FW$3:FW$500)+IF($C9="",0,SUMIF('DADOS BRUTOS'!$A$3:$A$500,$C9,'DADOS BRUTOS'!FW$3:FW$500)))</f>
        <v/>
      </c>
      <c r="IX9" s="56">
        <f>IF(OR(IX$4="",$B9=""),0,SUMIF('DADOS BRUTOS'!$A$3:$A$500,$B9,'DADOS BRUTOS'!FX$3:FX$500)+IF($C9="",0,SUMIF('DADOS BRUTOS'!$A$3:$A$500,$C9,'DADOS BRUTOS'!FX$3:FX$500)))</f>
        <v/>
      </c>
      <c r="IY9" s="56">
        <f>IF(OR(IY$4="",$B9=""),0,SUMIF('DADOS BRUTOS'!$A$3:$A$500,$B9,'DADOS BRUTOS'!FY$3:FY$500)+IF($C9="",0,SUMIF('DADOS BRUTOS'!$A$3:$A$500,$C9,'DADOS BRUTOS'!FY$3:FY$500)))</f>
        <v/>
      </c>
      <c r="IZ9" s="56">
        <f>IF(OR(IZ$4="",$B9=""),0,SUMIF('DADOS BRUTOS'!$A$3:$A$500,$B9,'DADOS BRUTOS'!FZ$3:FZ$500)+IF($C9="",0,SUMIF('DADOS BRUTOS'!$A$3:$A$500,$C9,'DADOS BRUTOS'!FZ$3:FZ$500)))</f>
        <v/>
      </c>
      <c r="JA9" s="56">
        <f>IF(OR(JA$4="",$B9=""),0,SUMIF('DADOS BRUTOS'!$A$3:$A$500,$B9,'DADOS BRUTOS'!GA$3:GA$500)+IF($C9="",0,SUMIF('DADOS BRUTOS'!$A$3:$A$500,$C9,'DADOS BRUTOS'!GA$3:GA$500)))</f>
        <v/>
      </c>
      <c r="JB9" s="56">
        <f>IF(OR(JB$4="",$B9=""),0,SUMIF('DADOS BRUTOS'!$A$3:$A$500,$B9,'DADOS BRUTOS'!GB$3:GB$500)+IF($C9="",0,SUMIF('DADOS BRUTOS'!$A$3:$A$500,$C9,'DADOS BRUTOS'!GB$3:GB$500)))</f>
        <v/>
      </c>
      <c r="JC9" s="56">
        <f>IF(OR(JC$4="",$B9=""),0,SUMIF('DADOS BRUTOS'!$A$3:$A$500,$B9,'DADOS BRUTOS'!GC$3:GC$500)+IF($C9="",0,SUMIF('DADOS BRUTOS'!$A$3:$A$500,$C9,'DADOS BRUTOS'!GC$3:GC$500)))</f>
        <v/>
      </c>
      <c r="JD9" s="56">
        <f>IF(OR(JD$4="",$B9=""),0,SUMIF('DADOS BRUTOS'!$A$3:$A$500,$B9,'DADOS BRUTOS'!GD$3:GD$500)+IF($C9="",0,SUMIF('DADOS BRUTOS'!$A$3:$A$500,$C9,'DADOS BRUTOS'!GD$3:GD$500)))</f>
        <v/>
      </c>
      <c r="JE9" s="56">
        <f>IF(OR(JE$4="",$B9=""),0,SUMIF('DADOS BRUTOS'!$A$3:$A$500,$B9,'DADOS BRUTOS'!GE$3:GE$500)+IF($C9="",0,SUMIF('DADOS BRUTOS'!$A$3:$A$500,$C9,'DADOS BRUTOS'!GE$3:GE$500)))</f>
        <v/>
      </c>
      <c r="JF9" s="56">
        <f>IF(OR(JF$4="",$B9=""),0,SUMIF('DADOS BRUTOS'!$A$3:$A$500,$B9,'DADOS BRUTOS'!GF$3:GF$500)+IF($C9="",0,SUMIF('DADOS BRUTOS'!$A$3:$A$500,$C9,'DADOS BRUTOS'!GF$3:GF$500)))</f>
        <v/>
      </c>
      <c r="JG9" s="56">
        <f>IF(OR(JG$4="",$B9=""),0,SUMIF('DADOS BRUTOS'!$A$3:$A$500,$B9,'DADOS BRUTOS'!GG$3:GG$500)+IF($C9="",0,SUMIF('DADOS BRUTOS'!$A$3:$A$500,$C9,'DADOS BRUTOS'!GG$3:GG$500)))</f>
        <v/>
      </c>
      <c r="JH9" s="56">
        <f>IF(OR(JH$4="",$B9=""),0,SUMIF('DADOS BRUTOS'!$A$3:$A$500,$B9,'DADOS BRUTOS'!GH$3:GH$500)+IF($C9="",0,SUMIF('DADOS BRUTOS'!$A$3:$A$500,$C9,'DADOS BRUTOS'!GH$3:GH$500)))</f>
        <v/>
      </c>
      <c r="JI9" s="56">
        <f>IF(OR(JI$4="",$B9=""),0,SUMIF('DADOS BRUTOS'!$A$3:$A$500,$B9,'DADOS BRUTOS'!GI$3:GI$500)+IF($C9="",0,SUMIF('DADOS BRUTOS'!$A$3:$A$500,$C9,'DADOS BRUTOS'!GI$3:GI$500)))</f>
        <v/>
      </c>
      <c r="JJ9" s="56">
        <f>IF(OR(JJ$4="",$B9=""),0,SUMIF('DADOS BRUTOS'!$A$3:$A$500,$B9,'DADOS BRUTOS'!GJ$3:GJ$500)+IF($C9="",0,SUMIF('DADOS BRUTOS'!$A$3:$A$500,$C9,'DADOS BRUTOS'!GJ$3:GJ$500)))</f>
        <v/>
      </c>
      <c r="JK9" s="56">
        <f>IF(OR(JK$4="",$B9=""),0,SUMIF('DADOS BRUTOS'!$A$3:$A$500,$B9,'DADOS BRUTOS'!GK$3:GK$500)+IF($C9="",0,SUMIF('DADOS BRUTOS'!$A$3:$A$500,$C9,'DADOS BRUTOS'!GK$3:GK$500)))</f>
        <v/>
      </c>
      <c r="JL9" s="56">
        <f>IF(OR(JL$4="",$B9=""),0,SUMIF('DADOS BRUTOS'!$A$3:$A$500,$B9,'DADOS BRUTOS'!GL$3:GL$500)+IF($C9="",0,SUMIF('DADOS BRUTOS'!$A$3:$A$500,$C9,'DADOS BRUTOS'!GL$3:GL$500)))</f>
        <v/>
      </c>
      <c r="JM9" s="56">
        <f>IF(OR(JM$4="",$B9=""),0,SUMIF('DADOS BRUTOS'!$A$3:$A$500,$B9,'DADOS BRUTOS'!GM$3:GM$500)+IF($C9="",0,SUMIF('DADOS BRUTOS'!$A$3:$A$500,$C9,'DADOS BRUTOS'!GM$3:GM$500)))</f>
        <v/>
      </c>
      <c r="JN9" s="56">
        <f>IF(OR(JN$4="",$B9=""),0,SUMIF('DADOS BRUTOS'!$A$3:$A$500,$B9,'DADOS BRUTOS'!GN$3:GN$500)+IF($C9="",0,SUMIF('DADOS BRUTOS'!$A$3:$A$500,$C9,'DADOS BRUTOS'!GN$3:GN$500)))</f>
        <v/>
      </c>
      <c r="JO9" s="56">
        <f>IF(OR(JO$4="",$B9=""),0,SUMIF('DADOS BRUTOS'!$A$3:$A$500,$B9,'DADOS BRUTOS'!GO$3:GO$500)+IF($C9="",0,SUMIF('DADOS BRUTOS'!$A$3:$A$500,$C9,'DADOS BRUTOS'!GO$3:GO$500)))</f>
        <v/>
      </c>
      <c r="JP9" s="56">
        <f>IF(OR(JP$4="",$B9=""),0,SUMIF('DADOS BRUTOS'!$A$3:$A$500,$B9,'DADOS BRUTOS'!GP$3:GP$500)+IF($C9="",0,SUMIF('DADOS BRUTOS'!$A$3:$A$500,$C9,'DADOS BRUTOS'!GP$3:GP$500)))</f>
        <v/>
      </c>
      <c r="JQ9" s="56">
        <f>IF(OR(JQ$4="",$B9=""),0,SUMIF('DADOS BRUTOS'!$A$3:$A$500,$B9,'DADOS BRUTOS'!GQ$3:GQ$500)+IF($C9="",0,SUMIF('DADOS BRUTOS'!$A$3:$A$500,$C9,'DADOS BRUTOS'!GQ$3:GQ$500)))</f>
        <v/>
      </c>
      <c r="JR9" s="56">
        <f>IF(OR(JR$4="",$B9=""),0,SUMIF('DADOS BRUTOS'!$A$3:$A$500,$B9,'DADOS BRUTOS'!GR$3:GR$500)+IF($C9="",0,SUMIF('DADOS BRUTOS'!$A$3:$A$500,$C9,'DADOS BRUTOS'!GR$3:GR$500)))</f>
        <v/>
      </c>
      <c r="JS9" s="56">
        <f>IF(OR(JS$4="",$B9=""),0,SUMIF('DADOS BRUTOS'!$A$3:$A$500,$B9,'DADOS BRUTOS'!GS$3:GS$500)+IF($C9="",0,SUMIF('DADOS BRUTOS'!$A$3:$A$500,$C9,'DADOS BRUTOS'!GS$3:GS$500)))</f>
        <v/>
      </c>
    </row>
    <row r="10">
      <c r="A10" s="34">
        <f>'VALOR POR PL'!D16</f>
        <v/>
      </c>
      <c r="B10" s="21" t="inlineStr">
        <is>
          <t>CONSUMO DE ÁGUA, ENERGIA, ETC.</t>
        </is>
      </c>
      <c r="C10" s="21" t="n"/>
      <c r="D10" s="17">
        <f>SUMIF($CB$4:$JS$4,"&lt;="&amp;D$4,$CB10:$JS10)</f>
        <v/>
      </c>
      <c r="E10" s="17">
        <f>SUMIF($CB$4:$JS$4,E$4,$CB10:$JS10)</f>
        <v/>
      </c>
      <c r="F10" s="17">
        <f>SUMIF($CB$4:$JS$4,F$4,$CB10:$JS10)</f>
        <v/>
      </c>
      <c r="G10" s="17">
        <f>SUMIF($CB$4:$JS$4,G$4,$CB10:$JS10)</f>
        <v/>
      </c>
      <c r="H10" s="17">
        <f>SUMIF($CB$4:$JS$4,H$4,$CB10:$JS10)</f>
        <v/>
      </c>
      <c r="I10" s="17">
        <f>SUMIF($CB$4:$JS$4,I$4,$CB10:$JS10)</f>
        <v/>
      </c>
      <c r="J10" s="17">
        <f>SUMIF($CB$4:$JS$4,J$4,$CB10:$JS10)</f>
        <v/>
      </c>
      <c r="K10" s="17">
        <f>SUMIF($CB$4:$JS$4,K$4,$CB10:$JS10)</f>
        <v/>
      </c>
      <c r="L10" s="17">
        <f>SUMIF($CB$4:$JS$4,L$4,$CB10:$JS10)</f>
        <v/>
      </c>
      <c r="M10" s="17">
        <f>SUMIF($CB$4:$JS$4,M$4,$CB10:$JS10)</f>
        <v/>
      </c>
      <c r="N10" s="17">
        <f>SUMIF($CB$4:$JS$4,N$4,$CB10:$JS10)</f>
        <v/>
      </c>
      <c r="O10" s="17">
        <f>SUMIF($CB$4:$JS$4,O$4,$CB10:$JS10)</f>
        <v/>
      </c>
      <c r="P10" s="17">
        <f>SUMIF($CB$4:$JS$4,P$4,$CB10:$JS10)</f>
        <v/>
      </c>
      <c r="Q10" s="17">
        <f>SUMIF($CB$4:$JS$4,Q$4,$CB10:$JS10)</f>
        <v/>
      </c>
      <c r="R10" s="17">
        <f>SUMIF($CB$4:$JS$4,R$4,$CB10:$JS10)</f>
        <v/>
      </c>
      <c r="S10" s="17">
        <f>SUMIF($CB$4:$JS$4,S$4,$CB10:$JS10)</f>
        <v/>
      </c>
      <c r="T10" s="17">
        <f>SUMIF($CB$4:$JS$4,T$4,$CB10:$JS10)</f>
        <v/>
      </c>
      <c r="U10" s="17">
        <f>SUMIF($CB$4:$JS$4,U$4,$CB10:$JS10)</f>
        <v/>
      </c>
      <c r="V10" s="17">
        <f>SUMIF($CB$4:$JS$4,V$4,$CB10:$JS10)</f>
        <v/>
      </c>
      <c r="W10" s="17">
        <f>SUMIF($CB$4:$JS$4,W$4,$CB10:$JS10)</f>
        <v/>
      </c>
      <c r="X10" s="17">
        <f>SUMIF($CB$4:$JS$4,X$4,$CB10:$JS10)</f>
        <v/>
      </c>
      <c r="Y10" s="17">
        <f>SUMIF($CB$4:$JS$4,Y$4,$CB10:$JS10)</f>
        <v/>
      </c>
      <c r="Z10" s="17">
        <f>SUMIF($CB$4:$JS$4,Z$4,$CB10:$JS10)</f>
        <v/>
      </c>
      <c r="AA10" s="17">
        <f>SUMIF($CB$4:$JS$4,AA$4,$CB10:$JS10)</f>
        <v/>
      </c>
      <c r="AB10" s="17">
        <f>SUMIF($CB$4:$JS$4,AB$4,$CB10:$JS10)</f>
        <v/>
      </c>
      <c r="AC10" s="17">
        <f>SUMIF($CB$4:$JS$4,AC$4,$CB10:$JS10)</f>
        <v/>
      </c>
      <c r="AD10" s="17">
        <f>SUMIF($CB$4:$JS$4,AD$4,$CB10:$JS10)</f>
        <v/>
      </c>
      <c r="AE10" s="17">
        <f>SUMIF($CB$4:$JS$4,AE$4,$CB10:$JS10)</f>
        <v/>
      </c>
      <c r="AF10" s="17">
        <f>SUMIF($CB$4:$JS$4,AF$4,$CB10:$JS10)</f>
        <v/>
      </c>
      <c r="AG10" s="17">
        <f>SUMIF($CB$4:$JS$4,AG$4,$CB10:$JS10)</f>
        <v/>
      </c>
      <c r="AH10" s="17">
        <f>SUMIF($CB$4:$JS$4,AH$4,$CB10:$JS10)</f>
        <v/>
      </c>
      <c r="AI10" s="17">
        <f>SUMIF($CB$4:$JS$4,AI$4,$CB10:$JS10)</f>
        <v/>
      </c>
      <c r="AJ10" s="17">
        <f>SUMIF($CB$4:$JS$4,AJ$4,$CB10:$JS10)</f>
        <v/>
      </c>
      <c r="AK10" s="17">
        <f>SUMIF($CB$4:$JS$4,AK$4,$CB10:$JS10)</f>
        <v/>
      </c>
      <c r="AL10" s="17">
        <f>SUMIF($CB$4:$JS$4,AL$4,$CB10:$JS10)</f>
        <v/>
      </c>
      <c r="AM10" s="17">
        <f>SUMIF($CB$4:$JS$4,AM$4,$CB10:$JS10)</f>
        <v/>
      </c>
      <c r="AN10" s="17">
        <f>SUMIF($CB$4:$JS$4,AN$4,$CB10:$JS10)</f>
        <v/>
      </c>
      <c r="AO10" s="17">
        <f>SUMIF($CB$4:$JS$4,AO$4,$CB10:$JS10)</f>
        <v/>
      </c>
      <c r="AP10" s="17">
        <f>SUMIF($CB$4:$JS$4,AP$4,$CB10:$JS10)</f>
        <v/>
      </c>
      <c r="AQ10" s="17">
        <f>SUMIF($CB$4:$JS$4,AQ$4,$CB10:$JS10)</f>
        <v/>
      </c>
      <c r="AR10" s="17">
        <f>SUMIF($CB$4:$JS$4,AR$4,$CB10:$JS10)</f>
        <v/>
      </c>
      <c r="AS10" s="17">
        <f>SUMIF($CB$4:$JS$4,AS$4,$CB10:$JS10)</f>
        <v/>
      </c>
      <c r="AT10" s="17">
        <f>SUMIF($CB$4:$JS$4,AT$4,$CB10:$JS10)</f>
        <v/>
      </c>
      <c r="AU10" s="17">
        <f>SUMIF($CB$4:$JS$4,AU$4,$CB10:$JS10)</f>
        <v/>
      </c>
      <c r="AV10" s="17">
        <f>SUMIF($CB$4:$JS$4,AV$4,$CB10:$JS10)</f>
        <v/>
      </c>
      <c r="AW10" s="17">
        <f>SUMIF($CB$4:$JS$4,AW$4,$CB10:$JS10)</f>
        <v/>
      </c>
      <c r="AX10" s="17">
        <f>SUMIF($CB$4:$JS$4,AX$4,$CB10:$JS10)</f>
        <v/>
      </c>
      <c r="AY10" s="17">
        <f>SUMIF($CB$4:$JS$4,AY$4,$CB10:$JS10)</f>
        <v/>
      </c>
      <c r="AZ10" s="17">
        <f>SUMIF($CB$4:$JS$4,AZ$4,$CB10:$JS10)</f>
        <v/>
      </c>
      <c r="BA10" s="17">
        <f>SUMIF($CB$4:$JS$4,BA$4,$CB10:$JS10)</f>
        <v/>
      </c>
      <c r="BB10" s="17">
        <f>SUMIF($CB$4:$JS$4,BB$4,$CB10:$JS10)</f>
        <v/>
      </c>
      <c r="BC10" s="17">
        <f>SUMIF($CB$4:$JS$4,BC$4,$CB10:$JS10)</f>
        <v/>
      </c>
      <c r="BD10" s="17">
        <f>SUMIF($CB$4:$JS$4,BD$4,$CB10:$JS10)</f>
        <v/>
      </c>
      <c r="BE10" s="17">
        <f>SUMIF($CB$4:$JS$4,BE$4,$CB10:$JS10)</f>
        <v/>
      </c>
      <c r="BF10" s="17">
        <f>SUMIF($CB$4:$JS$4,BF$4,$CB10:$JS10)</f>
        <v/>
      </c>
      <c r="BG10" s="17">
        <f>SUMIF($CB$4:$JS$4,BG$4,$CB10:$JS10)</f>
        <v/>
      </c>
      <c r="BH10" s="17">
        <f>SUMIF($CB$4:$JS$4,BH$4,$CB10:$JS10)</f>
        <v/>
      </c>
      <c r="BI10" s="17">
        <f>SUMIF($CB$4:$JS$4,BI$4,$CB10:$JS10)</f>
        <v/>
      </c>
      <c r="BJ10" s="17">
        <f>SUMIF($CB$4:$JS$4,BJ$4,$CB10:$JS10)</f>
        <v/>
      </c>
      <c r="BK10" s="17">
        <f>SUMIF($CB$4:$JS$4,BK$4,$CB10:$JS10)</f>
        <v/>
      </c>
      <c r="BL10" s="17">
        <f>SUMIF($CB$4:$JS$4,BL$4,$CB10:$JS10)</f>
        <v/>
      </c>
      <c r="BM10" s="17">
        <f>SUMIF($CB$4:$JS$4,BM$4,$CB10:$JS10)</f>
        <v/>
      </c>
      <c r="BN10" s="17">
        <f>SUMIF($CB$4:$JS$4,BN$4,$CB10:$JS10)</f>
        <v/>
      </c>
      <c r="BO10" s="17">
        <f>SUMIF($CB$4:$JS$4,BO$4,$CB10:$JS10)</f>
        <v/>
      </c>
      <c r="BP10" s="17">
        <f>SUMIF($CB$4:$JS$4,BP$4,$CB10:$JS10)</f>
        <v/>
      </c>
      <c r="BQ10" s="17">
        <f>SUMIF($CB$4:$JS$4,BQ$4,$CB10:$JS10)</f>
        <v/>
      </c>
      <c r="BR10" s="17">
        <f>SUMIF($CB$4:$JS$4,BR$4,$CB10:$JS10)</f>
        <v/>
      </c>
      <c r="BS10" s="17">
        <f>SUMIF($CB$4:$JS$4,BS$4,$CB10:$JS10)</f>
        <v/>
      </c>
      <c r="BT10" s="17">
        <f>SUMIF($CB$4:$JS$4,BT$4,$CB10:$JS10)</f>
        <v/>
      </c>
      <c r="BU10" s="17">
        <f>SUMIF($CB$4:$JS$4,BU$4,$CB10:$JS10)</f>
        <v/>
      </c>
      <c r="BV10" s="17">
        <f>SUMIF($CB$4:$JS$4,BV$4,$CB10:$JS10)</f>
        <v/>
      </c>
      <c r="BW10" s="17">
        <f>SUMIF($CB$4:$JS$4,BW$4,$CB10:$JS10)</f>
        <v/>
      </c>
      <c r="BX10" s="17">
        <f>SUMIF($CB$4:$JS$4,"&gt;"&amp;'VALOR POR PL'!$P$8,$CB10:$JS10)</f>
        <v/>
      </c>
      <c r="BY10" s="17">
        <f>SUM($CB10:$JS10)</f>
        <v/>
      </c>
      <c r="CB10" s="56">
        <f>IF(OR(CB$4="",$B10=""),0,SUMIF('DADOS BRUTOS'!$A$3:$A$500,$B10,'DADOS BRUTOS'!B$3:B$500)+IF($C10="",0,SUMIF('DADOS BRUTOS'!$A$3:$A$500,$C10,'DADOS BRUTOS'!B$3:B$500)))</f>
        <v/>
      </c>
      <c r="CC10" s="56">
        <f>IF(OR(CC$4="",$B10=""),0,SUMIF('DADOS BRUTOS'!$A$3:$A$500,$B10,'DADOS BRUTOS'!C$3:C$500)+IF($C10="",0,SUMIF('DADOS BRUTOS'!$A$3:$A$500,$C10,'DADOS BRUTOS'!C$3:C$500)))</f>
        <v/>
      </c>
      <c r="CD10" s="56">
        <f>IF(OR(CD$4="",$B10=""),0,SUMIF('DADOS BRUTOS'!$A$3:$A$500,$B10,'DADOS BRUTOS'!D$3:D$500)+IF($C10="",0,SUMIF('DADOS BRUTOS'!$A$3:$A$500,$C10,'DADOS BRUTOS'!D$3:D$500)))</f>
        <v/>
      </c>
      <c r="CE10" s="56">
        <f>IF(OR(CE$4="",$B10=""),0,SUMIF('DADOS BRUTOS'!$A$3:$A$500,$B10,'DADOS BRUTOS'!E$3:E$500)+IF($C10="",0,SUMIF('DADOS BRUTOS'!$A$3:$A$500,$C10,'DADOS BRUTOS'!E$3:E$500)))</f>
        <v/>
      </c>
      <c r="CF10" s="56">
        <f>IF(OR(CF$4="",$B10=""),0,SUMIF('DADOS BRUTOS'!$A$3:$A$500,$B10,'DADOS BRUTOS'!F$3:F$500)+IF($C10="",0,SUMIF('DADOS BRUTOS'!$A$3:$A$500,$C10,'DADOS BRUTOS'!F$3:F$500)))</f>
        <v/>
      </c>
      <c r="CG10" s="56">
        <f>IF(OR(CG$4="",$B10=""),0,SUMIF('DADOS BRUTOS'!$A$3:$A$500,$B10,'DADOS BRUTOS'!G$3:G$500)+IF($C10="",0,SUMIF('DADOS BRUTOS'!$A$3:$A$500,$C10,'DADOS BRUTOS'!G$3:G$500)))</f>
        <v/>
      </c>
      <c r="CH10" s="56">
        <f>IF(OR(CH$4="",$B10=""),0,SUMIF('DADOS BRUTOS'!$A$3:$A$500,$B10,'DADOS BRUTOS'!H$3:H$500)+IF($C10="",0,SUMIF('DADOS BRUTOS'!$A$3:$A$500,$C10,'DADOS BRUTOS'!H$3:H$500)))</f>
        <v/>
      </c>
      <c r="CI10" s="56">
        <f>IF(OR(CI$4="",$B10=""),0,SUMIF('DADOS BRUTOS'!$A$3:$A$500,$B10,'DADOS BRUTOS'!I$3:I$500)+IF($C10="",0,SUMIF('DADOS BRUTOS'!$A$3:$A$500,$C10,'DADOS BRUTOS'!I$3:I$500)))</f>
        <v/>
      </c>
      <c r="CJ10" s="56">
        <f>IF(OR(CJ$4="",$B10=""),0,SUMIF('DADOS BRUTOS'!$A$3:$A$500,$B10,'DADOS BRUTOS'!J$3:J$500)+IF($C10="",0,SUMIF('DADOS BRUTOS'!$A$3:$A$500,$C10,'DADOS BRUTOS'!J$3:J$500)))</f>
        <v/>
      </c>
      <c r="CK10" s="56">
        <f>IF(OR(CK$4="",$B10=""),0,SUMIF('DADOS BRUTOS'!$A$3:$A$500,$B10,'DADOS BRUTOS'!K$3:K$500)+IF($C10="",0,SUMIF('DADOS BRUTOS'!$A$3:$A$500,$C10,'DADOS BRUTOS'!K$3:K$500)))</f>
        <v/>
      </c>
      <c r="CL10" s="56">
        <f>IF(OR(CL$4="",$B10=""),0,SUMIF('DADOS BRUTOS'!$A$3:$A$500,$B10,'DADOS BRUTOS'!L$3:L$500)+IF($C10="",0,SUMIF('DADOS BRUTOS'!$A$3:$A$500,$C10,'DADOS BRUTOS'!L$3:L$500)))</f>
        <v/>
      </c>
      <c r="CM10" s="56">
        <f>IF(OR(CM$4="",$B10=""),0,SUMIF('DADOS BRUTOS'!$A$3:$A$500,$B10,'DADOS BRUTOS'!M$3:M$500)+IF($C10="",0,SUMIF('DADOS BRUTOS'!$A$3:$A$500,$C10,'DADOS BRUTOS'!M$3:M$500)))</f>
        <v/>
      </c>
      <c r="CN10" s="56">
        <f>IF(OR(CN$4="",$B10=""),0,SUMIF('DADOS BRUTOS'!$A$3:$A$500,$B10,'DADOS BRUTOS'!N$3:N$500)+IF($C10="",0,SUMIF('DADOS BRUTOS'!$A$3:$A$500,$C10,'DADOS BRUTOS'!N$3:N$500)))</f>
        <v/>
      </c>
      <c r="CO10" s="56">
        <f>IF(OR(CO$4="",$B10=""),0,SUMIF('DADOS BRUTOS'!$A$3:$A$500,$B10,'DADOS BRUTOS'!O$3:O$500)+IF($C10="",0,SUMIF('DADOS BRUTOS'!$A$3:$A$500,$C10,'DADOS BRUTOS'!O$3:O$500)))</f>
        <v/>
      </c>
      <c r="CP10" s="56">
        <f>IF(OR(CP$4="",$B10=""),0,SUMIF('DADOS BRUTOS'!$A$3:$A$500,$B10,'DADOS BRUTOS'!P$3:P$500)+IF($C10="",0,SUMIF('DADOS BRUTOS'!$A$3:$A$500,$C10,'DADOS BRUTOS'!P$3:P$500)))</f>
        <v/>
      </c>
      <c r="CQ10" s="56">
        <f>IF(OR(CQ$4="",$B10=""),0,SUMIF('DADOS BRUTOS'!$A$3:$A$500,$B10,'DADOS BRUTOS'!Q$3:Q$500)+IF($C10="",0,SUMIF('DADOS BRUTOS'!$A$3:$A$500,$C10,'DADOS BRUTOS'!Q$3:Q$500)))</f>
        <v/>
      </c>
      <c r="CR10" s="56">
        <f>IF(OR(CR$4="",$B10=""),0,SUMIF('DADOS BRUTOS'!$A$3:$A$500,$B10,'DADOS BRUTOS'!R$3:R$500)+IF($C10="",0,SUMIF('DADOS BRUTOS'!$A$3:$A$500,$C10,'DADOS BRUTOS'!R$3:R$500)))</f>
        <v/>
      </c>
      <c r="CS10" s="56">
        <f>IF(OR(CS$4="",$B10=""),0,SUMIF('DADOS BRUTOS'!$A$3:$A$500,$B10,'DADOS BRUTOS'!S$3:S$500)+IF($C10="",0,SUMIF('DADOS BRUTOS'!$A$3:$A$500,$C10,'DADOS BRUTOS'!S$3:S$500)))</f>
        <v/>
      </c>
      <c r="CT10" s="56">
        <f>IF(OR(CT$4="",$B10=""),0,SUMIF('DADOS BRUTOS'!$A$3:$A$500,$B10,'DADOS BRUTOS'!T$3:T$500)+IF($C10="",0,SUMIF('DADOS BRUTOS'!$A$3:$A$500,$C10,'DADOS BRUTOS'!T$3:T$500)))</f>
        <v/>
      </c>
      <c r="CU10" s="56">
        <f>IF(OR(CU$4="",$B10=""),0,SUMIF('DADOS BRUTOS'!$A$3:$A$500,$B10,'DADOS BRUTOS'!U$3:U$500)+IF($C10="",0,SUMIF('DADOS BRUTOS'!$A$3:$A$500,$C10,'DADOS BRUTOS'!U$3:U$500)))</f>
        <v/>
      </c>
      <c r="CV10" s="56">
        <f>IF(OR(CV$4="",$B10=""),0,SUMIF('DADOS BRUTOS'!$A$3:$A$500,$B10,'DADOS BRUTOS'!V$3:V$500)+IF($C10="",0,SUMIF('DADOS BRUTOS'!$A$3:$A$500,$C10,'DADOS BRUTOS'!V$3:V$500)))</f>
        <v/>
      </c>
      <c r="CW10" s="56">
        <f>IF(OR(CW$4="",$B10=""),0,SUMIF('DADOS BRUTOS'!$A$3:$A$500,$B10,'DADOS BRUTOS'!W$3:W$500)+IF($C10="",0,SUMIF('DADOS BRUTOS'!$A$3:$A$500,$C10,'DADOS BRUTOS'!W$3:W$500)))</f>
        <v/>
      </c>
      <c r="CX10" s="56">
        <f>IF(OR(CX$4="",$B10=""),0,SUMIF('DADOS BRUTOS'!$A$3:$A$500,$B10,'DADOS BRUTOS'!X$3:X$500)+IF($C10="",0,SUMIF('DADOS BRUTOS'!$A$3:$A$500,$C10,'DADOS BRUTOS'!X$3:X$500)))</f>
        <v/>
      </c>
      <c r="CY10" s="56">
        <f>IF(OR(CY$4="",$B10=""),0,SUMIF('DADOS BRUTOS'!$A$3:$A$500,$B10,'DADOS BRUTOS'!Y$3:Y$500)+IF($C10="",0,SUMIF('DADOS BRUTOS'!$A$3:$A$500,$C10,'DADOS BRUTOS'!Y$3:Y$500)))</f>
        <v/>
      </c>
      <c r="CZ10" s="56">
        <f>IF(OR(CZ$4="",$B10=""),0,SUMIF('DADOS BRUTOS'!$A$3:$A$500,$B10,'DADOS BRUTOS'!Z$3:Z$500)+IF($C10="",0,SUMIF('DADOS BRUTOS'!$A$3:$A$500,$C10,'DADOS BRUTOS'!Z$3:Z$500)))</f>
        <v/>
      </c>
      <c r="DA10" s="56">
        <f>IF(OR(DA$4="",$B10=""),0,SUMIF('DADOS BRUTOS'!$A$3:$A$500,$B10,'DADOS BRUTOS'!AA$3:AA$500)+IF($C10="",0,SUMIF('DADOS BRUTOS'!$A$3:$A$500,$C10,'DADOS BRUTOS'!AA$3:AA$500)))</f>
        <v/>
      </c>
      <c r="DB10" s="56">
        <f>IF(OR(DB$4="",$B10=""),0,SUMIF('DADOS BRUTOS'!$A$3:$A$500,$B10,'DADOS BRUTOS'!AB$3:AB$500)+IF($C10="",0,SUMIF('DADOS BRUTOS'!$A$3:$A$500,$C10,'DADOS BRUTOS'!AB$3:AB$500)))</f>
        <v/>
      </c>
      <c r="DC10" s="56">
        <f>IF(OR(DC$4="",$B10=""),0,SUMIF('DADOS BRUTOS'!$A$3:$A$500,$B10,'DADOS BRUTOS'!AC$3:AC$500)+IF($C10="",0,SUMIF('DADOS BRUTOS'!$A$3:$A$500,$C10,'DADOS BRUTOS'!AC$3:AC$500)))</f>
        <v/>
      </c>
      <c r="DD10" s="56">
        <f>IF(OR(DD$4="",$B10=""),0,SUMIF('DADOS BRUTOS'!$A$3:$A$500,$B10,'DADOS BRUTOS'!AD$3:AD$500)+IF($C10="",0,SUMIF('DADOS BRUTOS'!$A$3:$A$500,$C10,'DADOS BRUTOS'!AD$3:AD$500)))</f>
        <v/>
      </c>
      <c r="DE10" s="56">
        <f>IF(OR(DE$4="",$B10=""),0,SUMIF('DADOS BRUTOS'!$A$3:$A$500,$B10,'DADOS BRUTOS'!AE$3:AE$500)+IF($C10="",0,SUMIF('DADOS BRUTOS'!$A$3:$A$500,$C10,'DADOS BRUTOS'!AE$3:AE$500)))</f>
        <v/>
      </c>
      <c r="DF10" s="56">
        <f>IF(OR(DF$4="",$B10=""),0,SUMIF('DADOS BRUTOS'!$A$3:$A$500,$B10,'DADOS BRUTOS'!AF$3:AF$500)+IF($C10="",0,SUMIF('DADOS BRUTOS'!$A$3:$A$500,$C10,'DADOS BRUTOS'!AF$3:AF$500)))</f>
        <v/>
      </c>
      <c r="DG10" s="56">
        <f>IF(OR(DG$4="",$B10=""),0,SUMIF('DADOS BRUTOS'!$A$3:$A$500,$B10,'DADOS BRUTOS'!AG$3:AG$500)+IF($C10="",0,SUMIF('DADOS BRUTOS'!$A$3:$A$500,$C10,'DADOS BRUTOS'!AG$3:AG$500)))</f>
        <v/>
      </c>
      <c r="DH10" s="56">
        <f>IF(OR(DH$4="",$B10=""),0,SUMIF('DADOS BRUTOS'!$A$3:$A$500,$B10,'DADOS BRUTOS'!AH$3:AH$500)+IF($C10="",0,SUMIF('DADOS BRUTOS'!$A$3:$A$500,$C10,'DADOS BRUTOS'!AH$3:AH$500)))</f>
        <v/>
      </c>
      <c r="DI10" s="56">
        <f>IF(OR(DI$4="",$B10=""),0,SUMIF('DADOS BRUTOS'!$A$3:$A$500,$B10,'DADOS BRUTOS'!AI$3:AI$500)+IF($C10="",0,SUMIF('DADOS BRUTOS'!$A$3:$A$500,$C10,'DADOS BRUTOS'!AI$3:AI$500)))</f>
        <v/>
      </c>
      <c r="DJ10" s="56">
        <f>IF(OR(DJ$4="",$B10=""),0,SUMIF('DADOS BRUTOS'!$A$3:$A$500,$B10,'DADOS BRUTOS'!AJ$3:AJ$500)+IF($C10="",0,SUMIF('DADOS BRUTOS'!$A$3:$A$500,$C10,'DADOS BRUTOS'!AJ$3:AJ$500)))</f>
        <v/>
      </c>
      <c r="DK10" s="56">
        <f>IF(OR(DK$4="",$B10=""),0,SUMIF('DADOS BRUTOS'!$A$3:$A$500,$B10,'DADOS BRUTOS'!AK$3:AK$500)+IF($C10="",0,SUMIF('DADOS BRUTOS'!$A$3:$A$500,$C10,'DADOS BRUTOS'!AK$3:AK$500)))</f>
        <v/>
      </c>
      <c r="DL10" s="56">
        <f>IF(OR(DL$4="",$B10=""),0,SUMIF('DADOS BRUTOS'!$A$3:$A$500,$B10,'DADOS BRUTOS'!AL$3:AL$500)+IF($C10="",0,SUMIF('DADOS BRUTOS'!$A$3:$A$500,$C10,'DADOS BRUTOS'!AL$3:AL$500)))</f>
        <v/>
      </c>
      <c r="DM10" s="56">
        <f>IF(OR(DM$4="",$B10=""),0,SUMIF('DADOS BRUTOS'!$A$3:$A$500,$B10,'DADOS BRUTOS'!AM$3:AM$500)+IF($C10="",0,SUMIF('DADOS BRUTOS'!$A$3:$A$500,$C10,'DADOS BRUTOS'!AM$3:AM$500)))</f>
        <v/>
      </c>
      <c r="DN10" s="56">
        <f>IF(OR(DN$4="",$B10=""),0,SUMIF('DADOS BRUTOS'!$A$3:$A$500,$B10,'DADOS BRUTOS'!AN$3:AN$500)+IF($C10="",0,SUMIF('DADOS BRUTOS'!$A$3:$A$500,$C10,'DADOS BRUTOS'!AN$3:AN$500)))</f>
        <v/>
      </c>
      <c r="DO10" s="56">
        <f>IF(OR(DO$4="",$B10=""),0,SUMIF('DADOS BRUTOS'!$A$3:$A$500,$B10,'DADOS BRUTOS'!AO$3:AO$500)+IF($C10="",0,SUMIF('DADOS BRUTOS'!$A$3:$A$500,$C10,'DADOS BRUTOS'!AO$3:AO$500)))</f>
        <v/>
      </c>
      <c r="DP10" s="56">
        <f>IF(OR(DP$4="",$B10=""),0,SUMIF('DADOS BRUTOS'!$A$3:$A$500,$B10,'DADOS BRUTOS'!AP$3:AP$500)+IF($C10="",0,SUMIF('DADOS BRUTOS'!$A$3:$A$500,$C10,'DADOS BRUTOS'!AP$3:AP$500)))</f>
        <v/>
      </c>
      <c r="DQ10" s="56">
        <f>IF(OR(DQ$4="",$B10=""),0,SUMIF('DADOS BRUTOS'!$A$3:$A$500,$B10,'DADOS BRUTOS'!AQ$3:AQ$500)+IF($C10="",0,SUMIF('DADOS BRUTOS'!$A$3:$A$500,$C10,'DADOS BRUTOS'!AQ$3:AQ$500)))</f>
        <v/>
      </c>
      <c r="DR10" s="56">
        <f>IF(OR(DR$4="",$B10=""),0,SUMIF('DADOS BRUTOS'!$A$3:$A$500,$B10,'DADOS BRUTOS'!AR$3:AR$500)+IF($C10="",0,SUMIF('DADOS BRUTOS'!$A$3:$A$500,$C10,'DADOS BRUTOS'!AR$3:AR$500)))</f>
        <v/>
      </c>
      <c r="DS10" s="56">
        <f>IF(OR(DS$4="",$B10=""),0,SUMIF('DADOS BRUTOS'!$A$3:$A$500,$B10,'DADOS BRUTOS'!AS$3:AS$500)+IF($C10="",0,SUMIF('DADOS BRUTOS'!$A$3:$A$500,$C10,'DADOS BRUTOS'!AS$3:AS$500)))</f>
        <v/>
      </c>
      <c r="DT10" s="56">
        <f>IF(OR(DT$4="",$B10=""),0,SUMIF('DADOS BRUTOS'!$A$3:$A$500,$B10,'DADOS BRUTOS'!AT$3:AT$500)+IF($C10="",0,SUMIF('DADOS BRUTOS'!$A$3:$A$500,$C10,'DADOS BRUTOS'!AT$3:AT$500)))</f>
        <v/>
      </c>
      <c r="DU10" s="56">
        <f>IF(OR(DU$4="",$B10=""),0,SUMIF('DADOS BRUTOS'!$A$3:$A$500,$B10,'DADOS BRUTOS'!AU$3:AU$500)+IF($C10="",0,SUMIF('DADOS BRUTOS'!$A$3:$A$500,$C10,'DADOS BRUTOS'!AU$3:AU$500)))</f>
        <v/>
      </c>
      <c r="DV10" s="56">
        <f>IF(OR(DV$4="",$B10=""),0,SUMIF('DADOS BRUTOS'!$A$3:$A$500,$B10,'DADOS BRUTOS'!AV$3:AV$500)+IF($C10="",0,SUMIF('DADOS BRUTOS'!$A$3:$A$500,$C10,'DADOS BRUTOS'!AV$3:AV$500)))</f>
        <v/>
      </c>
      <c r="DW10" s="56">
        <f>IF(OR(DW$4="",$B10=""),0,SUMIF('DADOS BRUTOS'!$A$3:$A$500,$B10,'DADOS BRUTOS'!AW$3:AW$500)+IF($C10="",0,SUMIF('DADOS BRUTOS'!$A$3:$A$500,$C10,'DADOS BRUTOS'!AW$3:AW$500)))</f>
        <v/>
      </c>
      <c r="DX10" s="56">
        <f>IF(OR(DX$4="",$B10=""),0,SUMIF('DADOS BRUTOS'!$A$3:$A$500,$B10,'DADOS BRUTOS'!AX$3:AX$500)+IF($C10="",0,SUMIF('DADOS BRUTOS'!$A$3:$A$500,$C10,'DADOS BRUTOS'!AX$3:AX$500)))</f>
        <v/>
      </c>
      <c r="DY10" s="56">
        <f>IF(OR(DY$4="",$B10=""),0,SUMIF('DADOS BRUTOS'!$A$3:$A$500,$B10,'DADOS BRUTOS'!AY$3:AY$500)+IF($C10="",0,SUMIF('DADOS BRUTOS'!$A$3:$A$500,$C10,'DADOS BRUTOS'!AY$3:AY$500)))</f>
        <v/>
      </c>
      <c r="DZ10" s="56">
        <f>IF(OR(DZ$4="",$B10=""),0,SUMIF('DADOS BRUTOS'!$A$3:$A$500,$B10,'DADOS BRUTOS'!AZ$3:AZ$500)+IF($C10="",0,SUMIF('DADOS BRUTOS'!$A$3:$A$500,$C10,'DADOS BRUTOS'!AZ$3:AZ$500)))</f>
        <v/>
      </c>
      <c r="EA10" s="56">
        <f>IF(OR(EA$4="",$B10=""),0,SUMIF('DADOS BRUTOS'!$A$3:$A$500,$B10,'DADOS BRUTOS'!BA$3:BA$500)+IF($C10="",0,SUMIF('DADOS BRUTOS'!$A$3:$A$500,$C10,'DADOS BRUTOS'!BA$3:BA$500)))</f>
        <v/>
      </c>
      <c r="EB10" s="56">
        <f>IF(OR(EB$4="",$B10=""),0,SUMIF('DADOS BRUTOS'!$A$3:$A$500,$B10,'DADOS BRUTOS'!BB$3:BB$500)+IF($C10="",0,SUMIF('DADOS BRUTOS'!$A$3:$A$500,$C10,'DADOS BRUTOS'!BB$3:BB$500)))</f>
        <v/>
      </c>
      <c r="EC10" s="56">
        <f>IF(OR(EC$4="",$B10=""),0,SUMIF('DADOS BRUTOS'!$A$3:$A$500,$B10,'DADOS BRUTOS'!BC$3:BC$500)+IF($C10="",0,SUMIF('DADOS BRUTOS'!$A$3:$A$500,$C10,'DADOS BRUTOS'!BC$3:BC$500)))</f>
        <v/>
      </c>
      <c r="ED10" s="56">
        <f>IF(OR(ED$4="",$B10=""),0,SUMIF('DADOS BRUTOS'!$A$3:$A$500,$B10,'DADOS BRUTOS'!BD$3:BD$500)+IF($C10="",0,SUMIF('DADOS BRUTOS'!$A$3:$A$500,$C10,'DADOS BRUTOS'!BD$3:BD$500)))</f>
        <v/>
      </c>
      <c r="EE10" s="56">
        <f>IF(OR(EE$4="",$B10=""),0,SUMIF('DADOS BRUTOS'!$A$3:$A$500,$B10,'DADOS BRUTOS'!BE$3:BE$500)+IF($C10="",0,SUMIF('DADOS BRUTOS'!$A$3:$A$500,$C10,'DADOS BRUTOS'!BE$3:BE$500)))</f>
        <v/>
      </c>
      <c r="EF10" s="56">
        <f>IF(OR(EF$4="",$B10=""),0,SUMIF('DADOS BRUTOS'!$A$3:$A$500,$B10,'DADOS BRUTOS'!BF$3:BF$500)+IF($C10="",0,SUMIF('DADOS BRUTOS'!$A$3:$A$500,$C10,'DADOS BRUTOS'!BF$3:BF$500)))</f>
        <v/>
      </c>
      <c r="EG10" s="56">
        <f>IF(OR(EG$4="",$B10=""),0,SUMIF('DADOS BRUTOS'!$A$3:$A$500,$B10,'DADOS BRUTOS'!BG$3:BG$500)+IF($C10="",0,SUMIF('DADOS BRUTOS'!$A$3:$A$500,$C10,'DADOS BRUTOS'!BG$3:BG$500)))</f>
        <v/>
      </c>
      <c r="EH10" s="56">
        <f>IF(OR(EH$4="",$B10=""),0,SUMIF('DADOS BRUTOS'!$A$3:$A$500,$B10,'DADOS BRUTOS'!BH$3:BH$500)+IF($C10="",0,SUMIF('DADOS BRUTOS'!$A$3:$A$500,$C10,'DADOS BRUTOS'!BH$3:BH$500)))</f>
        <v/>
      </c>
      <c r="EI10" s="56">
        <f>IF(OR(EI$4="",$B10=""),0,SUMIF('DADOS BRUTOS'!$A$3:$A$500,$B10,'DADOS BRUTOS'!BI$3:BI$500)+IF($C10="",0,SUMIF('DADOS BRUTOS'!$A$3:$A$500,$C10,'DADOS BRUTOS'!BI$3:BI$500)))</f>
        <v/>
      </c>
      <c r="EJ10" s="56">
        <f>IF(OR(EJ$4="",$B10=""),0,SUMIF('DADOS BRUTOS'!$A$3:$A$500,$B10,'DADOS BRUTOS'!BJ$3:BJ$500)+IF($C10="",0,SUMIF('DADOS BRUTOS'!$A$3:$A$500,$C10,'DADOS BRUTOS'!BJ$3:BJ$500)))</f>
        <v/>
      </c>
      <c r="EK10" s="56">
        <f>IF(OR(EK$4="",$B10=""),0,SUMIF('DADOS BRUTOS'!$A$3:$A$500,$B10,'DADOS BRUTOS'!BK$3:BK$500)+IF($C10="",0,SUMIF('DADOS BRUTOS'!$A$3:$A$500,$C10,'DADOS BRUTOS'!BK$3:BK$500)))</f>
        <v/>
      </c>
      <c r="EL10" s="56">
        <f>IF(OR(EL$4="",$B10=""),0,SUMIF('DADOS BRUTOS'!$A$3:$A$500,$B10,'DADOS BRUTOS'!BL$3:BL$500)+IF($C10="",0,SUMIF('DADOS BRUTOS'!$A$3:$A$500,$C10,'DADOS BRUTOS'!BL$3:BL$500)))</f>
        <v/>
      </c>
      <c r="EM10" s="56">
        <f>IF(OR(EM$4="",$B10=""),0,SUMIF('DADOS BRUTOS'!$A$3:$A$500,$B10,'DADOS BRUTOS'!BM$3:BM$500)+IF($C10="",0,SUMIF('DADOS BRUTOS'!$A$3:$A$500,$C10,'DADOS BRUTOS'!BM$3:BM$500)))</f>
        <v/>
      </c>
      <c r="EN10" s="56">
        <f>IF(OR(EN$4="",$B10=""),0,SUMIF('DADOS BRUTOS'!$A$3:$A$500,$B10,'DADOS BRUTOS'!BN$3:BN$500)+IF($C10="",0,SUMIF('DADOS BRUTOS'!$A$3:$A$500,$C10,'DADOS BRUTOS'!BN$3:BN$500)))</f>
        <v/>
      </c>
      <c r="EO10" s="56">
        <f>IF(OR(EO$4="",$B10=""),0,SUMIF('DADOS BRUTOS'!$A$3:$A$500,$B10,'DADOS BRUTOS'!BO$3:BO$500)+IF($C10="",0,SUMIF('DADOS BRUTOS'!$A$3:$A$500,$C10,'DADOS BRUTOS'!BO$3:BO$500)))</f>
        <v/>
      </c>
      <c r="EP10" s="56">
        <f>IF(OR(EP$4="",$B10=""),0,SUMIF('DADOS BRUTOS'!$A$3:$A$500,$B10,'DADOS BRUTOS'!BP$3:BP$500)+IF($C10="",0,SUMIF('DADOS BRUTOS'!$A$3:$A$500,$C10,'DADOS BRUTOS'!BP$3:BP$500)))</f>
        <v/>
      </c>
      <c r="EQ10" s="56">
        <f>IF(OR(EQ$4="",$B10=""),0,SUMIF('DADOS BRUTOS'!$A$3:$A$500,$B10,'DADOS BRUTOS'!BQ$3:BQ$500)+IF($C10="",0,SUMIF('DADOS BRUTOS'!$A$3:$A$500,$C10,'DADOS BRUTOS'!BQ$3:BQ$500)))</f>
        <v/>
      </c>
      <c r="ER10" s="56">
        <f>IF(OR(ER$4="",$B10=""),0,SUMIF('DADOS BRUTOS'!$A$3:$A$500,$B10,'DADOS BRUTOS'!BR$3:BR$500)+IF($C10="",0,SUMIF('DADOS BRUTOS'!$A$3:$A$500,$C10,'DADOS BRUTOS'!BR$3:BR$500)))</f>
        <v/>
      </c>
      <c r="ES10" s="56">
        <f>IF(OR(ES$4="",$B10=""),0,SUMIF('DADOS BRUTOS'!$A$3:$A$500,$B10,'DADOS BRUTOS'!BS$3:BS$500)+IF($C10="",0,SUMIF('DADOS BRUTOS'!$A$3:$A$500,$C10,'DADOS BRUTOS'!BS$3:BS$500)))</f>
        <v/>
      </c>
      <c r="ET10" s="56">
        <f>IF(OR(ET$4="",$B10=""),0,SUMIF('DADOS BRUTOS'!$A$3:$A$500,$B10,'DADOS BRUTOS'!BT$3:BT$500)+IF($C10="",0,SUMIF('DADOS BRUTOS'!$A$3:$A$500,$C10,'DADOS BRUTOS'!BT$3:BT$500)))</f>
        <v/>
      </c>
      <c r="EU10" s="56">
        <f>IF(OR(EU$4="",$B10=""),0,SUMIF('DADOS BRUTOS'!$A$3:$A$500,$B10,'DADOS BRUTOS'!BU$3:BU$500)+IF($C10="",0,SUMIF('DADOS BRUTOS'!$A$3:$A$500,$C10,'DADOS BRUTOS'!BU$3:BU$500)))</f>
        <v/>
      </c>
      <c r="EV10" s="56">
        <f>IF(OR(EV$4="",$B10=""),0,SUMIF('DADOS BRUTOS'!$A$3:$A$500,$B10,'DADOS BRUTOS'!BV$3:BV$500)+IF($C10="",0,SUMIF('DADOS BRUTOS'!$A$3:$A$500,$C10,'DADOS BRUTOS'!BV$3:BV$500)))</f>
        <v/>
      </c>
      <c r="EW10" s="56">
        <f>IF(OR(EW$4="",$B10=""),0,SUMIF('DADOS BRUTOS'!$A$3:$A$500,$B10,'DADOS BRUTOS'!BW$3:BW$500)+IF($C10="",0,SUMIF('DADOS BRUTOS'!$A$3:$A$500,$C10,'DADOS BRUTOS'!BW$3:BW$500)))</f>
        <v/>
      </c>
      <c r="EX10" s="56">
        <f>IF(OR(EX$4="",$B10=""),0,SUMIF('DADOS BRUTOS'!$A$3:$A$500,$B10,'DADOS BRUTOS'!BX$3:BX$500)+IF($C10="",0,SUMIF('DADOS BRUTOS'!$A$3:$A$500,$C10,'DADOS BRUTOS'!BX$3:BX$500)))</f>
        <v/>
      </c>
      <c r="EY10" s="56">
        <f>IF(OR(EY$4="",$B10=""),0,SUMIF('DADOS BRUTOS'!$A$3:$A$500,$B10,'DADOS BRUTOS'!BY$3:BY$500)+IF($C10="",0,SUMIF('DADOS BRUTOS'!$A$3:$A$500,$C10,'DADOS BRUTOS'!BY$3:BY$500)))</f>
        <v/>
      </c>
      <c r="EZ10" s="56">
        <f>IF(OR(EZ$4="",$B10=""),0,SUMIF('DADOS BRUTOS'!$A$3:$A$500,$B10,'DADOS BRUTOS'!BZ$3:BZ$500)+IF($C10="",0,SUMIF('DADOS BRUTOS'!$A$3:$A$500,$C10,'DADOS BRUTOS'!BZ$3:BZ$500)))</f>
        <v/>
      </c>
      <c r="FA10" s="56">
        <f>IF(OR(FA$4="",$B10=""),0,SUMIF('DADOS BRUTOS'!$A$3:$A$500,$B10,'DADOS BRUTOS'!CA$3:CA$500)+IF($C10="",0,SUMIF('DADOS BRUTOS'!$A$3:$A$500,$C10,'DADOS BRUTOS'!CA$3:CA$500)))</f>
        <v/>
      </c>
      <c r="FB10" s="56">
        <f>IF(OR(FB$4="",$B10=""),0,SUMIF('DADOS BRUTOS'!$A$3:$A$500,$B10,'DADOS BRUTOS'!CB$3:CB$500)+IF($C10="",0,SUMIF('DADOS BRUTOS'!$A$3:$A$500,$C10,'DADOS BRUTOS'!CB$3:CB$500)))</f>
        <v/>
      </c>
      <c r="FC10" s="56">
        <f>IF(OR(FC$4="",$B10=""),0,SUMIF('DADOS BRUTOS'!$A$3:$A$500,$B10,'DADOS BRUTOS'!CC$3:CC$500)+IF($C10="",0,SUMIF('DADOS BRUTOS'!$A$3:$A$500,$C10,'DADOS BRUTOS'!CC$3:CC$500)))</f>
        <v/>
      </c>
      <c r="FD10" s="56">
        <f>IF(OR(FD$4="",$B10=""),0,SUMIF('DADOS BRUTOS'!$A$3:$A$500,$B10,'DADOS BRUTOS'!CD$3:CD$500)+IF($C10="",0,SUMIF('DADOS BRUTOS'!$A$3:$A$500,$C10,'DADOS BRUTOS'!CD$3:CD$500)))</f>
        <v/>
      </c>
      <c r="FE10" s="56">
        <f>IF(OR(FE$4="",$B10=""),0,SUMIF('DADOS BRUTOS'!$A$3:$A$500,$B10,'DADOS BRUTOS'!CE$3:CE$500)+IF($C10="",0,SUMIF('DADOS BRUTOS'!$A$3:$A$500,$C10,'DADOS BRUTOS'!CE$3:CE$500)))</f>
        <v/>
      </c>
      <c r="FF10" s="56">
        <f>IF(OR(FF$4="",$B10=""),0,SUMIF('DADOS BRUTOS'!$A$3:$A$500,$B10,'DADOS BRUTOS'!CF$3:CF$500)+IF($C10="",0,SUMIF('DADOS BRUTOS'!$A$3:$A$500,$C10,'DADOS BRUTOS'!CF$3:CF$500)))</f>
        <v/>
      </c>
      <c r="FG10" s="56">
        <f>IF(OR(FG$4="",$B10=""),0,SUMIF('DADOS BRUTOS'!$A$3:$A$500,$B10,'DADOS BRUTOS'!CG$3:CG$500)+IF($C10="",0,SUMIF('DADOS BRUTOS'!$A$3:$A$500,$C10,'DADOS BRUTOS'!CG$3:CG$500)))</f>
        <v/>
      </c>
      <c r="FH10" s="56">
        <f>IF(OR(FH$4="",$B10=""),0,SUMIF('DADOS BRUTOS'!$A$3:$A$500,$B10,'DADOS BRUTOS'!CH$3:CH$500)+IF($C10="",0,SUMIF('DADOS BRUTOS'!$A$3:$A$500,$C10,'DADOS BRUTOS'!CH$3:CH$500)))</f>
        <v/>
      </c>
      <c r="FI10" s="56">
        <f>IF(OR(FI$4="",$B10=""),0,SUMIF('DADOS BRUTOS'!$A$3:$A$500,$B10,'DADOS BRUTOS'!CI$3:CI$500)+IF($C10="",0,SUMIF('DADOS BRUTOS'!$A$3:$A$500,$C10,'DADOS BRUTOS'!CI$3:CI$500)))</f>
        <v/>
      </c>
      <c r="FJ10" s="56">
        <f>IF(OR(FJ$4="",$B10=""),0,SUMIF('DADOS BRUTOS'!$A$3:$A$500,$B10,'DADOS BRUTOS'!CJ$3:CJ$500)+IF($C10="",0,SUMIF('DADOS BRUTOS'!$A$3:$A$500,$C10,'DADOS BRUTOS'!CJ$3:CJ$500)))</f>
        <v/>
      </c>
      <c r="FK10" s="56">
        <f>IF(OR(FK$4="",$B10=""),0,SUMIF('DADOS BRUTOS'!$A$3:$A$500,$B10,'DADOS BRUTOS'!CK$3:CK$500)+IF($C10="",0,SUMIF('DADOS BRUTOS'!$A$3:$A$500,$C10,'DADOS BRUTOS'!CK$3:CK$500)))</f>
        <v/>
      </c>
      <c r="FL10" s="56">
        <f>IF(OR(FL$4="",$B10=""),0,SUMIF('DADOS BRUTOS'!$A$3:$A$500,$B10,'DADOS BRUTOS'!CL$3:CL$500)+IF($C10="",0,SUMIF('DADOS BRUTOS'!$A$3:$A$500,$C10,'DADOS BRUTOS'!CL$3:CL$500)))</f>
        <v/>
      </c>
      <c r="FM10" s="56">
        <f>IF(OR(FM$4="",$B10=""),0,SUMIF('DADOS BRUTOS'!$A$3:$A$500,$B10,'DADOS BRUTOS'!CM$3:CM$500)+IF($C10="",0,SUMIF('DADOS BRUTOS'!$A$3:$A$500,$C10,'DADOS BRUTOS'!CM$3:CM$500)))</f>
        <v/>
      </c>
      <c r="FN10" s="56">
        <f>IF(OR(FN$4="",$B10=""),0,SUMIF('DADOS BRUTOS'!$A$3:$A$500,$B10,'DADOS BRUTOS'!CN$3:CN$500)+IF($C10="",0,SUMIF('DADOS BRUTOS'!$A$3:$A$500,$C10,'DADOS BRUTOS'!CN$3:CN$500)))</f>
        <v/>
      </c>
      <c r="FO10" s="56">
        <f>IF(OR(FO$4="",$B10=""),0,SUMIF('DADOS BRUTOS'!$A$3:$A$500,$B10,'DADOS BRUTOS'!CO$3:CO$500)+IF($C10="",0,SUMIF('DADOS BRUTOS'!$A$3:$A$500,$C10,'DADOS BRUTOS'!CO$3:CO$500)))</f>
        <v/>
      </c>
      <c r="FP10" s="56">
        <f>IF(OR(FP$4="",$B10=""),0,SUMIF('DADOS BRUTOS'!$A$3:$A$500,$B10,'DADOS BRUTOS'!CP$3:CP$500)+IF($C10="",0,SUMIF('DADOS BRUTOS'!$A$3:$A$500,$C10,'DADOS BRUTOS'!CP$3:CP$500)))</f>
        <v/>
      </c>
      <c r="FQ10" s="56">
        <f>IF(OR(FQ$4="",$B10=""),0,SUMIF('DADOS BRUTOS'!$A$3:$A$500,$B10,'DADOS BRUTOS'!CQ$3:CQ$500)+IF($C10="",0,SUMIF('DADOS BRUTOS'!$A$3:$A$500,$C10,'DADOS BRUTOS'!CQ$3:CQ$500)))</f>
        <v/>
      </c>
      <c r="FR10" s="56">
        <f>IF(OR(FR$4="",$B10=""),0,SUMIF('DADOS BRUTOS'!$A$3:$A$500,$B10,'DADOS BRUTOS'!CR$3:CR$500)+IF($C10="",0,SUMIF('DADOS BRUTOS'!$A$3:$A$500,$C10,'DADOS BRUTOS'!CR$3:CR$500)))</f>
        <v/>
      </c>
      <c r="FS10" s="56">
        <f>IF(OR(FS$4="",$B10=""),0,SUMIF('DADOS BRUTOS'!$A$3:$A$500,$B10,'DADOS BRUTOS'!CS$3:CS$500)+IF($C10="",0,SUMIF('DADOS BRUTOS'!$A$3:$A$500,$C10,'DADOS BRUTOS'!CS$3:CS$500)))</f>
        <v/>
      </c>
      <c r="FT10" s="56">
        <f>IF(OR(FT$4="",$B10=""),0,SUMIF('DADOS BRUTOS'!$A$3:$A$500,$B10,'DADOS BRUTOS'!CT$3:CT$500)+IF($C10="",0,SUMIF('DADOS BRUTOS'!$A$3:$A$500,$C10,'DADOS BRUTOS'!CT$3:CT$500)))</f>
        <v/>
      </c>
      <c r="FU10" s="56">
        <f>IF(OR(FU$4="",$B10=""),0,SUMIF('DADOS BRUTOS'!$A$3:$A$500,$B10,'DADOS BRUTOS'!CU$3:CU$500)+IF($C10="",0,SUMIF('DADOS BRUTOS'!$A$3:$A$500,$C10,'DADOS BRUTOS'!CU$3:CU$500)))</f>
        <v/>
      </c>
      <c r="FV10" s="56">
        <f>IF(OR(FV$4="",$B10=""),0,SUMIF('DADOS BRUTOS'!$A$3:$A$500,$B10,'DADOS BRUTOS'!CV$3:CV$500)+IF($C10="",0,SUMIF('DADOS BRUTOS'!$A$3:$A$500,$C10,'DADOS BRUTOS'!CV$3:CV$500)))</f>
        <v/>
      </c>
      <c r="FW10" s="56">
        <f>IF(OR(FW$4="",$B10=""),0,SUMIF('DADOS BRUTOS'!$A$3:$A$500,$B10,'DADOS BRUTOS'!CW$3:CW$500)+IF($C10="",0,SUMIF('DADOS BRUTOS'!$A$3:$A$500,$C10,'DADOS BRUTOS'!CW$3:CW$500)))</f>
        <v/>
      </c>
      <c r="FX10" s="56">
        <f>IF(OR(FX$4="",$B10=""),0,SUMIF('DADOS BRUTOS'!$A$3:$A$500,$B10,'DADOS BRUTOS'!CX$3:CX$500)+IF($C10="",0,SUMIF('DADOS BRUTOS'!$A$3:$A$500,$C10,'DADOS BRUTOS'!CX$3:CX$500)))</f>
        <v/>
      </c>
      <c r="FY10" s="56">
        <f>IF(OR(FY$4="",$B10=""),0,SUMIF('DADOS BRUTOS'!$A$3:$A$500,$B10,'DADOS BRUTOS'!CY$3:CY$500)+IF($C10="",0,SUMIF('DADOS BRUTOS'!$A$3:$A$500,$C10,'DADOS BRUTOS'!CY$3:CY$500)))</f>
        <v/>
      </c>
      <c r="FZ10" s="56">
        <f>IF(OR(FZ$4="",$B10=""),0,SUMIF('DADOS BRUTOS'!$A$3:$A$500,$B10,'DADOS BRUTOS'!CZ$3:CZ$500)+IF($C10="",0,SUMIF('DADOS BRUTOS'!$A$3:$A$500,$C10,'DADOS BRUTOS'!CZ$3:CZ$500)))</f>
        <v/>
      </c>
      <c r="GA10" s="56">
        <f>IF(OR(GA$4="",$B10=""),0,SUMIF('DADOS BRUTOS'!$A$3:$A$500,$B10,'DADOS BRUTOS'!DA$3:DA$500)+IF($C10="",0,SUMIF('DADOS BRUTOS'!$A$3:$A$500,$C10,'DADOS BRUTOS'!DA$3:DA$500)))</f>
        <v/>
      </c>
      <c r="GB10" s="56">
        <f>IF(OR(GB$4="",$B10=""),0,SUMIF('DADOS BRUTOS'!$A$3:$A$500,$B10,'DADOS BRUTOS'!DB$3:DB$500)+IF($C10="",0,SUMIF('DADOS BRUTOS'!$A$3:$A$500,$C10,'DADOS BRUTOS'!DB$3:DB$500)))</f>
        <v/>
      </c>
      <c r="GC10" s="56">
        <f>IF(OR(GC$4="",$B10=""),0,SUMIF('DADOS BRUTOS'!$A$3:$A$500,$B10,'DADOS BRUTOS'!DC$3:DC$500)+IF($C10="",0,SUMIF('DADOS BRUTOS'!$A$3:$A$500,$C10,'DADOS BRUTOS'!DC$3:DC$500)))</f>
        <v/>
      </c>
      <c r="GD10" s="56">
        <f>IF(OR(GD$4="",$B10=""),0,SUMIF('DADOS BRUTOS'!$A$3:$A$500,$B10,'DADOS BRUTOS'!DD$3:DD$500)+IF($C10="",0,SUMIF('DADOS BRUTOS'!$A$3:$A$500,$C10,'DADOS BRUTOS'!DD$3:DD$500)))</f>
        <v/>
      </c>
      <c r="GE10" s="56">
        <f>IF(OR(GE$4="",$B10=""),0,SUMIF('DADOS BRUTOS'!$A$3:$A$500,$B10,'DADOS BRUTOS'!DE$3:DE$500)+IF($C10="",0,SUMIF('DADOS BRUTOS'!$A$3:$A$500,$C10,'DADOS BRUTOS'!DE$3:DE$500)))</f>
        <v/>
      </c>
      <c r="GF10" s="56">
        <f>IF(OR(GF$4="",$B10=""),0,SUMIF('DADOS BRUTOS'!$A$3:$A$500,$B10,'DADOS BRUTOS'!DF$3:DF$500)+IF($C10="",0,SUMIF('DADOS BRUTOS'!$A$3:$A$500,$C10,'DADOS BRUTOS'!DF$3:DF$500)))</f>
        <v/>
      </c>
      <c r="GG10" s="56">
        <f>IF(OR(GG$4="",$B10=""),0,SUMIF('DADOS BRUTOS'!$A$3:$A$500,$B10,'DADOS BRUTOS'!DG$3:DG$500)+IF($C10="",0,SUMIF('DADOS BRUTOS'!$A$3:$A$500,$C10,'DADOS BRUTOS'!DG$3:DG$500)))</f>
        <v/>
      </c>
      <c r="GH10" s="56">
        <f>IF(OR(GH$4="",$B10=""),0,SUMIF('DADOS BRUTOS'!$A$3:$A$500,$B10,'DADOS BRUTOS'!DH$3:DH$500)+IF($C10="",0,SUMIF('DADOS BRUTOS'!$A$3:$A$500,$C10,'DADOS BRUTOS'!DH$3:DH$500)))</f>
        <v/>
      </c>
      <c r="GI10" s="56">
        <f>IF(OR(GI$4="",$B10=""),0,SUMIF('DADOS BRUTOS'!$A$3:$A$500,$B10,'DADOS BRUTOS'!DI$3:DI$500)+IF($C10="",0,SUMIF('DADOS BRUTOS'!$A$3:$A$500,$C10,'DADOS BRUTOS'!DI$3:DI$500)))</f>
        <v/>
      </c>
      <c r="GJ10" s="56">
        <f>IF(OR(GJ$4="",$B10=""),0,SUMIF('DADOS BRUTOS'!$A$3:$A$500,$B10,'DADOS BRUTOS'!DJ$3:DJ$500)+IF($C10="",0,SUMIF('DADOS BRUTOS'!$A$3:$A$500,$C10,'DADOS BRUTOS'!DJ$3:DJ$500)))</f>
        <v/>
      </c>
      <c r="GK10" s="56">
        <f>IF(OR(GK$4="",$B10=""),0,SUMIF('DADOS BRUTOS'!$A$3:$A$500,$B10,'DADOS BRUTOS'!DK$3:DK$500)+IF($C10="",0,SUMIF('DADOS BRUTOS'!$A$3:$A$500,$C10,'DADOS BRUTOS'!DK$3:DK$500)))</f>
        <v/>
      </c>
      <c r="GL10" s="56">
        <f>IF(OR(GL$4="",$B10=""),0,SUMIF('DADOS BRUTOS'!$A$3:$A$500,$B10,'DADOS BRUTOS'!DL$3:DL$500)+IF($C10="",0,SUMIF('DADOS BRUTOS'!$A$3:$A$500,$C10,'DADOS BRUTOS'!DL$3:DL$500)))</f>
        <v/>
      </c>
      <c r="GM10" s="56">
        <f>IF(OR(GM$4="",$B10=""),0,SUMIF('DADOS BRUTOS'!$A$3:$A$500,$B10,'DADOS BRUTOS'!DM$3:DM$500)+IF($C10="",0,SUMIF('DADOS BRUTOS'!$A$3:$A$500,$C10,'DADOS BRUTOS'!DM$3:DM$500)))</f>
        <v/>
      </c>
      <c r="GN10" s="56">
        <f>IF(OR(GN$4="",$B10=""),0,SUMIF('DADOS BRUTOS'!$A$3:$A$500,$B10,'DADOS BRUTOS'!DN$3:DN$500)+IF($C10="",0,SUMIF('DADOS BRUTOS'!$A$3:$A$500,$C10,'DADOS BRUTOS'!DN$3:DN$500)))</f>
        <v/>
      </c>
      <c r="GO10" s="56">
        <f>IF(OR(GO$4="",$B10=""),0,SUMIF('DADOS BRUTOS'!$A$3:$A$500,$B10,'DADOS BRUTOS'!DO$3:DO$500)+IF($C10="",0,SUMIF('DADOS BRUTOS'!$A$3:$A$500,$C10,'DADOS BRUTOS'!DO$3:DO$500)))</f>
        <v/>
      </c>
      <c r="GP10" s="56">
        <f>IF(OR(GP$4="",$B10=""),0,SUMIF('DADOS BRUTOS'!$A$3:$A$500,$B10,'DADOS BRUTOS'!DP$3:DP$500)+IF($C10="",0,SUMIF('DADOS BRUTOS'!$A$3:$A$500,$C10,'DADOS BRUTOS'!DP$3:DP$500)))</f>
        <v/>
      </c>
      <c r="GQ10" s="56">
        <f>IF(OR(GQ$4="",$B10=""),0,SUMIF('DADOS BRUTOS'!$A$3:$A$500,$B10,'DADOS BRUTOS'!DQ$3:DQ$500)+IF($C10="",0,SUMIF('DADOS BRUTOS'!$A$3:$A$500,$C10,'DADOS BRUTOS'!DQ$3:DQ$500)))</f>
        <v/>
      </c>
      <c r="GR10" s="56">
        <f>IF(OR(GR$4="",$B10=""),0,SUMIF('DADOS BRUTOS'!$A$3:$A$500,$B10,'DADOS BRUTOS'!DR$3:DR$500)+IF($C10="",0,SUMIF('DADOS BRUTOS'!$A$3:$A$500,$C10,'DADOS BRUTOS'!DR$3:DR$500)))</f>
        <v/>
      </c>
      <c r="GS10" s="56">
        <f>IF(OR(GS$4="",$B10=""),0,SUMIF('DADOS BRUTOS'!$A$3:$A$500,$B10,'DADOS BRUTOS'!DS$3:DS$500)+IF($C10="",0,SUMIF('DADOS BRUTOS'!$A$3:$A$500,$C10,'DADOS BRUTOS'!DS$3:DS$500)))</f>
        <v/>
      </c>
      <c r="GT10" s="56">
        <f>IF(OR(GT$4="",$B10=""),0,SUMIF('DADOS BRUTOS'!$A$3:$A$500,$B10,'DADOS BRUTOS'!DT$3:DT$500)+IF($C10="",0,SUMIF('DADOS BRUTOS'!$A$3:$A$500,$C10,'DADOS BRUTOS'!DT$3:DT$500)))</f>
        <v/>
      </c>
      <c r="GU10" s="56">
        <f>IF(OR(GU$4="",$B10=""),0,SUMIF('DADOS BRUTOS'!$A$3:$A$500,$B10,'DADOS BRUTOS'!DU$3:DU$500)+IF($C10="",0,SUMIF('DADOS BRUTOS'!$A$3:$A$500,$C10,'DADOS BRUTOS'!DU$3:DU$500)))</f>
        <v/>
      </c>
      <c r="GV10" s="56">
        <f>IF(OR(GV$4="",$B10=""),0,SUMIF('DADOS BRUTOS'!$A$3:$A$500,$B10,'DADOS BRUTOS'!DV$3:DV$500)+IF($C10="",0,SUMIF('DADOS BRUTOS'!$A$3:$A$500,$C10,'DADOS BRUTOS'!DV$3:DV$500)))</f>
        <v/>
      </c>
      <c r="GW10" s="56">
        <f>IF(OR(GW$4="",$B10=""),0,SUMIF('DADOS BRUTOS'!$A$3:$A$500,$B10,'DADOS BRUTOS'!DW$3:DW$500)+IF($C10="",0,SUMIF('DADOS BRUTOS'!$A$3:$A$500,$C10,'DADOS BRUTOS'!DW$3:DW$500)))</f>
        <v/>
      </c>
      <c r="GX10" s="56">
        <f>IF(OR(GX$4="",$B10=""),0,SUMIF('DADOS BRUTOS'!$A$3:$A$500,$B10,'DADOS BRUTOS'!DX$3:DX$500)+IF($C10="",0,SUMIF('DADOS BRUTOS'!$A$3:$A$500,$C10,'DADOS BRUTOS'!DX$3:DX$500)))</f>
        <v/>
      </c>
      <c r="GY10" s="56">
        <f>IF(OR(GY$4="",$B10=""),0,SUMIF('DADOS BRUTOS'!$A$3:$A$500,$B10,'DADOS BRUTOS'!DY$3:DY$500)+IF($C10="",0,SUMIF('DADOS BRUTOS'!$A$3:$A$500,$C10,'DADOS BRUTOS'!DY$3:DY$500)))</f>
        <v/>
      </c>
      <c r="GZ10" s="56">
        <f>IF(OR(GZ$4="",$B10=""),0,SUMIF('DADOS BRUTOS'!$A$3:$A$500,$B10,'DADOS BRUTOS'!DZ$3:DZ$500)+IF($C10="",0,SUMIF('DADOS BRUTOS'!$A$3:$A$500,$C10,'DADOS BRUTOS'!DZ$3:DZ$500)))</f>
        <v/>
      </c>
      <c r="HA10" s="56">
        <f>IF(OR(HA$4="",$B10=""),0,SUMIF('DADOS BRUTOS'!$A$3:$A$500,$B10,'DADOS BRUTOS'!EA$3:EA$500)+IF($C10="",0,SUMIF('DADOS BRUTOS'!$A$3:$A$500,$C10,'DADOS BRUTOS'!EA$3:EA$500)))</f>
        <v/>
      </c>
      <c r="HB10" s="56">
        <f>IF(OR(HB$4="",$B10=""),0,SUMIF('DADOS BRUTOS'!$A$3:$A$500,$B10,'DADOS BRUTOS'!EB$3:EB$500)+IF($C10="",0,SUMIF('DADOS BRUTOS'!$A$3:$A$500,$C10,'DADOS BRUTOS'!EB$3:EB$500)))</f>
        <v/>
      </c>
      <c r="HC10" s="56">
        <f>IF(OR(HC$4="",$B10=""),0,SUMIF('DADOS BRUTOS'!$A$3:$A$500,$B10,'DADOS BRUTOS'!EC$3:EC$500)+IF($C10="",0,SUMIF('DADOS BRUTOS'!$A$3:$A$500,$C10,'DADOS BRUTOS'!EC$3:EC$500)))</f>
        <v/>
      </c>
      <c r="HD10" s="56">
        <f>IF(OR(HD$4="",$B10=""),0,SUMIF('DADOS BRUTOS'!$A$3:$A$500,$B10,'DADOS BRUTOS'!ED$3:ED$500)+IF($C10="",0,SUMIF('DADOS BRUTOS'!$A$3:$A$500,$C10,'DADOS BRUTOS'!ED$3:ED$500)))</f>
        <v/>
      </c>
      <c r="HE10" s="56">
        <f>IF(OR(HE$4="",$B10=""),0,SUMIF('DADOS BRUTOS'!$A$3:$A$500,$B10,'DADOS BRUTOS'!EE$3:EE$500)+IF($C10="",0,SUMIF('DADOS BRUTOS'!$A$3:$A$500,$C10,'DADOS BRUTOS'!EE$3:EE$500)))</f>
        <v/>
      </c>
      <c r="HF10" s="56">
        <f>IF(OR(HF$4="",$B10=""),0,SUMIF('DADOS BRUTOS'!$A$3:$A$500,$B10,'DADOS BRUTOS'!EF$3:EF$500)+IF($C10="",0,SUMIF('DADOS BRUTOS'!$A$3:$A$500,$C10,'DADOS BRUTOS'!EF$3:EF$500)))</f>
        <v/>
      </c>
      <c r="HG10" s="56">
        <f>IF(OR(HG$4="",$B10=""),0,SUMIF('DADOS BRUTOS'!$A$3:$A$500,$B10,'DADOS BRUTOS'!EG$3:EG$500)+IF($C10="",0,SUMIF('DADOS BRUTOS'!$A$3:$A$500,$C10,'DADOS BRUTOS'!EG$3:EG$500)))</f>
        <v/>
      </c>
      <c r="HH10" s="56">
        <f>IF(OR(HH$4="",$B10=""),0,SUMIF('DADOS BRUTOS'!$A$3:$A$500,$B10,'DADOS BRUTOS'!EH$3:EH$500)+IF($C10="",0,SUMIF('DADOS BRUTOS'!$A$3:$A$500,$C10,'DADOS BRUTOS'!EH$3:EH$500)))</f>
        <v/>
      </c>
      <c r="HI10" s="56">
        <f>IF(OR(HI$4="",$B10=""),0,SUMIF('DADOS BRUTOS'!$A$3:$A$500,$B10,'DADOS BRUTOS'!EI$3:EI$500)+IF($C10="",0,SUMIF('DADOS BRUTOS'!$A$3:$A$500,$C10,'DADOS BRUTOS'!EI$3:EI$500)))</f>
        <v/>
      </c>
      <c r="HJ10" s="56">
        <f>IF(OR(HJ$4="",$B10=""),0,SUMIF('DADOS BRUTOS'!$A$3:$A$500,$B10,'DADOS BRUTOS'!EJ$3:EJ$500)+IF($C10="",0,SUMIF('DADOS BRUTOS'!$A$3:$A$500,$C10,'DADOS BRUTOS'!EJ$3:EJ$500)))</f>
        <v/>
      </c>
      <c r="HK10" s="56">
        <f>IF(OR(HK$4="",$B10=""),0,SUMIF('DADOS BRUTOS'!$A$3:$A$500,$B10,'DADOS BRUTOS'!EK$3:EK$500)+IF($C10="",0,SUMIF('DADOS BRUTOS'!$A$3:$A$500,$C10,'DADOS BRUTOS'!EK$3:EK$500)))</f>
        <v/>
      </c>
      <c r="HL10" s="56">
        <f>IF(OR(HL$4="",$B10=""),0,SUMIF('DADOS BRUTOS'!$A$3:$A$500,$B10,'DADOS BRUTOS'!EL$3:EL$500)+IF($C10="",0,SUMIF('DADOS BRUTOS'!$A$3:$A$500,$C10,'DADOS BRUTOS'!EL$3:EL$500)))</f>
        <v/>
      </c>
      <c r="HM10" s="56">
        <f>IF(OR(HM$4="",$B10=""),0,SUMIF('DADOS BRUTOS'!$A$3:$A$500,$B10,'DADOS BRUTOS'!EM$3:EM$500)+IF($C10="",0,SUMIF('DADOS BRUTOS'!$A$3:$A$500,$C10,'DADOS BRUTOS'!EM$3:EM$500)))</f>
        <v/>
      </c>
      <c r="HN10" s="56">
        <f>IF(OR(HN$4="",$B10=""),0,SUMIF('DADOS BRUTOS'!$A$3:$A$500,$B10,'DADOS BRUTOS'!EN$3:EN$500)+IF($C10="",0,SUMIF('DADOS BRUTOS'!$A$3:$A$500,$C10,'DADOS BRUTOS'!EN$3:EN$500)))</f>
        <v/>
      </c>
      <c r="HO10" s="56">
        <f>IF(OR(HO$4="",$B10=""),0,SUMIF('DADOS BRUTOS'!$A$3:$A$500,$B10,'DADOS BRUTOS'!EO$3:EO$500)+IF($C10="",0,SUMIF('DADOS BRUTOS'!$A$3:$A$500,$C10,'DADOS BRUTOS'!EO$3:EO$500)))</f>
        <v/>
      </c>
      <c r="HP10" s="56">
        <f>IF(OR(HP$4="",$B10=""),0,SUMIF('DADOS BRUTOS'!$A$3:$A$500,$B10,'DADOS BRUTOS'!EP$3:EP$500)+IF($C10="",0,SUMIF('DADOS BRUTOS'!$A$3:$A$500,$C10,'DADOS BRUTOS'!EP$3:EP$500)))</f>
        <v/>
      </c>
      <c r="HQ10" s="56">
        <f>IF(OR(HQ$4="",$B10=""),0,SUMIF('DADOS BRUTOS'!$A$3:$A$500,$B10,'DADOS BRUTOS'!EQ$3:EQ$500)+IF($C10="",0,SUMIF('DADOS BRUTOS'!$A$3:$A$500,$C10,'DADOS BRUTOS'!EQ$3:EQ$500)))</f>
        <v/>
      </c>
      <c r="HR10" s="56">
        <f>IF(OR(HR$4="",$B10=""),0,SUMIF('DADOS BRUTOS'!$A$3:$A$500,$B10,'DADOS BRUTOS'!ER$3:ER$500)+IF($C10="",0,SUMIF('DADOS BRUTOS'!$A$3:$A$500,$C10,'DADOS BRUTOS'!ER$3:ER$500)))</f>
        <v/>
      </c>
      <c r="HS10" s="56">
        <f>IF(OR(HS$4="",$B10=""),0,SUMIF('DADOS BRUTOS'!$A$3:$A$500,$B10,'DADOS BRUTOS'!ES$3:ES$500)+IF($C10="",0,SUMIF('DADOS BRUTOS'!$A$3:$A$500,$C10,'DADOS BRUTOS'!ES$3:ES$500)))</f>
        <v/>
      </c>
      <c r="HT10" s="56">
        <f>IF(OR(HT$4="",$B10=""),0,SUMIF('DADOS BRUTOS'!$A$3:$A$500,$B10,'DADOS BRUTOS'!ET$3:ET$500)+IF($C10="",0,SUMIF('DADOS BRUTOS'!$A$3:$A$500,$C10,'DADOS BRUTOS'!ET$3:ET$500)))</f>
        <v/>
      </c>
      <c r="HU10" s="56">
        <f>IF(OR(HU$4="",$B10=""),0,SUMIF('DADOS BRUTOS'!$A$3:$A$500,$B10,'DADOS BRUTOS'!EU$3:EU$500)+IF($C10="",0,SUMIF('DADOS BRUTOS'!$A$3:$A$500,$C10,'DADOS BRUTOS'!EU$3:EU$500)))</f>
        <v/>
      </c>
      <c r="HV10" s="56">
        <f>IF(OR(HV$4="",$B10=""),0,SUMIF('DADOS BRUTOS'!$A$3:$A$500,$B10,'DADOS BRUTOS'!EV$3:EV$500)+IF($C10="",0,SUMIF('DADOS BRUTOS'!$A$3:$A$500,$C10,'DADOS BRUTOS'!EV$3:EV$500)))</f>
        <v/>
      </c>
      <c r="HW10" s="56">
        <f>IF(OR(HW$4="",$B10=""),0,SUMIF('DADOS BRUTOS'!$A$3:$A$500,$B10,'DADOS BRUTOS'!EW$3:EW$500)+IF($C10="",0,SUMIF('DADOS BRUTOS'!$A$3:$A$500,$C10,'DADOS BRUTOS'!EW$3:EW$500)))</f>
        <v/>
      </c>
      <c r="HX10" s="56">
        <f>IF(OR(HX$4="",$B10=""),0,SUMIF('DADOS BRUTOS'!$A$3:$A$500,$B10,'DADOS BRUTOS'!EX$3:EX$500)+IF($C10="",0,SUMIF('DADOS BRUTOS'!$A$3:$A$500,$C10,'DADOS BRUTOS'!EX$3:EX$500)))</f>
        <v/>
      </c>
      <c r="HY10" s="56">
        <f>IF(OR(HY$4="",$B10=""),0,SUMIF('DADOS BRUTOS'!$A$3:$A$500,$B10,'DADOS BRUTOS'!EY$3:EY$500)+IF($C10="",0,SUMIF('DADOS BRUTOS'!$A$3:$A$500,$C10,'DADOS BRUTOS'!EY$3:EY$500)))</f>
        <v/>
      </c>
      <c r="HZ10" s="56">
        <f>IF(OR(HZ$4="",$B10=""),0,SUMIF('DADOS BRUTOS'!$A$3:$A$500,$B10,'DADOS BRUTOS'!EZ$3:EZ$500)+IF($C10="",0,SUMIF('DADOS BRUTOS'!$A$3:$A$500,$C10,'DADOS BRUTOS'!EZ$3:EZ$500)))</f>
        <v/>
      </c>
      <c r="IA10" s="56">
        <f>IF(OR(IA$4="",$B10=""),0,SUMIF('DADOS BRUTOS'!$A$3:$A$500,$B10,'DADOS BRUTOS'!FA$3:FA$500)+IF($C10="",0,SUMIF('DADOS BRUTOS'!$A$3:$A$500,$C10,'DADOS BRUTOS'!FA$3:FA$500)))</f>
        <v/>
      </c>
      <c r="IB10" s="56">
        <f>IF(OR(IB$4="",$B10=""),0,SUMIF('DADOS BRUTOS'!$A$3:$A$500,$B10,'DADOS BRUTOS'!FB$3:FB$500)+IF($C10="",0,SUMIF('DADOS BRUTOS'!$A$3:$A$500,$C10,'DADOS BRUTOS'!FB$3:FB$500)))</f>
        <v/>
      </c>
      <c r="IC10" s="56">
        <f>IF(OR(IC$4="",$B10=""),0,SUMIF('DADOS BRUTOS'!$A$3:$A$500,$B10,'DADOS BRUTOS'!FC$3:FC$500)+IF($C10="",0,SUMIF('DADOS BRUTOS'!$A$3:$A$500,$C10,'DADOS BRUTOS'!FC$3:FC$500)))</f>
        <v/>
      </c>
      <c r="ID10" s="56">
        <f>IF(OR(ID$4="",$B10=""),0,SUMIF('DADOS BRUTOS'!$A$3:$A$500,$B10,'DADOS BRUTOS'!FD$3:FD$500)+IF($C10="",0,SUMIF('DADOS BRUTOS'!$A$3:$A$500,$C10,'DADOS BRUTOS'!FD$3:FD$500)))</f>
        <v/>
      </c>
      <c r="IE10" s="56">
        <f>IF(OR(IE$4="",$B10=""),0,SUMIF('DADOS BRUTOS'!$A$3:$A$500,$B10,'DADOS BRUTOS'!FE$3:FE$500)+IF($C10="",0,SUMIF('DADOS BRUTOS'!$A$3:$A$500,$C10,'DADOS BRUTOS'!FE$3:FE$500)))</f>
        <v/>
      </c>
      <c r="IF10" s="56">
        <f>IF(OR(IF$4="",$B10=""),0,SUMIF('DADOS BRUTOS'!$A$3:$A$500,$B10,'DADOS BRUTOS'!FF$3:FF$500)+IF($C10="",0,SUMIF('DADOS BRUTOS'!$A$3:$A$500,$C10,'DADOS BRUTOS'!FF$3:FF$500)))</f>
        <v/>
      </c>
      <c r="IG10" s="56">
        <f>IF(OR(IG$4="",$B10=""),0,SUMIF('DADOS BRUTOS'!$A$3:$A$500,$B10,'DADOS BRUTOS'!FG$3:FG$500)+IF($C10="",0,SUMIF('DADOS BRUTOS'!$A$3:$A$500,$C10,'DADOS BRUTOS'!FG$3:FG$500)))</f>
        <v/>
      </c>
      <c r="IH10" s="56">
        <f>IF(OR(IH$4="",$B10=""),0,SUMIF('DADOS BRUTOS'!$A$3:$A$500,$B10,'DADOS BRUTOS'!FH$3:FH$500)+IF($C10="",0,SUMIF('DADOS BRUTOS'!$A$3:$A$500,$C10,'DADOS BRUTOS'!FH$3:FH$500)))</f>
        <v/>
      </c>
      <c r="II10" s="56">
        <f>IF(OR(II$4="",$B10=""),0,SUMIF('DADOS BRUTOS'!$A$3:$A$500,$B10,'DADOS BRUTOS'!FI$3:FI$500)+IF($C10="",0,SUMIF('DADOS BRUTOS'!$A$3:$A$500,$C10,'DADOS BRUTOS'!FI$3:FI$500)))</f>
        <v/>
      </c>
      <c r="IJ10" s="56">
        <f>IF(OR(IJ$4="",$B10=""),0,SUMIF('DADOS BRUTOS'!$A$3:$A$500,$B10,'DADOS BRUTOS'!FJ$3:FJ$500)+IF($C10="",0,SUMIF('DADOS BRUTOS'!$A$3:$A$500,$C10,'DADOS BRUTOS'!FJ$3:FJ$500)))</f>
        <v/>
      </c>
      <c r="IK10" s="56">
        <f>IF(OR(IK$4="",$B10=""),0,SUMIF('DADOS BRUTOS'!$A$3:$A$500,$B10,'DADOS BRUTOS'!FK$3:FK$500)+IF($C10="",0,SUMIF('DADOS BRUTOS'!$A$3:$A$500,$C10,'DADOS BRUTOS'!FK$3:FK$500)))</f>
        <v/>
      </c>
      <c r="IL10" s="56">
        <f>IF(OR(IL$4="",$B10=""),0,SUMIF('DADOS BRUTOS'!$A$3:$A$500,$B10,'DADOS BRUTOS'!FL$3:FL$500)+IF($C10="",0,SUMIF('DADOS BRUTOS'!$A$3:$A$500,$C10,'DADOS BRUTOS'!FL$3:FL$500)))</f>
        <v/>
      </c>
      <c r="IM10" s="56">
        <f>IF(OR(IM$4="",$B10=""),0,SUMIF('DADOS BRUTOS'!$A$3:$A$500,$B10,'DADOS BRUTOS'!FM$3:FM$500)+IF($C10="",0,SUMIF('DADOS BRUTOS'!$A$3:$A$500,$C10,'DADOS BRUTOS'!FM$3:FM$500)))</f>
        <v/>
      </c>
      <c r="IN10" s="56">
        <f>IF(OR(IN$4="",$B10=""),0,SUMIF('DADOS BRUTOS'!$A$3:$A$500,$B10,'DADOS BRUTOS'!FN$3:FN$500)+IF($C10="",0,SUMIF('DADOS BRUTOS'!$A$3:$A$500,$C10,'DADOS BRUTOS'!FN$3:FN$500)))</f>
        <v/>
      </c>
      <c r="IO10" s="56">
        <f>IF(OR(IO$4="",$B10=""),0,SUMIF('DADOS BRUTOS'!$A$3:$A$500,$B10,'DADOS BRUTOS'!FO$3:FO$500)+IF($C10="",0,SUMIF('DADOS BRUTOS'!$A$3:$A$500,$C10,'DADOS BRUTOS'!FO$3:FO$500)))</f>
        <v/>
      </c>
      <c r="IP10" s="56">
        <f>IF(OR(IP$4="",$B10=""),0,SUMIF('DADOS BRUTOS'!$A$3:$A$500,$B10,'DADOS BRUTOS'!FP$3:FP$500)+IF($C10="",0,SUMIF('DADOS BRUTOS'!$A$3:$A$500,$C10,'DADOS BRUTOS'!FP$3:FP$500)))</f>
        <v/>
      </c>
      <c r="IQ10" s="56">
        <f>IF(OR(IQ$4="",$B10=""),0,SUMIF('DADOS BRUTOS'!$A$3:$A$500,$B10,'DADOS BRUTOS'!FQ$3:FQ$500)+IF($C10="",0,SUMIF('DADOS BRUTOS'!$A$3:$A$500,$C10,'DADOS BRUTOS'!FQ$3:FQ$500)))</f>
        <v/>
      </c>
      <c r="IR10" s="56">
        <f>IF(OR(IR$4="",$B10=""),0,SUMIF('DADOS BRUTOS'!$A$3:$A$500,$B10,'DADOS BRUTOS'!FR$3:FR$500)+IF($C10="",0,SUMIF('DADOS BRUTOS'!$A$3:$A$500,$C10,'DADOS BRUTOS'!FR$3:FR$500)))</f>
        <v/>
      </c>
      <c r="IS10" s="56">
        <f>IF(OR(IS$4="",$B10=""),0,SUMIF('DADOS BRUTOS'!$A$3:$A$500,$B10,'DADOS BRUTOS'!FS$3:FS$500)+IF($C10="",0,SUMIF('DADOS BRUTOS'!$A$3:$A$500,$C10,'DADOS BRUTOS'!FS$3:FS$500)))</f>
        <v/>
      </c>
      <c r="IT10" s="56">
        <f>IF(OR(IT$4="",$B10=""),0,SUMIF('DADOS BRUTOS'!$A$3:$A$500,$B10,'DADOS BRUTOS'!FT$3:FT$500)+IF($C10="",0,SUMIF('DADOS BRUTOS'!$A$3:$A$500,$C10,'DADOS BRUTOS'!FT$3:FT$500)))</f>
        <v/>
      </c>
      <c r="IU10" s="56">
        <f>IF(OR(IU$4="",$B10=""),0,SUMIF('DADOS BRUTOS'!$A$3:$A$500,$B10,'DADOS BRUTOS'!FU$3:FU$500)+IF($C10="",0,SUMIF('DADOS BRUTOS'!$A$3:$A$500,$C10,'DADOS BRUTOS'!FU$3:FU$500)))</f>
        <v/>
      </c>
      <c r="IV10" s="56">
        <f>IF(OR(IV$4="",$B10=""),0,SUMIF('DADOS BRUTOS'!$A$3:$A$500,$B10,'DADOS BRUTOS'!FV$3:FV$500)+IF($C10="",0,SUMIF('DADOS BRUTOS'!$A$3:$A$500,$C10,'DADOS BRUTOS'!FV$3:FV$500)))</f>
        <v/>
      </c>
      <c r="IW10" s="56">
        <f>IF(OR(IW$4="",$B10=""),0,SUMIF('DADOS BRUTOS'!$A$3:$A$500,$B10,'DADOS BRUTOS'!FW$3:FW$500)+IF($C10="",0,SUMIF('DADOS BRUTOS'!$A$3:$A$500,$C10,'DADOS BRUTOS'!FW$3:FW$500)))</f>
        <v/>
      </c>
      <c r="IX10" s="56">
        <f>IF(OR(IX$4="",$B10=""),0,SUMIF('DADOS BRUTOS'!$A$3:$A$500,$B10,'DADOS BRUTOS'!FX$3:FX$500)+IF($C10="",0,SUMIF('DADOS BRUTOS'!$A$3:$A$500,$C10,'DADOS BRUTOS'!FX$3:FX$500)))</f>
        <v/>
      </c>
      <c r="IY10" s="56">
        <f>IF(OR(IY$4="",$B10=""),0,SUMIF('DADOS BRUTOS'!$A$3:$A$500,$B10,'DADOS BRUTOS'!FY$3:FY$500)+IF($C10="",0,SUMIF('DADOS BRUTOS'!$A$3:$A$500,$C10,'DADOS BRUTOS'!FY$3:FY$500)))</f>
        <v/>
      </c>
      <c r="IZ10" s="56">
        <f>IF(OR(IZ$4="",$B10=""),0,SUMIF('DADOS BRUTOS'!$A$3:$A$500,$B10,'DADOS BRUTOS'!FZ$3:FZ$500)+IF($C10="",0,SUMIF('DADOS BRUTOS'!$A$3:$A$500,$C10,'DADOS BRUTOS'!FZ$3:FZ$500)))</f>
        <v/>
      </c>
      <c r="JA10" s="56">
        <f>IF(OR(JA$4="",$B10=""),0,SUMIF('DADOS BRUTOS'!$A$3:$A$500,$B10,'DADOS BRUTOS'!GA$3:GA$500)+IF($C10="",0,SUMIF('DADOS BRUTOS'!$A$3:$A$500,$C10,'DADOS BRUTOS'!GA$3:GA$500)))</f>
        <v/>
      </c>
      <c r="JB10" s="56">
        <f>IF(OR(JB$4="",$B10=""),0,SUMIF('DADOS BRUTOS'!$A$3:$A$500,$B10,'DADOS BRUTOS'!GB$3:GB$500)+IF($C10="",0,SUMIF('DADOS BRUTOS'!$A$3:$A$500,$C10,'DADOS BRUTOS'!GB$3:GB$500)))</f>
        <v/>
      </c>
      <c r="JC10" s="56">
        <f>IF(OR(JC$4="",$B10=""),0,SUMIF('DADOS BRUTOS'!$A$3:$A$500,$B10,'DADOS BRUTOS'!GC$3:GC$500)+IF($C10="",0,SUMIF('DADOS BRUTOS'!$A$3:$A$500,$C10,'DADOS BRUTOS'!GC$3:GC$500)))</f>
        <v/>
      </c>
      <c r="JD10" s="56">
        <f>IF(OR(JD$4="",$B10=""),0,SUMIF('DADOS BRUTOS'!$A$3:$A$500,$B10,'DADOS BRUTOS'!GD$3:GD$500)+IF($C10="",0,SUMIF('DADOS BRUTOS'!$A$3:$A$500,$C10,'DADOS BRUTOS'!GD$3:GD$500)))</f>
        <v/>
      </c>
      <c r="JE10" s="56">
        <f>IF(OR(JE$4="",$B10=""),0,SUMIF('DADOS BRUTOS'!$A$3:$A$500,$B10,'DADOS BRUTOS'!GE$3:GE$500)+IF($C10="",0,SUMIF('DADOS BRUTOS'!$A$3:$A$500,$C10,'DADOS BRUTOS'!GE$3:GE$500)))</f>
        <v/>
      </c>
      <c r="JF10" s="56">
        <f>IF(OR(JF$4="",$B10=""),0,SUMIF('DADOS BRUTOS'!$A$3:$A$500,$B10,'DADOS BRUTOS'!GF$3:GF$500)+IF($C10="",0,SUMIF('DADOS BRUTOS'!$A$3:$A$500,$C10,'DADOS BRUTOS'!GF$3:GF$500)))</f>
        <v/>
      </c>
      <c r="JG10" s="56">
        <f>IF(OR(JG$4="",$B10=""),0,SUMIF('DADOS BRUTOS'!$A$3:$A$500,$B10,'DADOS BRUTOS'!GG$3:GG$500)+IF($C10="",0,SUMIF('DADOS BRUTOS'!$A$3:$A$500,$C10,'DADOS BRUTOS'!GG$3:GG$500)))</f>
        <v/>
      </c>
      <c r="JH10" s="56">
        <f>IF(OR(JH$4="",$B10=""),0,SUMIF('DADOS BRUTOS'!$A$3:$A$500,$B10,'DADOS BRUTOS'!GH$3:GH$500)+IF($C10="",0,SUMIF('DADOS BRUTOS'!$A$3:$A$500,$C10,'DADOS BRUTOS'!GH$3:GH$500)))</f>
        <v/>
      </c>
      <c r="JI10" s="56">
        <f>IF(OR(JI$4="",$B10=""),0,SUMIF('DADOS BRUTOS'!$A$3:$A$500,$B10,'DADOS BRUTOS'!GI$3:GI$500)+IF($C10="",0,SUMIF('DADOS BRUTOS'!$A$3:$A$500,$C10,'DADOS BRUTOS'!GI$3:GI$500)))</f>
        <v/>
      </c>
      <c r="JJ10" s="56">
        <f>IF(OR(JJ$4="",$B10=""),0,SUMIF('DADOS BRUTOS'!$A$3:$A$500,$B10,'DADOS BRUTOS'!GJ$3:GJ$500)+IF($C10="",0,SUMIF('DADOS BRUTOS'!$A$3:$A$500,$C10,'DADOS BRUTOS'!GJ$3:GJ$500)))</f>
        <v/>
      </c>
      <c r="JK10" s="56">
        <f>IF(OR(JK$4="",$B10=""),0,SUMIF('DADOS BRUTOS'!$A$3:$A$500,$B10,'DADOS BRUTOS'!GK$3:GK$500)+IF($C10="",0,SUMIF('DADOS BRUTOS'!$A$3:$A$500,$C10,'DADOS BRUTOS'!GK$3:GK$500)))</f>
        <v/>
      </c>
      <c r="JL10" s="56">
        <f>IF(OR(JL$4="",$B10=""),0,SUMIF('DADOS BRUTOS'!$A$3:$A$500,$B10,'DADOS BRUTOS'!GL$3:GL$500)+IF($C10="",0,SUMIF('DADOS BRUTOS'!$A$3:$A$500,$C10,'DADOS BRUTOS'!GL$3:GL$500)))</f>
        <v/>
      </c>
      <c r="JM10" s="56">
        <f>IF(OR(JM$4="",$B10=""),0,SUMIF('DADOS BRUTOS'!$A$3:$A$500,$B10,'DADOS BRUTOS'!GM$3:GM$500)+IF($C10="",0,SUMIF('DADOS BRUTOS'!$A$3:$A$500,$C10,'DADOS BRUTOS'!GM$3:GM$500)))</f>
        <v/>
      </c>
      <c r="JN10" s="56">
        <f>IF(OR(JN$4="",$B10=""),0,SUMIF('DADOS BRUTOS'!$A$3:$A$500,$B10,'DADOS BRUTOS'!GN$3:GN$500)+IF($C10="",0,SUMIF('DADOS BRUTOS'!$A$3:$A$500,$C10,'DADOS BRUTOS'!GN$3:GN$500)))</f>
        <v/>
      </c>
      <c r="JO10" s="56">
        <f>IF(OR(JO$4="",$B10=""),0,SUMIF('DADOS BRUTOS'!$A$3:$A$500,$B10,'DADOS BRUTOS'!GO$3:GO$500)+IF($C10="",0,SUMIF('DADOS BRUTOS'!$A$3:$A$500,$C10,'DADOS BRUTOS'!GO$3:GO$500)))</f>
        <v/>
      </c>
      <c r="JP10" s="56">
        <f>IF(OR(JP$4="",$B10=""),0,SUMIF('DADOS BRUTOS'!$A$3:$A$500,$B10,'DADOS BRUTOS'!GP$3:GP$500)+IF($C10="",0,SUMIF('DADOS BRUTOS'!$A$3:$A$500,$C10,'DADOS BRUTOS'!GP$3:GP$500)))</f>
        <v/>
      </c>
      <c r="JQ10" s="56">
        <f>IF(OR(JQ$4="",$B10=""),0,SUMIF('DADOS BRUTOS'!$A$3:$A$500,$B10,'DADOS BRUTOS'!GQ$3:GQ$500)+IF($C10="",0,SUMIF('DADOS BRUTOS'!$A$3:$A$500,$C10,'DADOS BRUTOS'!GQ$3:GQ$500)))</f>
        <v/>
      </c>
      <c r="JR10" s="56">
        <f>IF(OR(JR$4="",$B10=""),0,SUMIF('DADOS BRUTOS'!$A$3:$A$500,$B10,'DADOS BRUTOS'!GR$3:GR$500)+IF($C10="",0,SUMIF('DADOS BRUTOS'!$A$3:$A$500,$C10,'DADOS BRUTOS'!GR$3:GR$500)))</f>
        <v/>
      </c>
      <c r="JS10" s="56">
        <f>IF(OR(JS$4="",$B10=""),0,SUMIF('DADOS BRUTOS'!$A$3:$A$500,$B10,'DADOS BRUTOS'!GS$3:GS$500)+IF($C10="",0,SUMIF('DADOS BRUTOS'!$A$3:$A$500,$C10,'DADOS BRUTOS'!GS$3:GS$500)))</f>
        <v/>
      </c>
    </row>
    <row r="11">
      <c r="A11" s="34">
        <f>'VALOR POR PL'!D17</f>
        <v/>
      </c>
      <c r="B11" s="21" t="inlineStr">
        <is>
          <t>DIVERSOS</t>
        </is>
      </c>
      <c r="C11" s="21" t="n"/>
      <c r="D11" s="17">
        <f>SUMIF($CB$4:$JS$4,"&lt;="&amp;D$4,$CB11:$JS11)</f>
        <v/>
      </c>
      <c r="E11" s="17">
        <f>SUMIF($CB$4:$JS$4,E$4,$CB11:$JS11)</f>
        <v/>
      </c>
      <c r="F11" s="17">
        <f>SUMIF($CB$4:$JS$4,F$4,$CB11:$JS11)</f>
        <v/>
      </c>
      <c r="G11" s="17">
        <f>SUMIF($CB$4:$JS$4,G$4,$CB11:$JS11)</f>
        <v/>
      </c>
      <c r="H11" s="17">
        <f>SUMIF($CB$4:$JS$4,H$4,$CB11:$JS11)</f>
        <v/>
      </c>
      <c r="I11" s="17">
        <f>SUMIF($CB$4:$JS$4,I$4,$CB11:$JS11)</f>
        <v/>
      </c>
      <c r="J11" s="17">
        <f>SUMIF($CB$4:$JS$4,J$4,$CB11:$JS11)</f>
        <v/>
      </c>
      <c r="K11" s="17">
        <f>SUMIF($CB$4:$JS$4,K$4,$CB11:$JS11)</f>
        <v/>
      </c>
      <c r="L11" s="17">
        <f>SUMIF($CB$4:$JS$4,L$4,$CB11:$JS11)</f>
        <v/>
      </c>
      <c r="M11" s="17">
        <f>SUMIF($CB$4:$JS$4,M$4,$CB11:$JS11)</f>
        <v/>
      </c>
      <c r="N11" s="17">
        <f>SUMIF($CB$4:$JS$4,N$4,$CB11:$JS11)</f>
        <v/>
      </c>
      <c r="O11" s="17">
        <f>SUMIF($CB$4:$JS$4,O$4,$CB11:$JS11)</f>
        <v/>
      </c>
      <c r="P11" s="17">
        <f>SUMIF($CB$4:$JS$4,P$4,$CB11:$JS11)</f>
        <v/>
      </c>
      <c r="Q11" s="17">
        <f>SUMIF($CB$4:$JS$4,Q$4,$CB11:$JS11)</f>
        <v/>
      </c>
      <c r="R11" s="17">
        <f>SUMIF($CB$4:$JS$4,R$4,$CB11:$JS11)</f>
        <v/>
      </c>
      <c r="S11" s="17">
        <f>SUMIF($CB$4:$JS$4,S$4,$CB11:$JS11)</f>
        <v/>
      </c>
      <c r="T11" s="17">
        <f>SUMIF($CB$4:$JS$4,T$4,$CB11:$JS11)</f>
        <v/>
      </c>
      <c r="U11" s="17">
        <f>SUMIF($CB$4:$JS$4,U$4,$CB11:$JS11)</f>
        <v/>
      </c>
      <c r="V11" s="17">
        <f>SUMIF($CB$4:$JS$4,V$4,$CB11:$JS11)</f>
        <v/>
      </c>
      <c r="W11" s="17">
        <f>SUMIF($CB$4:$JS$4,W$4,$CB11:$JS11)</f>
        <v/>
      </c>
      <c r="X11" s="17">
        <f>SUMIF($CB$4:$JS$4,X$4,$CB11:$JS11)</f>
        <v/>
      </c>
      <c r="Y11" s="17">
        <f>SUMIF($CB$4:$JS$4,Y$4,$CB11:$JS11)</f>
        <v/>
      </c>
      <c r="Z11" s="17">
        <f>SUMIF($CB$4:$JS$4,Z$4,$CB11:$JS11)</f>
        <v/>
      </c>
      <c r="AA11" s="17">
        <f>SUMIF($CB$4:$JS$4,AA$4,$CB11:$JS11)</f>
        <v/>
      </c>
      <c r="AB11" s="17">
        <f>SUMIF($CB$4:$JS$4,AB$4,$CB11:$JS11)</f>
        <v/>
      </c>
      <c r="AC11" s="17">
        <f>SUMIF($CB$4:$JS$4,AC$4,$CB11:$JS11)</f>
        <v/>
      </c>
      <c r="AD11" s="17">
        <f>SUMIF($CB$4:$JS$4,AD$4,$CB11:$JS11)</f>
        <v/>
      </c>
      <c r="AE11" s="17">
        <f>SUMIF($CB$4:$JS$4,AE$4,$CB11:$JS11)</f>
        <v/>
      </c>
      <c r="AF11" s="17">
        <f>SUMIF($CB$4:$JS$4,AF$4,$CB11:$JS11)</f>
        <v/>
      </c>
      <c r="AG11" s="17">
        <f>SUMIF($CB$4:$JS$4,AG$4,$CB11:$JS11)</f>
        <v/>
      </c>
      <c r="AH11" s="17">
        <f>SUMIF($CB$4:$JS$4,AH$4,$CB11:$JS11)</f>
        <v/>
      </c>
      <c r="AI11" s="17">
        <f>SUMIF($CB$4:$JS$4,AI$4,$CB11:$JS11)</f>
        <v/>
      </c>
      <c r="AJ11" s="17">
        <f>SUMIF($CB$4:$JS$4,AJ$4,$CB11:$JS11)</f>
        <v/>
      </c>
      <c r="AK11" s="17">
        <f>SUMIF($CB$4:$JS$4,AK$4,$CB11:$JS11)</f>
        <v/>
      </c>
      <c r="AL11" s="17">
        <f>SUMIF($CB$4:$JS$4,AL$4,$CB11:$JS11)</f>
        <v/>
      </c>
      <c r="AM11" s="17">
        <f>SUMIF($CB$4:$JS$4,AM$4,$CB11:$JS11)</f>
        <v/>
      </c>
      <c r="AN11" s="17">
        <f>SUMIF($CB$4:$JS$4,AN$4,$CB11:$JS11)</f>
        <v/>
      </c>
      <c r="AO11" s="17">
        <f>SUMIF($CB$4:$JS$4,AO$4,$CB11:$JS11)</f>
        <v/>
      </c>
      <c r="AP11" s="17">
        <f>SUMIF($CB$4:$JS$4,AP$4,$CB11:$JS11)</f>
        <v/>
      </c>
      <c r="AQ11" s="17">
        <f>SUMIF($CB$4:$JS$4,AQ$4,$CB11:$JS11)</f>
        <v/>
      </c>
      <c r="AR11" s="17">
        <f>SUMIF($CB$4:$JS$4,AR$4,$CB11:$JS11)</f>
        <v/>
      </c>
      <c r="AS11" s="17">
        <f>SUMIF($CB$4:$JS$4,AS$4,$CB11:$JS11)</f>
        <v/>
      </c>
      <c r="AT11" s="17">
        <f>SUMIF($CB$4:$JS$4,AT$4,$CB11:$JS11)</f>
        <v/>
      </c>
      <c r="AU11" s="17">
        <f>SUMIF($CB$4:$JS$4,AU$4,$CB11:$JS11)</f>
        <v/>
      </c>
      <c r="AV11" s="17">
        <f>SUMIF($CB$4:$JS$4,AV$4,$CB11:$JS11)</f>
        <v/>
      </c>
      <c r="AW11" s="17">
        <f>SUMIF($CB$4:$JS$4,AW$4,$CB11:$JS11)</f>
        <v/>
      </c>
      <c r="AX11" s="17">
        <f>SUMIF($CB$4:$JS$4,AX$4,$CB11:$JS11)</f>
        <v/>
      </c>
      <c r="AY11" s="17">
        <f>SUMIF($CB$4:$JS$4,AY$4,$CB11:$JS11)</f>
        <v/>
      </c>
      <c r="AZ11" s="17">
        <f>SUMIF($CB$4:$JS$4,AZ$4,$CB11:$JS11)</f>
        <v/>
      </c>
      <c r="BA11" s="17">
        <f>SUMIF($CB$4:$JS$4,BA$4,$CB11:$JS11)</f>
        <v/>
      </c>
      <c r="BB11" s="17">
        <f>SUMIF($CB$4:$JS$4,BB$4,$CB11:$JS11)</f>
        <v/>
      </c>
      <c r="BC11" s="17">
        <f>SUMIF($CB$4:$JS$4,BC$4,$CB11:$JS11)</f>
        <v/>
      </c>
      <c r="BD11" s="17">
        <f>SUMIF($CB$4:$JS$4,BD$4,$CB11:$JS11)</f>
        <v/>
      </c>
      <c r="BE11" s="17">
        <f>SUMIF($CB$4:$JS$4,BE$4,$CB11:$JS11)</f>
        <v/>
      </c>
      <c r="BF11" s="17">
        <f>SUMIF($CB$4:$JS$4,BF$4,$CB11:$JS11)</f>
        <v/>
      </c>
      <c r="BG11" s="17">
        <f>SUMIF($CB$4:$JS$4,BG$4,$CB11:$JS11)</f>
        <v/>
      </c>
      <c r="BH11" s="17">
        <f>SUMIF($CB$4:$JS$4,BH$4,$CB11:$JS11)</f>
        <v/>
      </c>
      <c r="BI11" s="17">
        <f>SUMIF($CB$4:$JS$4,BI$4,$CB11:$JS11)</f>
        <v/>
      </c>
      <c r="BJ11" s="17">
        <f>SUMIF($CB$4:$JS$4,BJ$4,$CB11:$JS11)</f>
        <v/>
      </c>
      <c r="BK11" s="17">
        <f>SUMIF($CB$4:$JS$4,BK$4,$CB11:$JS11)</f>
        <v/>
      </c>
      <c r="BL11" s="17">
        <f>SUMIF($CB$4:$JS$4,BL$4,$CB11:$JS11)</f>
        <v/>
      </c>
      <c r="BM11" s="17">
        <f>SUMIF($CB$4:$JS$4,BM$4,$CB11:$JS11)</f>
        <v/>
      </c>
      <c r="BN11" s="17">
        <f>SUMIF($CB$4:$JS$4,BN$4,$CB11:$JS11)</f>
        <v/>
      </c>
      <c r="BO11" s="17">
        <f>SUMIF($CB$4:$JS$4,BO$4,$CB11:$JS11)</f>
        <v/>
      </c>
      <c r="BP11" s="17">
        <f>SUMIF($CB$4:$JS$4,BP$4,$CB11:$JS11)</f>
        <v/>
      </c>
      <c r="BQ11" s="17">
        <f>SUMIF($CB$4:$JS$4,BQ$4,$CB11:$JS11)</f>
        <v/>
      </c>
      <c r="BR11" s="17">
        <f>SUMIF($CB$4:$JS$4,BR$4,$CB11:$JS11)</f>
        <v/>
      </c>
      <c r="BS11" s="17">
        <f>SUMIF($CB$4:$JS$4,BS$4,$CB11:$JS11)</f>
        <v/>
      </c>
      <c r="BT11" s="17">
        <f>SUMIF($CB$4:$JS$4,BT$4,$CB11:$JS11)</f>
        <v/>
      </c>
      <c r="BU11" s="17">
        <f>SUMIF($CB$4:$JS$4,BU$4,$CB11:$JS11)</f>
        <v/>
      </c>
      <c r="BV11" s="17">
        <f>SUMIF($CB$4:$JS$4,BV$4,$CB11:$JS11)</f>
        <v/>
      </c>
      <c r="BW11" s="17">
        <f>SUMIF($CB$4:$JS$4,BW$4,$CB11:$JS11)</f>
        <v/>
      </c>
      <c r="BX11" s="17">
        <f>SUMIF($CB$4:$JS$4,"&gt;"&amp;'VALOR POR PL'!$P$8,$CB11:$JS11)</f>
        <v/>
      </c>
      <c r="BY11" s="17">
        <f>SUM($CB11:$JS11)</f>
        <v/>
      </c>
      <c r="CB11" s="56">
        <f>IF(OR(CB$4="",$B11=""),0,SUMIF('DADOS BRUTOS'!$A$3:$A$500,$B11,'DADOS BRUTOS'!B$3:B$500)+IF($C11="",0,SUMIF('DADOS BRUTOS'!$A$3:$A$500,$C11,'DADOS BRUTOS'!B$3:B$500)))</f>
        <v/>
      </c>
      <c r="CC11" s="56">
        <f>IF(OR(CC$4="",$B11=""),0,SUMIF('DADOS BRUTOS'!$A$3:$A$500,$B11,'DADOS BRUTOS'!C$3:C$500)+IF($C11="",0,SUMIF('DADOS BRUTOS'!$A$3:$A$500,$C11,'DADOS BRUTOS'!C$3:C$500)))</f>
        <v/>
      </c>
      <c r="CD11" s="56">
        <f>IF(OR(CD$4="",$B11=""),0,SUMIF('DADOS BRUTOS'!$A$3:$A$500,$B11,'DADOS BRUTOS'!D$3:D$500)+IF($C11="",0,SUMIF('DADOS BRUTOS'!$A$3:$A$500,$C11,'DADOS BRUTOS'!D$3:D$500)))</f>
        <v/>
      </c>
      <c r="CE11" s="56">
        <f>IF(OR(CE$4="",$B11=""),0,SUMIF('DADOS BRUTOS'!$A$3:$A$500,$B11,'DADOS BRUTOS'!E$3:E$500)+IF($C11="",0,SUMIF('DADOS BRUTOS'!$A$3:$A$500,$C11,'DADOS BRUTOS'!E$3:E$500)))</f>
        <v/>
      </c>
      <c r="CF11" s="56">
        <f>IF(OR(CF$4="",$B11=""),0,SUMIF('DADOS BRUTOS'!$A$3:$A$500,$B11,'DADOS BRUTOS'!F$3:F$500)+IF($C11="",0,SUMIF('DADOS BRUTOS'!$A$3:$A$500,$C11,'DADOS BRUTOS'!F$3:F$500)))</f>
        <v/>
      </c>
      <c r="CG11" s="56">
        <f>IF(OR(CG$4="",$B11=""),0,SUMIF('DADOS BRUTOS'!$A$3:$A$500,$B11,'DADOS BRUTOS'!G$3:G$500)+IF($C11="",0,SUMIF('DADOS BRUTOS'!$A$3:$A$500,$C11,'DADOS BRUTOS'!G$3:G$500)))</f>
        <v/>
      </c>
      <c r="CH11" s="56">
        <f>IF(OR(CH$4="",$B11=""),0,SUMIF('DADOS BRUTOS'!$A$3:$A$500,$B11,'DADOS BRUTOS'!H$3:H$500)+IF($C11="",0,SUMIF('DADOS BRUTOS'!$A$3:$A$500,$C11,'DADOS BRUTOS'!H$3:H$500)))</f>
        <v/>
      </c>
      <c r="CI11" s="56">
        <f>IF(OR(CI$4="",$B11=""),0,SUMIF('DADOS BRUTOS'!$A$3:$A$500,$B11,'DADOS BRUTOS'!I$3:I$500)+IF($C11="",0,SUMIF('DADOS BRUTOS'!$A$3:$A$500,$C11,'DADOS BRUTOS'!I$3:I$500)))</f>
        <v/>
      </c>
      <c r="CJ11" s="56">
        <f>IF(OR(CJ$4="",$B11=""),0,SUMIF('DADOS BRUTOS'!$A$3:$A$500,$B11,'DADOS BRUTOS'!J$3:J$500)+IF($C11="",0,SUMIF('DADOS BRUTOS'!$A$3:$A$500,$C11,'DADOS BRUTOS'!J$3:J$500)))</f>
        <v/>
      </c>
      <c r="CK11" s="56">
        <f>IF(OR(CK$4="",$B11=""),0,SUMIF('DADOS BRUTOS'!$A$3:$A$500,$B11,'DADOS BRUTOS'!K$3:K$500)+IF($C11="",0,SUMIF('DADOS BRUTOS'!$A$3:$A$500,$C11,'DADOS BRUTOS'!K$3:K$500)))</f>
        <v/>
      </c>
      <c r="CL11" s="56">
        <f>IF(OR(CL$4="",$B11=""),0,SUMIF('DADOS BRUTOS'!$A$3:$A$500,$B11,'DADOS BRUTOS'!L$3:L$500)+IF($C11="",0,SUMIF('DADOS BRUTOS'!$A$3:$A$500,$C11,'DADOS BRUTOS'!L$3:L$500)))</f>
        <v/>
      </c>
      <c r="CM11" s="56">
        <f>IF(OR(CM$4="",$B11=""),0,SUMIF('DADOS BRUTOS'!$A$3:$A$500,$B11,'DADOS BRUTOS'!M$3:M$500)+IF($C11="",0,SUMIF('DADOS BRUTOS'!$A$3:$A$500,$C11,'DADOS BRUTOS'!M$3:M$500)))</f>
        <v/>
      </c>
      <c r="CN11" s="56">
        <f>IF(OR(CN$4="",$B11=""),0,SUMIF('DADOS BRUTOS'!$A$3:$A$500,$B11,'DADOS BRUTOS'!N$3:N$500)+IF($C11="",0,SUMIF('DADOS BRUTOS'!$A$3:$A$500,$C11,'DADOS BRUTOS'!N$3:N$500)))</f>
        <v/>
      </c>
      <c r="CO11" s="56">
        <f>IF(OR(CO$4="",$B11=""),0,SUMIF('DADOS BRUTOS'!$A$3:$A$500,$B11,'DADOS BRUTOS'!O$3:O$500)+IF($C11="",0,SUMIF('DADOS BRUTOS'!$A$3:$A$500,$C11,'DADOS BRUTOS'!O$3:O$500)))</f>
        <v/>
      </c>
      <c r="CP11" s="56">
        <f>IF(OR(CP$4="",$B11=""),0,SUMIF('DADOS BRUTOS'!$A$3:$A$500,$B11,'DADOS BRUTOS'!P$3:P$500)+IF($C11="",0,SUMIF('DADOS BRUTOS'!$A$3:$A$500,$C11,'DADOS BRUTOS'!P$3:P$500)))</f>
        <v/>
      </c>
      <c r="CQ11" s="56">
        <f>IF(OR(CQ$4="",$B11=""),0,SUMIF('DADOS BRUTOS'!$A$3:$A$500,$B11,'DADOS BRUTOS'!Q$3:Q$500)+IF($C11="",0,SUMIF('DADOS BRUTOS'!$A$3:$A$500,$C11,'DADOS BRUTOS'!Q$3:Q$500)))</f>
        <v/>
      </c>
      <c r="CR11" s="56">
        <f>IF(OR(CR$4="",$B11=""),0,SUMIF('DADOS BRUTOS'!$A$3:$A$500,$B11,'DADOS BRUTOS'!R$3:R$500)+IF($C11="",0,SUMIF('DADOS BRUTOS'!$A$3:$A$500,$C11,'DADOS BRUTOS'!R$3:R$500)))</f>
        <v/>
      </c>
      <c r="CS11" s="56">
        <f>IF(OR(CS$4="",$B11=""),0,SUMIF('DADOS BRUTOS'!$A$3:$A$500,$B11,'DADOS BRUTOS'!S$3:S$500)+IF($C11="",0,SUMIF('DADOS BRUTOS'!$A$3:$A$500,$C11,'DADOS BRUTOS'!S$3:S$500)))</f>
        <v/>
      </c>
      <c r="CT11" s="56">
        <f>IF(OR(CT$4="",$B11=""),0,SUMIF('DADOS BRUTOS'!$A$3:$A$500,$B11,'DADOS BRUTOS'!T$3:T$500)+IF($C11="",0,SUMIF('DADOS BRUTOS'!$A$3:$A$500,$C11,'DADOS BRUTOS'!T$3:T$500)))</f>
        <v/>
      </c>
      <c r="CU11" s="56">
        <f>IF(OR(CU$4="",$B11=""),0,SUMIF('DADOS BRUTOS'!$A$3:$A$500,$B11,'DADOS BRUTOS'!U$3:U$500)+IF($C11="",0,SUMIF('DADOS BRUTOS'!$A$3:$A$500,$C11,'DADOS BRUTOS'!U$3:U$500)))</f>
        <v/>
      </c>
      <c r="CV11" s="56">
        <f>IF(OR(CV$4="",$B11=""),0,SUMIF('DADOS BRUTOS'!$A$3:$A$500,$B11,'DADOS BRUTOS'!V$3:V$500)+IF($C11="",0,SUMIF('DADOS BRUTOS'!$A$3:$A$500,$C11,'DADOS BRUTOS'!V$3:V$500)))</f>
        <v/>
      </c>
      <c r="CW11" s="56">
        <f>IF(OR(CW$4="",$B11=""),0,SUMIF('DADOS BRUTOS'!$A$3:$A$500,$B11,'DADOS BRUTOS'!W$3:W$500)+IF($C11="",0,SUMIF('DADOS BRUTOS'!$A$3:$A$500,$C11,'DADOS BRUTOS'!W$3:W$500)))</f>
        <v/>
      </c>
      <c r="CX11" s="56">
        <f>IF(OR(CX$4="",$B11=""),0,SUMIF('DADOS BRUTOS'!$A$3:$A$500,$B11,'DADOS BRUTOS'!X$3:X$500)+IF($C11="",0,SUMIF('DADOS BRUTOS'!$A$3:$A$500,$C11,'DADOS BRUTOS'!X$3:X$500)))</f>
        <v/>
      </c>
      <c r="CY11" s="56">
        <f>IF(OR(CY$4="",$B11=""),0,SUMIF('DADOS BRUTOS'!$A$3:$A$500,$B11,'DADOS BRUTOS'!Y$3:Y$500)+IF($C11="",0,SUMIF('DADOS BRUTOS'!$A$3:$A$500,$C11,'DADOS BRUTOS'!Y$3:Y$500)))</f>
        <v/>
      </c>
      <c r="CZ11" s="56">
        <f>IF(OR(CZ$4="",$B11=""),0,SUMIF('DADOS BRUTOS'!$A$3:$A$500,$B11,'DADOS BRUTOS'!Z$3:Z$500)+IF($C11="",0,SUMIF('DADOS BRUTOS'!$A$3:$A$500,$C11,'DADOS BRUTOS'!Z$3:Z$500)))</f>
        <v/>
      </c>
      <c r="DA11" s="56">
        <f>IF(OR(DA$4="",$B11=""),0,SUMIF('DADOS BRUTOS'!$A$3:$A$500,$B11,'DADOS BRUTOS'!AA$3:AA$500)+IF($C11="",0,SUMIF('DADOS BRUTOS'!$A$3:$A$500,$C11,'DADOS BRUTOS'!AA$3:AA$500)))</f>
        <v/>
      </c>
      <c r="DB11" s="56">
        <f>IF(OR(DB$4="",$B11=""),0,SUMIF('DADOS BRUTOS'!$A$3:$A$500,$B11,'DADOS BRUTOS'!AB$3:AB$500)+IF($C11="",0,SUMIF('DADOS BRUTOS'!$A$3:$A$500,$C11,'DADOS BRUTOS'!AB$3:AB$500)))</f>
        <v/>
      </c>
      <c r="DC11" s="56">
        <f>IF(OR(DC$4="",$B11=""),0,SUMIF('DADOS BRUTOS'!$A$3:$A$500,$B11,'DADOS BRUTOS'!AC$3:AC$500)+IF($C11="",0,SUMIF('DADOS BRUTOS'!$A$3:$A$500,$C11,'DADOS BRUTOS'!AC$3:AC$500)))</f>
        <v/>
      </c>
      <c r="DD11" s="56">
        <f>IF(OR(DD$4="",$B11=""),0,SUMIF('DADOS BRUTOS'!$A$3:$A$500,$B11,'DADOS BRUTOS'!AD$3:AD$500)+IF($C11="",0,SUMIF('DADOS BRUTOS'!$A$3:$A$500,$C11,'DADOS BRUTOS'!AD$3:AD$500)))</f>
        <v/>
      </c>
      <c r="DE11" s="56">
        <f>IF(OR(DE$4="",$B11=""),0,SUMIF('DADOS BRUTOS'!$A$3:$A$500,$B11,'DADOS BRUTOS'!AE$3:AE$500)+IF($C11="",0,SUMIF('DADOS BRUTOS'!$A$3:$A$500,$C11,'DADOS BRUTOS'!AE$3:AE$500)))</f>
        <v/>
      </c>
      <c r="DF11" s="56">
        <f>IF(OR(DF$4="",$B11=""),0,SUMIF('DADOS BRUTOS'!$A$3:$A$500,$B11,'DADOS BRUTOS'!AF$3:AF$500)+IF($C11="",0,SUMIF('DADOS BRUTOS'!$A$3:$A$500,$C11,'DADOS BRUTOS'!AF$3:AF$500)))</f>
        <v/>
      </c>
      <c r="DG11" s="56">
        <f>IF(OR(DG$4="",$B11=""),0,SUMIF('DADOS BRUTOS'!$A$3:$A$500,$B11,'DADOS BRUTOS'!AG$3:AG$500)+IF($C11="",0,SUMIF('DADOS BRUTOS'!$A$3:$A$500,$C11,'DADOS BRUTOS'!AG$3:AG$500)))</f>
        <v/>
      </c>
      <c r="DH11" s="56">
        <f>IF(OR(DH$4="",$B11=""),0,SUMIF('DADOS BRUTOS'!$A$3:$A$500,$B11,'DADOS BRUTOS'!AH$3:AH$500)+IF($C11="",0,SUMIF('DADOS BRUTOS'!$A$3:$A$500,$C11,'DADOS BRUTOS'!AH$3:AH$500)))</f>
        <v/>
      </c>
      <c r="DI11" s="56">
        <f>IF(OR(DI$4="",$B11=""),0,SUMIF('DADOS BRUTOS'!$A$3:$A$500,$B11,'DADOS BRUTOS'!AI$3:AI$500)+IF($C11="",0,SUMIF('DADOS BRUTOS'!$A$3:$A$500,$C11,'DADOS BRUTOS'!AI$3:AI$500)))</f>
        <v/>
      </c>
      <c r="DJ11" s="56">
        <f>IF(OR(DJ$4="",$B11=""),0,SUMIF('DADOS BRUTOS'!$A$3:$A$500,$B11,'DADOS BRUTOS'!AJ$3:AJ$500)+IF($C11="",0,SUMIF('DADOS BRUTOS'!$A$3:$A$500,$C11,'DADOS BRUTOS'!AJ$3:AJ$500)))</f>
        <v/>
      </c>
      <c r="DK11" s="56">
        <f>IF(OR(DK$4="",$B11=""),0,SUMIF('DADOS BRUTOS'!$A$3:$A$500,$B11,'DADOS BRUTOS'!AK$3:AK$500)+IF($C11="",0,SUMIF('DADOS BRUTOS'!$A$3:$A$500,$C11,'DADOS BRUTOS'!AK$3:AK$500)))</f>
        <v/>
      </c>
      <c r="DL11" s="56">
        <f>IF(OR(DL$4="",$B11=""),0,SUMIF('DADOS BRUTOS'!$A$3:$A$500,$B11,'DADOS BRUTOS'!AL$3:AL$500)+IF($C11="",0,SUMIF('DADOS BRUTOS'!$A$3:$A$500,$C11,'DADOS BRUTOS'!AL$3:AL$500)))</f>
        <v/>
      </c>
      <c r="DM11" s="56">
        <f>IF(OR(DM$4="",$B11=""),0,SUMIF('DADOS BRUTOS'!$A$3:$A$500,$B11,'DADOS BRUTOS'!AM$3:AM$500)+IF($C11="",0,SUMIF('DADOS BRUTOS'!$A$3:$A$500,$C11,'DADOS BRUTOS'!AM$3:AM$500)))</f>
        <v/>
      </c>
      <c r="DN11" s="56">
        <f>IF(OR(DN$4="",$B11=""),0,SUMIF('DADOS BRUTOS'!$A$3:$A$500,$B11,'DADOS BRUTOS'!AN$3:AN$500)+IF($C11="",0,SUMIF('DADOS BRUTOS'!$A$3:$A$500,$C11,'DADOS BRUTOS'!AN$3:AN$500)))</f>
        <v/>
      </c>
      <c r="DO11" s="56">
        <f>IF(OR(DO$4="",$B11=""),0,SUMIF('DADOS BRUTOS'!$A$3:$A$500,$B11,'DADOS BRUTOS'!AO$3:AO$500)+IF($C11="",0,SUMIF('DADOS BRUTOS'!$A$3:$A$500,$C11,'DADOS BRUTOS'!AO$3:AO$500)))</f>
        <v/>
      </c>
      <c r="DP11" s="56">
        <f>IF(OR(DP$4="",$B11=""),0,SUMIF('DADOS BRUTOS'!$A$3:$A$500,$B11,'DADOS BRUTOS'!AP$3:AP$500)+IF($C11="",0,SUMIF('DADOS BRUTOS'!$A$3:$A$500,$C11,'DADOS BRUTOS'!AP$3:AP$500)))</f>
        <v/>
      </c>
      <c r="DQ11" s="56">
        <f>IF(OR(DQ$4="",$B11=""),0,SUMIF('DADOS BRUTOS'!$A$3:$A$500,$B11,'DADOS BRUTOS'!AQ$3:AQ$500)+IF($C11="",0,SUMIF('DADOS BRUTOS'!$A$3:$A$500,$C11,'DADOS BRUTOS'!AQ$3:AQ$500)))</f>
        <v/>
      </c>
      <c r="DR11" s="56">
        <f>IF(OR(DR$4="",$B11=""),0,SUMIF('DADOS BRUTOS'!$A$3:$A$500,$B11,'DADOS BRUTOS'!AR$3:AR$500)+IF($C11="",0,SUMIF('DADOS BRUTOS'!$A$3:$A$500,$C11,'DADOS BRUTOS'!AR$3:AR$500)))</f>
        <v/>
      </c>
      <c r="DS11" s="56">
        <f>IF(OR(DS$4="",$B11=""),0,SUMIF('DADOS BRUTOS'!$A$3:$A$500,$B11,'DADOS BRUTOS'!AS$3:AS$500)+IF($C11="",0,SUMIF('DADOS BRUTOS'!$A$3:$A$500,$C11,'DADOS BRUTOS'!AS$3:AS$500)))</f>
        <v/>
      </c>
      <c r="DT11" s="56">
        <f>IF(OR(DT$4="",$B11=""),0,SUMIF('DADOS BRUTOS'!$A$3:$A$500,$B11,'DADOS BRUTOS'!AT$3:AT$500)+IF($C11="",0,SUMIF('DADOS BRUTOS'!$A$3:$A$500,$C11,'DADOS BRUTOS'!AT$3:AT$500)))</f>
        <v/>
      </c>
      <c r="DU11" s="56">
        <f>IF(OR(DU$4="",$B11=""),0,SUMIF('DADOS BRUTOS'!$A$3:$A$500,$B11,'DADOS BRUTOS'!AU$3:AU$500)+IF($C11="",0,SUMIF('DADOS BRUTOS'!$A$3:$A$500,$C11,'DADOS BRUTOS'!AU$3:AU$500)))</f>
        <v/>
      </c>
      <c r="DV11" s="56">
        <f>IF(OR(DV$4="",$B11=""),0,SUMIF('DADOS BRUTOS'!$A$3:$A$500,$B11,'DADOS BRUTOS'!AV$3:AV$500)+IF($C11="",0,SUMIF('DADOS BRUTOS'!$A$3:$A$500,$C11,'DADOS BRUTOS'!AV$3:AV$500)))</f>
        <v/>
      </c>
      <c r="DW11" s="56">
        <f>IF(OR(DW$4="",$B11=""),0,SUMIF('DADOS BRUTOS'!$A$3:$A$500,$B11,'DADOS BRUTOS'!AW$3:AW$500)+IF($C11="",0,SUMIF('DADOS BRUTOS'!$A$3:$A$500,$C11,'DADOS BRUTOS'!AW$3:AW$500)))</f>
        <v/>
      </c>
      <c r="DX11" s="56">
        <f>IF(OR(DX$4="",$B11=""),0,SUMIF('DADOS BRUTOS'!$A$3:$A$500,$B11,'DADOS BRUTOS'!AX$3:AX$500)+IF($C11="",0,SUMIF('DADOS BRUTOS'!$A$3:$A$500,$C11,'DADOS BRUTOS'!AX$3:AX$500)))</f>
        <v/>
      </c>
      <c r="DY11" s="56">
        <f>IF(OR(DY$4="",$B11=""),0,SUMIF('DADOS BRUTOS'!$A$3:$A$500,$B11,'DADOS BRUTOS'!AY$3:AY$500)+IF($C11="",0,SUMIF('DADOS BRUTOS'!$A$3:$A$500,$C11,'DADOS BRUTOS'!AY$3:AY$500)))</f>
        <v/>
      </c>
      <c r="DZ11" s="56">
        <f>IF(OR(DZ$4="",$B11=""),0,SUMIF('DADOS BRUTOS'!$A$3:$A$500,$B11,'DADOS BRUTOS'!AZ$3:AZ$500)+IF($C11="",0,SUMIF('DADOS BRUTOS'!$A$3:$A$500,$C11,'DADOS BRUTOS'!AZ$3:AZ$500)))</f>
        <v/>
      </c>
      <c r="EA11" s="56">
        <f>IF(OR(EA$4="",$B11=""),0,SUMIF('DADOS BRUTOS'!$A$3:$A$500,$B11,'DADOS BRUTOS'!BA$3:BA$500)+IF($C11="",0,SUMIF('DADOS BRUTOS'!$A$3:$A$500,$C11,'DADOS BRUTOS'!BA$3:BA$500)))</f>
        <v/>
      </c>
      <c r="EB11" s="56">
        <f>IF(OR(EB$4="",$B11=""),0,SUMIF('DADOS BRUTOS'!$A$3:$A$500,$B11,'DADOS BRUTOS'!BB$3:BB$500)+IF($C11="",0,SUMIF('DADOS BRUTOS'!$A$3:$A$500,$C11,'DADOS BRUTOS'!BB$3:BB$500)))</f>
        <v/>
      </c>
      <c r="EC11" s="56">
        <f>IF(OR(EC$4="",$B11=""),0,SUMIF('DADOS BRUTOS'!$A$3:$A$500,$B11,'DADOS BRUTOS'!BC$3:BC$500)+IF($C11="",0,SUMIF('DADOS BRUTOS'!$A$3:$A$500,$C11,'DADOS BRUTOS'!BC$3:BC$500)))</f>
        <v/>
      </c>
      <c r="ED11" s="56">
        <f>IF(OR(ED$4="",$B11=""),0,SUMIF('DADOS BRUTOS'!$A$3:$A$500,$B11,'DADOS BRUTOS'!BD$3:BD$500)+IF($C11="",0,SUMIF('DADOS BRUTOS'!$A$3:$A$500,$C11,'DADOS BRUTOS'!BD$3:BD$500)))</f>
        <v/>
      </c>
      <c r="EE11" s="56">
        <f>IF(OR(EE$4="",$B11=""),0,SUMIF('DADOS BRUTOS'!$A$3:$A$500,$B11,'DADOS BRUTOS'!BE$3:BE$500)+IF($C11="",0,SUMIF('DADOS BRUTOS'!$A$3:$A$500,$C11,'DADOS BRUTOS'!BE$3:BE$500)))</f>
        <v/>
      </c>
      <c r="EF11" s="56">
        <f>IF(OR(EF$4="",$B11=""),0,SUMIF('DADOS BRUTOS'!$A$3:$A$500,$B11,'DADOS BRUTOS'!BF$3:BF$500)+IF($C11="",0,SUMIF('DADOS BRUTOS'!$A$3:$A$500,$C11,'DADOS BRUTOS'!BF$3:BF$500)))</f>
        <v/>
      </c>
      <c r="EG11" s="56">
        <f>IF(OR(EG$4="",$B11=""),0,SUMIF('DADOS BRUTOS'!$A$3:$A$500,$B11,'DADOS BRUTOS'!BG$3:BG$500)+IF($C11="",0,SUMIF('DADOS BRUTOS'!$A$3:$A$500,$C11,'DADOS BRUTOS'!BG$3:BG$500)))</f>
        <v/>
      </c>
      <c r="EH11" s="56">
        <f>IF(OR(EH$4="",$B11=""),0,SUMIF('DADOS BRUTOS'!$A$3:$A$500,$B11,'DADOS BRUTOS'!BH$3:BH$500)+IF($C11="",0,SUMIF('DADOS BRUTOS'!$A$3:$A$500,$C11,'DADOS BRUTOS'!BH$3:BH$500)))</f>
        <v/>
      </c>
      <c r="EI11" s="56">
        <f>IF(OR(EI$4="",$B11=""),0,SUMIF('DADOS BRUTOS'!$A$3:$A$500,$B11,'DADOS BRUTOS'!BI$3:BI$500)+IF($C11="",0,SUMIF('DADOS BRUTOS'!$A$3:$A$500,$C11,'DADOS BRUTOS'!BI$3:BI$500)))</f>
        <v/>
      </c>
      <c r="EJ11" s="56">
        <f>IF(OR(EJ$4="",$B11=""),0,SUMIF('DADOS BRUTOS'!$A$3:$A$500,$B11,'DADOS BRUTOS'!BJ$3:BJ$500)+IF($C11="",0,SUMIF('DADOS BRUTOS'!$A$3:$A$500,$C11,'DADOS BRUTOS'!BJ$3:BJ$500)))</f>
        <v/>
      </c>
      <c r="EK11" s="56">
        <f>IF(OR(EK$4="",$B11=""),0,SUMIF('DADOS BRUTOS'!$A$3:$A$500,$B11,'DADOS BRUTOS'!BK$3:BK$500)+IF($C11="",0,SUMIF('DADOS BRUTOS'!$A$3:$A$500,$C11,'DADOS BRUTOS'!BK$3:BK$500)))</f>
        <v/>
      </c>
      <c r="EL11" s="56">
        <f>IF(OR(EL$4="",$B11=""),0,SUMIF('DADOS BRUTOS'!$A$3:$A$500,$B11,'DADOS BRUTOS'!BL$3:BL$500)+IF($C11="",0,SUMIF('DADOS BRUTOS'!$A$3:$A$500,$C11,'DADOS BRUTOS'!BL$3:BL$500)))</f>
        <v/>
      </c>
      <c r="EM11" s="56">
        <f>IF(OR(EM$4="",$B11=""),0,SUMIF('DADOS BRUTOS'!$A$3:$A$500,$B11,'DADOS BRUTOS'!BM$3:BM$500)+IF($C11="",0,SUMIF('DADOS BRUTOS'!$A$3:$A$500,$C11,'DADOS BRUTOS'!BM$3:BM$500)))</f>
        <v/>
      </c>
      <c r="EN11" s="56">
        <f>IF(OR(EN$4="",$B11=""),0,SUMIF('DADOS BRUTOS'!$A$3:$A$500,$B11,'DADOS BRUTOS'!BN$3:BN$500)+IF($C11="",0,SUMIF('DADOS BRUTOS'!$A$3:$A$500,$C11,'DADOS BRUTOS'!BN$3:BN$500)))</f>
        <v/>
      </c>
      <c r="EO11" s="56">
        <f>IF(OR(EO$4="",$B11=""),0,SUMIF('DADOS BRUTOS'!$A$3:$A$500,$B11,'DADOS BRUTOS'!BO$3:BO$500)+IF($C11="",0,SUMIF('DADOS BRUTOS'!$A$3:$A$500,$C11,'DADOS BRUTOS'!BO$3:BO$500)))</f>
        <v/>
      </c>
      <c r="EP11" s="56">
        <f>IF(OR(EP$4="",$B11=""),0,SUMIF('DADOS BRUTOS'!$A$3:$A$500,$B11,'DADOS BRUTOS'!BP$3:BP$500)+IF($C11="",0,SUMIF('DADOS BRUTOS'!$A$3:$A$500,$C11,'DADOS BRUTOS'!BP$3:BP$500)))</f>
        <v/>
      </c>
      <c r="EQ11" s="56">
        <f>IF(OR(EQ$4="",$B11=""),0,SUMIF('DADOS BRUTOS'!$A$3:$A$500,$B11,'DADOS BRUTOS'!BQ$3:BQ$500)+IF($C11="",0,SUMIF('DADOS BRUTOS'!$A$3:$A$500,$C11,'DADOS BRUTOS'!BQ$3:BQ$500)))</f>
        <v/>
      </c>
      <c r="ER11" s="56">
        <f>IF(OR(ER$4="",$B11=""),0,SUMIF('DADOS BRUTOS'!$A$3:$A$500,$B11,'DADOS BRUTOS'!BR$3:BR$500)+IF($C11="",0,SUMIF('DADOS BRUTOS'!$A$3:$A$500,$C11,'DADOS BRUTOS'!BR$3:BR$500)))</f>
        <v/>
      </c>
      <c r="ES11" s="56">
        <f>IF(OR(ES$4="",$B11=""),0,SUMIF('DADOS BRUTOS'!$A$3:$A$500,$B11,'DADOS BRUTOS'!BS$3:BS$500)+IF($C11="",0,SUMIF('DADOS BRUTOS'!$A$3:$A$500,$C11,'DADOS BRUTOS'!BS$3:BS$500)))</f>
        <v/>
      </c>
      <c r="ET11" s="56">
        <f>IF(OR(ET$4="",$B11=""),0,SUMIF('DADOS BRUTOS'!$A$3:$A$500,$B11,'DADOS BRUTOS'!BT$3:BT$500)+IF($C11="",0,SUMIF('DADOS BRUTOS'!$A$3:$A$500,$C11,'DADOS BRUTOS'!BT$3:BT$500)))</f>
        <v/>
      </c>
      <c r="EU11" s="56">
        <f>IF(OR(EU$4="",$B11=""),0,SUMIF('DADOS BRUTOS'!$A$3:$A$500,$B11,'DADOS BRUTOS'!BU$3:BU$500)+IF($C11="",0,SUMIF('DADOS BRUTOS'!$A$3:$A$500,$C11,'DADOS BRUTOS'!BU$3:BU$500)))</f>
        <v/>
      </c>
      <c r="EV11" s="56">
        <f>IF(OR(EV$4="",$B11=""),0,SUMIF('DADOS BRUTOS'!$A$3:$A$500,$B11,'DADOS BRUTOS'!BV$3:BV$500)+IF($C11="",0,SUMIF('DADOS BRUTOS'!$A$3:$A$500,$C11,'DADOS BRUTOS'!BV$3:BV$500)))</f>
        <v/>
      </c>
      <c r="EW11" s="56">
        <f>IF(OR(EW$4="",$B11=""),0,SUMIF('DADOS BRUTOS'!$A$3:$A$500,$B11,'DADOS BRUTOS'!BW$3:BW$500)+IF($C11="",0,SUMIF('DADOS BRUTOS'!$A$3:$A$500,$C11,'DADOS BRUTOS'!BW$3:BW$500)))</f>
        <v/>
      </c>
      <c r="EX11" s="56">
        <f>IF(OR(EX$4="",$B11=""),0,SUMIF('DADOS BRUTOS'!$A$3:$A$500,$B11,'DADOS BRUTOS'!BX$3:BX$500)+IF($C11="",0,SUMIF('DADOS BRUTOS'!$A$3:$A$500,$C11,'DADOS BRUTOS'!BX$3:BX$500)))</f>
        <v/>
      </c>
      <c r="EY11" s="56">
        <f>IF(OR(EY$4="",$B11=""),0,SUMIF('DADOS BRUTOS'!$A$3:$A$500,$B11,'DADOS BRUTOS'!BY$3:BY$500)+IF($C11="",0,SUMIF('DADOS BRUTOS'!$A$3:$A$500,$C11,'DADOS BRUTOS'!BY$3:BY$500)))</f>
        <v/>
      </c>
      <c r="EZ11" s="56">
        <f>IF(OR(EZ$4="",$B11=""),0,SUMIF('DADOS BRUTOS'!$A$3:$A$500,$B11,'DADOS BRUTOS'!BZ$3:BZ$500)+IF($C11="",0,SUMIF('DADOS BRUTOS'!$A$3:$A$500,$C11,'DADOS BRUTOS'!BZ$3:BZ$500)))</f>
        <v/>
      </c>
      <c r="FA11" s="56">
        <f>IF(OR(FA$4="",$B11=""),0,SUMIF('DADOS BRUTOS'!$A$3:$A$500,$B11,'DADOS BRUTOS'!CA$3:CA$500)+IF($C11="",0,SUMIF('DADOS BRUTOS'!$A$3:$A$500,$C11,'DADOS BRUTOS'!CA$3:CA$500)))</f>
        <v/>
      </c>
      <c r="FB11" s="56">
        <f>IF(OR(FB$4="",$B11=""),0,SUMIF('DADOS BRUTOS'!$A$3:$A$500,$B11,'DADOS BRUTOS'!CB$3:CB$500)+IF($C11="",0,SUMIF('DADOS BRUTOS'!$A$3:$A$500,$C11,'DADOS BRUTOS'!CB$3:CB$500)))</f>
        <v/>
      </c>
      <c r="FC11" s="56">
        <f>IF(OR(FC$4="",$B11=""),0,SUMIF('DADOS BRUTOS'!$A$3:$A$500,$B11,'DADOS BRUTOS'!CC$3:CC$500)+IF($C11="",0,SUMIF('DADOS BRUTOS'!$A$3:$A$500,$C11,'DADOS BRUTOS'!CC$3:CC$500)))</f>
        <v/>
      </c>
      <c r="FD11" s="56">
        <f>IF(OR(FD$4="",$B11=""),0,SUMIF('DADOS BRUTOS'!$A$3:$A$500,$B11,'DADOS BRUTOS'!CD$3:CD$500)+IF($C11="",0,SUMIF('DADOS BRUTOS'!$A$3:$A$500,$C11,'DADOS BRUTOS'!CD$3:CD$500)))</f>
        <v/>
      </c>
      <c r="FE11" s="56">
        <f>IF(OR(FE$4="",$B11=""),0,SUMIF('DADOS BRUTOS'!$A$3:$A$500,$B11,'DADOS BRUTOS'!CE$3:CE$500)+IF($C11="",0,SUMIF('DADOS BRUTOS'!$A$3:$A$500,$C11,'DADOS BRUTOS'!CE$3:CE$500)))</f>
        <v/>
      </c>
      <c r="FF11" s="56">
        <f>IF(OR(FF$4="",$B11=""),0,SUMIF('DADOS BRUTOS'!$A$3:$A$500,$B11,'DADOS BRUTOS'!CF$3:CF$500)+IF($C11="",0,SUMIF('DADOS BRUTOS'!$A$3:$A$500,$C11,'DADOS BRUTOS'!CF$3:CF$500)))</f>
        <v/>
      </c>
      <c r="FG11" s="56">
        <f>IF(OR(FG$4="",$B11=""),0,SUMIF('DADOS BRUTOS'!$A$3:$A$500,$B11,'DADOS BRUTOS'!CG$3:CG$500)+IF($C11="",0,SUMIF('DADOS BRUTOS'!$A$3:$A$500,$C11,'DADOS BRUTOS'!CG$3:CG$500)))</f>
        <v/>
      </c>
      <c r="FH11" s="56">
        <f>IF(OR(FH$4="",$B11=""),0,SUMIF('DADOS BRUTOS'!$A$3:$A$500,$B11,'DADOS BRUTOS'!CH$3:CH$500)+IF($C11="",0,SUMIF('DADOS BRUTOS'!$A$3:$A$500,$C11,'DADOS BRUTOS'!CH$3:CH$500)))</f>
        <v/>
      </c>
      <c r="FI11" s="56">
        <f>IF(OR(FI$4="",$B11=""),0,SUMIF('DADOS BRUTOS'!$A$3:$A$500,$B11,'DADOS BRUTOS'!CI$3:CI$500)+IF($C11="",0,SUMIF('DADOS BRUTOS'!$A$3:$A$500,$C11,'DADOS BRUTOS'!CI$3:CI$500)))</f>
        <v/>
      </c>
      <c r="FJ11" s="56">
        <f>IF(OR(FJ$4="",$B11=""),0,SUMIF('DADOS BRUTOS'!$A$3:$A$500,$B11,'DADOS BRUTOS'!CJ$3:CJ$500)+IF($C11="",0,SUMIF('DADOS BRUTOS'!$A$3:$A$500,$C11,'DADOS BRUTOS'!CJ$3:CJ$500)))</f>
        <v/>
      </c>
      <c r="FK11" s="56">
        <f>IF(OR(FK$4="",$B11=""),0,SUMIF('DADOS BRUTOS'!$A$3:$A$500,$B11,'DADOS BRUTOS'!CK$3:CK$500)+IF($C11="",0,SUMIF('DADOS BRUTOS'!$A$3:$A$500,$C11,'DADOS BRUTOS'!CK$3:CK$500)))</f>
        <v/>
      </c>
      <c r="FL11" s="56">
        <f>IF(OR(FL$4="",$B11=""),0,SUMIF('DADOS BRUTOS'!$A$3:$A$500,$B11,'DADOS BRUTOS'!CL$3:CL$500)+IF($C11="",0,SUMIF('DADOS BRUTOS'!$A$3:$A$500,$C11,'DADOS BRUTOS'!CL$3:CL$500)))</f>
        <v/>
      </c>
      <c r="FM11" s="56">
        <f>IF(OR(FM$4="",$B11=""),0,SUMIF('DADOS BRUTOS'!$A$3:$A$500,$B11,'DADOS BRUTOS'!CM$3:CM$500)+IF($C11="",0,SUMIF('DADOS BRUTOS'!$A$3:$A$500,$C11,'DADOS BRUTOS'!CM$3:CM$500)))</f>
        <v/>
      </c>
      <c r="FN11" s="56">
        <f>IF(OR(FN$4="",$B11=""),0,SUMIF('DADOS BRUTOS'!$A$3:$A$500,$B11,'DADOS BRUTOS'!CN$3:CN$500)+IF($C11="",0,SUMIF('DADOS BRUTOS'!$A$3:$A$500,$C11,'DADOS BRUTOS'!CN$3:CN$500)))</f>
        <v/>
      </c>
      <c r="FO11" s="56">
        <f>IF(OR(FO$4="",$B11=""),0,SUMIF('DADOS BRUTOS'!$A$3:$A$500,$B11,'DADOS BRUTOS'!CO$3:CO$500)+IF($C11="",0,SUMIF('DADOS BRUTOS'!$A$3:$A$500,$C11,'DADOS BRUTOS'!CO$3:CO$500)))</f>
        <v/>
      </c>
      <c r="FP11" s="56">
        <f>IF(OR(FP$4="",$B11=""),0,SUMIF('DADOS BRUTOS'!$A$3:$A$500,$B11,'DADOS BRUTOS'!CP$3:CP$500)+IF($C11="",0,SUMIF('DADOS BRUTOS'!$A$3:$A$500,$C11,'DADOS BRUTOS'!CP$3:CP$500)))</f>
        <v/>
      </c>
      <c r="FQ11" s="56">
        <f>IF(OR(FQ$4="",$B11=""),0,SUMIF('DADOS BRUTOS'!$A$3:$A$500,$B11,'DADOS BRUTOS'!CQ$3:CQ$500)+IF($C11="",0,SUMIF('DADOS BRUTOS'!$A$3:$A$500,$C11,'DADOS BRUTOS'!CQ$3:CQ$500)))</f>
        <v/>
      </c>
      <c r="FR11" s="56">
        <f>IF(OR(FR$4="",$B11=""),0,SUMIF('DADOS BRUTOS'!$A$3:$A$500,$B11,'DADOS BRUTOS'!CR$3:CR$500)+IF($C11="",0,SUMIF('DADOS BRUTOS'!$A$3:$A$500,$C11,'DADOS BRUTOS'!CR$3:CR$500)))</f>
        <v/>
      </c>
      <c r="FS11" s="56">
        <f>IF(OR(FS$4="",$B11=""),0,SUMIF('DADOS BRUTOS'!$A$3:$A$500,$B11,'DADOS BRUTOS'!CS$3:CS$500)+IF($C11="",0,SUMIF('DADOS BRUTOS'!$A$3:$A$500,$C11,'DADOS BRUTOS'!CS$3:CS$500)))</f>
        <v/>
      </c>
      <c r="FT11" s="56">
        <f>IF(OR(FT$4="",$B11=""),0,SUMIF('DADOS BRUTOS'!$A$3:$A$500,$B11,'DADOS BRUTOS'!CT$3:CT$500)+IF($C11="",0,SUMIF('DADOS BRUTOS'!$A$3:$A$500,$C11,'DADOS BRUTOS'!CT$3:CT$500)))</f>
        <v/>
      </c>
      <c r="FU11" s="56">
        <f>IF(OR(FU$4="",$B11=""),0,SUMIF('DADOS BRUTOS'!$A$3:$A$500,$B11,'DADOS BRUTOS'!CU$3:CU$500)+IF($C11="",0,SUMIF('DADOS BRUTOS'!$A$3:$A$500,$C11,'DADOS BRUTOS'!CU$3:CU$500)))</f>
        <v/>
      </c>
      <c r="FV11" s="56">
        <f>IF(OR(FV$4="",$B11=""),0,SUMIF('DADOS BRUTOS'!$A$3:$A$500,$B11,'DADOS BRUTOS'!CV$3:CV$500)+IF($C11="",0,SUMIF('DADOS BRUTOS'!$A$3:$A$500,$C11,'DADOS BRUTOS'!CV$3:CV$500)))</f>
        <v/>
      </c>
      <c r="FW11" s="56">
        <f>IF(OR(FW$4="",$B11=""),0,SUMIF('DADOS BRUTOS'!$A$3:$A$500,$B11,'DADOS BRUTOS'!CW$3:CW$500)+IF($C11="",0,SUMIF('DADOS BRUTOS'!$A$3:$A$500,$C11,'DADOS BRUTOS'!CW$3:CW$500)))</f>
        <v/>
      </c>
      <c r="FX11" s="56">
        <f>IF(OR(FX$4="",$B11=""),0,SUMIF('DADOS BRUTOS'!$A$3:$A$500,$B11,'DADOS BRUTOS'!CX$3:CX$500)+IF($C11="",0,SUMIF('DADOS BRUTOS'!$A$3:$A$500,$C11,'DADOS BRUTOS'!CX$3:CX$500)))</f>
        <v/>
      </c>
      <c r="FY11" s="56">
        <f>IF(OR(FY$4="",$B11=""),0,SUMIF('DADOS BRUTOS'!$A$3:$A$500,$B11,'DADOS BRUTOS'!CY$3:CY$500)+IF($C11="",0,SUMIF('DADOS BRUTOS'!$A$3:$A$500,$C11,'DADOS BRUTOS'!CY$3:CY$500)))</f>
        <v/>
      </c>
      <c r="FZ11" s="56">
        <f>IF(OR(FZ$4="",$B11=""),0,SUMIF('DADOS BRUTOS'!$A$3:$A$500,$B11,'DADOS BRUTOS'!CZ$3:CZ$500)+IF($C11="",0,SUMIF('DADOS BRUTOS'!$A$3:$A$500,$C11,'DADOS BRUTOS'!CZ$3:CZ$500)))</f>
        <v/>
      </c>
      <c r="GA11" s="56">
        <f>IF(OR(GA$4="",$B11=""),0,SUMIF('DADOS BRUTOS'!$A$3:$A$500,$B11,'DADOS BRUTOS'!DA$3:DA$500)+IF($C11="",0,SUMIF('DADOS BRUTOS'!$A$3:$A$500,$C11,'DADOS BRUTOS'!DA$3:DA$500)))</f>
        <v/>
      </c>
      <c r="GB11" s="56">
        <f>IF(OR(GB$4="",$B11=""),0,SUMIF('DADOS BRUTOS'!$A$3:$A$500,$B11,'DADOS BRUTOS'!DB$3:DB$500)+IF($C11="",0,SUMIF('DADOS BRUTOS'!$A$3:$A$500,$C11,'DADOS BRUTOS'!DB$3:DB$500)))</f>
        <v/>
      </c>
      <c r="GC11" s="56">
        <f>IF(OR(GC$4="",$B11=""),0,SUMIF('DADOS BRUTOS'!$A$3:$A$500,$B11,'DADOS BRUTOS'!DC$3:DC$500)+IF($C11="",0,SUMIF('DADOS BRUTOS'!$A$3:$A$500,$C11,'DADOS BRUTOS'!DC$3:DC$500)))</f>
        <v/>
      </c>
      <c r="GD11" s="56">
        <f>IF(OR(GD$4="",$B11=""),0,SUMIF('DADOS BRUTOS'!$A$3:$A$500,$B11,'DADOS BRUTOS'!DD$3:DD$500)+IF($C11="",0,SUMIF('DADOS BRUTOS'!$A$3:$A$500,$C11,'DADOS BRUTOS'!DD$3:DD$500)))</f>
        <v/>
      </c>
      <c r="GE11" s="56">
        <f>IF(OR(GE$4="",$B11=""),0,SUMIF('DADOS BRUTOS'!$A$3:$A$500,$B11,'DADOS BRUTOS'!DE$3:DE$500)+IF($C11="",0,SUMIF('DADOS BRUTOS'!$A$3:$A$500,$C11,'DADOS BRUTOS'!DE$3:DE$500)))</f>
        <v/>
      </c>
      <c r="GF11" s="56">
        <f>IF(OR(GF$4="",$B11=""),0,SUMIF('DADOS BRUTOS'!$A$3:$A$500,$B11,'DADOS BRUTOS'!DF$3:DF$500)+IF($C11="",0,SUMIF('DADOS BRUTOS'!$A$3:$A$500,$C11,'DADOS BRUTOS'!DF$3:DF$500)))</f>
        <v/>
      </c>
      <c r="GG11" s="56">
        <f>IF(OR(GG$4="",$B11=""),0,SUMIF('DADOS BRUTOS'!$A$3:$A$500,$B11,'DADOS BRUTOS'!DG$3:DG$500)+IF($C11="",0,SUMIF('DADOS BRUTOS'!$A$3:$A$500,$C11,'DADOS BRUTOS'!DG$3:DG$500)))</f>
        <v/>
      </c>
      <c r="GH11" s="56">
        <f>IF(OR(GH$4="",$B11=""),0,SUMIF('DADOS BRUTOS'!$A$3:$A$500,$B11,'DADOS BRUTOS'!DH$3:DH$500)+IF($C11="",0,SUMIF('DADOS BRUTOS'!$A$3:$A$500,$C11,'DADOS BRUTOS'!DH$3:DH$500)))</f>
        <v/>
      </c>
      <c r="GI11" s="56">
        <f>IF(OR(GI$4="",$B11=""),0,SUMIF('DADOS BRUTOS'!$A$3:$A$500,$B11,'DADOS BRUTOS'!DI$3:DI$500)+IF($C11="",0,SUMIF('DADOS BRUTOS'!$A$3:$A$500,$C11,'DADOS BRUTOS'!DI$3:DI$500)))</f>
        <v/>
      </c>
      <c r="GJ11" s="56">
        <f>IF(OR(GJ$4="",$B11=""),0,SUMIF('DADOS BRUTOS'!$A$3:$A$500,$B11,'DADOS BRUTOS'!DJ$3:DJ$500)+IF($C11="",0,SUMIF('DADOS BRUTOS'!$A$3:$A$500,$C11,'DADOS BRUTOS'!DJ$3:DJ$500)))</f>
        <v/>
      </c>
      <c r="GK11" s="56">
        <f>IF(OR(GK$4="",$B11=""),0,SUMIF('DADOS BRUTOS'!$A$3:$A$500,$B11,'DADOS BRUTOS'!DK$3:DK$500)+IF($C11="",0,SUMIF('DADOS BRUTOS'!$A$3:$A$500,$C11,'DADOS BRUTOS'!DK$3:DK$500)))</f>
        <v/>
      </c>
      <c r="GL11" s="56">
        <f>IF(OR(GL$4="",$B11=""),0,SUMIF('DADOS BRUTOS'!$A$3:$A$500,$B11,'DADOS BRUTOS'!DL$3:DL$500)+IF($C11="",0,SUMIF('DADOS BRUTOS'!$A$3:$A$500,$C11,'DADOS BRUTOS'!DL$3:DL$500)))</f>
        <v/>
      </c>
      <c r="GM11" s="56">
        <f>IF(OR(GM$4="",$B11=""),0,SUMIF('DADOS BRUTOS'!$A$3:$A$500,$B11,'DADOS BRUTOS'!DM$3:DM$500)+IF($C11="",0,SUMIF('DADOS BRUTOS'!$A$3:$A$500,$C11,'DADOS BRUTOS'!DM$3:DM$500)))</f>
        <v/>
      </c>
      <c r="GN11" s="56">
        <f>IF(OR(GN$4="",$B11=""),0,SUMIF('DADOS BRUTOS'!$A$3:$A$500,$B11,'DADOS BRUTOS'!DN$3:DN$500)+IF($C11="",0,SUMIF('DADOS BRUTOS'!$A$3:$A$500,$C11,'DADOS BRUTOS'!DN$3:DN$500)))</f>
        <v/>
      </c>
      <c r="GO11" s="56">
        <f>IF(OR(GO$4="",$B11=""),0,SUMIF('DADOS BRUTOS'!$A$3:$A$500,$B11,'DADOS BRUTOS'!DO$3:DO$500)+IF($C11="",0,SUMIF('DADOS BRUTOS'!$A$3:$A$500,$C11,'DADOS BRUTOS'!DO$3:DO$500)))</f>
        <v/>
      </c>
      <c r="GP11" s="56">
        <f>IF(OR(GP$4="",$B11=""),0,SUMIF('DADOS BRUTOS'!$A$3:$A$500,$B11,'DADOS BRUTOS'!DP$3:DP$500)+IF($C11="",0,SUMIF('DADOS BRUTOS'!$A$3:$A$500,$C11,'DADOS BRUTOS'!DP$3:DP$500)))</f>
        <v/>
      </c>
      <c r="GQ11" s="56">
        <f>IF(OR(GQ$4="",$B11=""),0,SUMIF('DADOS BRUTOS'!$A$3:$A$500,$B11,'DADOS BRUTOS'!DQ$3:DQ$500)+IF($C11="",0,SUMIF('DADOS BRUTOS'!$A$3:$A$500,$C11,'DADOS BRUTOS'!DQ$3:DQ$500)))</f>
        <v/>
      </c>
      <c r="GR11" s="56">
        <f>IF(OR(GR$4="",$B11=""),0,SUMIF('DADOS BRUTOS'!$A$3:$A$500,$B11,'DADOS BRUTOS'!DR$3:DR$500)+IF($C11="",0,SUMIF('DADOS BRUTOS'!$A$3:$A$500,$C11,'DADOS BRUTOS'!DR$3:DR$500)))</f>
        <v/>
      </c>
      <c r="GS11" s="56">
        <f>IF(OR(GS$4="",$B11=""),0,SUMIF('DADOS BRUTOS'!$A$3:$A$500,$B11,'DADOS BRUTOS'!DS$3:DS$500)+IF($C11="",0,SUMIF('DADOS BRUTOS'!$A$3:$A$500,$C11,'DADOS BRUTOS'!DS$3:DS$500)))</f>
        <v/>
      </c>
      <c r="GT11" s="56">
        <f>IF(OR(GT$4="",$B11=""),0,SUMIF('DADOS BRUTOS'!$A$3:$A$500,$B11,'DADOS BRUTOS'!DT$3:DT$500)+IF($C11="",0,SUMIF('DADOS BRUTOS'!$A$3:$A$500,$C11,'DADOS BRUTOS'!DT$3:DT$500)))</f>
        <v/>
      </c>
      <c r="GU11" s="56">
        <f>IF(OR(GU$4="",$B11=""),0,SUMIF('DADOS BRUTOS'!$A$3:$A$500,$B11,'DADOS BRUTOS'!DU$3:DU$500)+IF($C11="",0,SUMIF('DADOS BRUTOS'!$A$3:$A$500,$C11,'DADOS BRUTOS'!DU$3:DU$500)))</f>
        <v/>
      </c>
      <c r="GV11" s="56">
        <f>IF(OR(GV$4="",$B11=""),0,SUMIF('DADOS BRUTOS'!$A$3:$A$500,$B11,'DADOS BRUTOS'!DV$3:DV$500)+IF($C11="",0,SUMIF('DADOS BRUTOS'!$A$3:$A$500,$C11,'DADOS BRUTOS'!DV$3:DV$500)))</f>
        <v/>
      </c>
      <c r="GW11" s="56">
        <f>IF(OR(GW$4="",$B11=""),0,SUMIF('DADOS BRUTOS'!$A$3:$A$500,$B11,'DADOS BRUTOS'!DW$3:DW$500)+IF($C11="",0,SUMIF('DADOS BRUTOS'!$A$3:$A$500,$C11,'DADOS BRUTOS'!DW$3:DW$500)))</f>
        <v/>
      </c>
      <c r="GX11" s="56">
        <f>IF(OR(GX$4="",$B11=""),0,SUMIF('DADOS BRUTOS'!$A$3:$A$500,$B11,'DADOS BRUTOS'!DX$3:DX$500)+IF($C11="",0,SUMIF('DADOS BRUTOS'!$A$3:$A$500,$C11,'DADOS BRUTOS'!DX$3:DX$500)))</f>
        <v/>
      </c>
      <c r="GY11" s="56">
        <f>IF(OR(GY$4="",$B11=""),0,SUMIF('DADOS BRUTOS'!$A$3:$A$500,$B11,'DADOS BRUTOS'!DY$3:DY$500)+IF($C11="",0,SUMIF('DADOS BRUTOS'!$A$3:$A$500,$C11,'DADOS BRUTOS'!DY$3:DY$500)))</f>
        <v/>
      </c>
      <c r="GZ11" s="56">
        <f>IF(OR(GZ$4="",$B11=""),0,SUMIF('DADOS BRUTOS'!$A$3:$A$500,$B11,'DADOS BRUTOS'!DZ$3:DZ$500)+IF($C11="",0,SUMIF('DADOS BRUTOS'!$A$3:$A$500,$C11,'DADOS BRUTOS'!DZ$3:DZ$500)))</f>
        <v/>
      </c>
      <c r="HA11" s="56">
        <f>IF(OR(HA$4="",$B11=""),0,SUMIF('DADOS BRUTOS'!$A$3:$A$500,$B11,'DADOS BRUTOS'!EA$3:EA$500)+IF($C11="",0,SUMIF('DADOS BRUTOS'!$A$3:$A$500,$C11,'DADOS BRUTOS'!EA$3:EA$500)))</f>
        <v/>
      </c>
      <c r="HB11" s="56">
        <f>IF(OR(HB$4="",$B11=""),0,SUMIF('DADOS BRUTOS'!$A$3:$A$500,$B11,'DADOS BRUTOS'!EB$3:EB$500)+IF($C11="",0,SUMIF('DADOS BRUTOS'!$A$3:$A$500,$C11,'DADOS BRUTOS'!EB$3:EB$500)))</f>
        <v/>
      </c>
      <c r="HC11" s="56">
        <f>IF(OR(HC$4="",$B11=""),0,SUMIF('DADOS BRUTOS'!$A$3:$A$500,$B11,'DADOS BRUTOS'!EC$3:EC$500)+IF($C11="",0,SUMIF('DADOS BRUTOS'!$A$3:$A$500,$C11,'DADOS BRUTOS'!EC$3:EC$500)))</f>
        <v/>
      </c>
      <c r="HD11" s="56">
        <f>IF(OR(HD$4="",$B11=""),0,SUMIF('DADOS BRUTOS'!$A$3:$A$500,$B11,'DADOS BRUTOS'!ED$3:ED$500)+IF($C11="",0,SUMIF('DADOS BRUTOS'!$A$3:$A$500,$C11,'DADOS BRUTOS'!ED$3:ED$500)))</f>
        <v/>
      </c>
      <c r="HE11" s="56">
        <f>IF(OR(HE$4="",$B11=""),0,SUMIF('DADOS BRUTOS'!$A$3:$A$500,$B11,'DADOS BRUTOS'!EE$3:EE$500)+IF($C11="",0,SUMIF('DADOS BRUTOS'!$A$3:$A$500,$C11,'DADOS BRUTOS'!EE$3:EE$500)))</f>
        <v/>
      </c>
      <c r="HF11" s="56">
        <f>IF(OR(HF$4="",$B11=""),0,SUMIF('DADOS BRUTOS'!$A$3:$A$500,$B11,'DADOS BRUTOS'!EF$3:EF$500)+IF($C11="",0,SUMIF('DADOS BRUTOS'!$A$3:$A$500,$C11,'DADOS BRUTOS'!EF$3:EF$500)))</f>
        <v/>
      </c>
      <c r="HG11" s="56">
        <f>IF(OR(HG$4="",$B11=""),0,SUMIF('DADOS BRUTOS'!$A$3:$A$500,$B11,'DADOS BRUTOS'!EG$3:EG$500)+IF($C11="",0,SUMIF('DADOS BRUTOS'!$A$3:$A$500,$C11,'DADOS BRUTOS'!EG$3:EG$500)))</f>
        <v/>
      </c>
      <c r="HH11" s="56">
        <f>IF(OR(HH$4="",$B11=""),0,SUMIF('DADOS BRUTOS'!$A$3:$A$500,$B11,'DADOS BRUTOS'!EH$3:EH$500)+IF($C11="",0,SUMIF('DADOS BRUTOS'!$A$3:$A$500,$C11,'DADOS BRUTOS'!EH$3:EH$500)))</f>
        <v/>
      </c>
      <c r="HI11" s="56">
        <f>IF(OR(HI$4="",$B11=""),0,SUMIF('DADOS BRUTOS'!$A$3:$A$500,$B11,'DADOS BRUTOS'!EI$3:EI$500)+IF($C11="",0,SUMIF('DADOS BRUTOS'!$A$3:$A$500,$C11,'DADOS BRUTOS'!EI$3:EI$500)))</f>
        <v/>
      </c>
      <c r="HJ11" s="56">
        <f>IF(OR(HJ$4="",$B11=""),0,SUMIF('DADOS BRUTOS'!$A$3:$A$500,$B11,'DADOS BRUTOS'!EJ$3:EJ$500)+IF($C11="",0,SUMIF('DADOS BRUTOS'!$A$3:$A$500,$C11,'DADOS BRUTOS'!EJ$3:EJ$500)))</f>
        <v/>
      </c>
      <c r="HK11" s="56">
        <f>IF(OR(HK$4="",$B11=""),0,SUMIF('DADOS BRUTOS'!$A$3:$A$500,$B11,'DADOS BRUTOS'!EK$3:EK$500)+IF($C11="",0,SUMIF('DADOS BRUTOS'!$A$3:$A$500,$C11,'DADOS BRUTOS'!EK$3:EK$500)))</f>
        <v/>
      </c>
      <c r="HL11" s="56">
        <f>IF(OR(HL$4="",$B11=""),0,SUMIF('DADOS BRUTOS'!$A$3:$A$500,$B11,'DADOS BRUTOS'!EL$3:EL$500)+IF($C11="",0,SUMIF('DADOS BRUTOS'!$A$3:$A$500,$C11,'DADOS BRUTOS'!EL$3:EL$500)))</f>
        <v/>
      </c>
      <c r="HM11" s="56">
        <f>IF(OR(HM$4="",$B11=""),0,SUMIF('DADOS BRUTOS'!$A$3:$A$500,$B11,'DADOS BRUTOS'!EM$3:EM$500)+IF($C11="",0,SUMIF('DADOS BRUTOS'!$A$3:$A$500,$C11,'DADOS BRUTOS'!EM$3:EM$500)))</f>
        <v/>
      </c>
      <c r="HN11" s="56">
        <f>IF(OR(HN$4="",$B11=""),0,SUMIF('DADOS BRUTOS'!$A$3:$A$500,$B11,'DADOS BRUTOS'!EN$3:EN$500)+IF($C11="",0,SUMIF('DADOS BRUTOS'!$A$3:$A$500,$C11,'DADOS BRUTOS'!EN$3:EN$500)))</f>
        <v/>
      </c>
      <c r="HO11" s="56">
        <f>IF(OR(HO$4="",$B11=""),0,SUMIF('DADOS BRUTOS'!$A$3:$A$500,$B11,'DADOS BRUTOS'!EO$3:EO$500)+IF($C11="",0,SUMIF('DADOS BRUTOS'!$A$3:$A$500,$C11,'DADOS BRUTOS'!EO$3:EO$500)))</f>
        <v/>
      </c>
      <c r="HP11" s="56">
        <f>IF(OR(HP$4="",$B11=""),0,SUMIF('DADOS BRUTOS'!$A$3:$A$500,$B11,'DADOS BRUTOS'!EP$3:EP$500)+IF($C11="",0,SUMIF('DADOS BRUTOS'!$A$3:$A$500,$C11,'DADOS BRUTOS'!EP$3:EP$500)))</f>
        <v/>
      </c>
      <c r="HQ11" s="56">
        <f>IF(OR(HQ$4="",$B11=""),0,SUMIF('DADOS BRUTOS'!$A$3:$A$500,$B11,'DADOS BRUTOS'!EQ$3:EQ$500)+IF($C11="",0,SUMIF('DADOS BRUTOS'!$A$3:$A$500,$C11,'DADOS BRUTOS'!EQ$3:EQ$500)))</f>
        <v/>
      </c>
      <c r="HR11" s="56">
        <f>IF(OR(HR$4="",$B11=""),0,SUMIF('DADOS BRUTOS'!$A$3:$A$500,$B11,'DADOS BRUTOS'!ER$3:ER$500)+IF($C11="",0,SUMIF('DADOS BRUTOS'!$A$3:$A$500,$C11,'DADOS BRUTOS'!ER$3:ER$500)))</f>
        <v/>
      </c>
      <c r="HS11" s="56">
        <f>IF(OR(HS$4="",$B11=""),0,SUMIF('DADOS BRUTOS'!$A$3:$A$500,$B11,'DADOS BRUTOS'!ES$3:ES$500)+IF($C11="",0,SUMIF('DADOS BRUTOS'!$A$3:$A$500,$C11,'DADOS BRUTOS'!ES$3:ES$500)))</f>
        <v/>
      </c>
      <c r="HT11" s="56">
        <f>IF(OR(HT$4="",$B11=""),0,SUMIF('DADOS BRUTOS'!$A$3:$A$500,$B11,'DADOS BRUTOS'!ET$3:ET$500)+IF($C11="",0,SUMIF('DADOS BRUTOS'!$A$3:$A$500,$C11,'DADOS BRUTOS'!ET$3:ET$500)))</f>
        <v/>
      </c>
      <c r="HU11" s="56">
        <f>IF(OR(HU$4="",$B11=""),0,SUMIF('DADOS BRUTOS'!$A$3:$A$500,$B11,'DADOS BRUTOS'!EU$3:EU$500)+IF($C11="",0,SUMIF('DADOS BRUTOS'!$A$3:$A$500,$C11,'DADOS BRUTOS'!EU$3:EU$500)))</f>
        <v/>
      </c>
      <c r="HV11" s="56">
        <f>IF(OR(HV$4="",$B11=""),0,SUMIF('DADOS BRUTOS'!$A$3:$A$500,$B11,'DADOS BRUTOS'!EV$3:EV$500)+IF($C11="",0,SUMIF('DADOS BRUTOS'!$A$3:$A$500,$C11,'DADOS BRUTOS'!EV$3:EV$500)))</f>
        <v/>
      </c>
      <c r="HW11" s="56">
        <f>IF(OR(HW$4="",$B11=""),0,SUMIF('DADOS BRUTOS'!$A$3:$A$500,$B11,'DADOS BRUTOS'!EW$3:EW$500)+IF($C11="",0,SUMIF('DADOS BRUTOS'!$A$3:$A$500,$C11,'DADOS BRUTOS'!EW$3:EW$500)))</f>
        <v/>
      </c>
      <c r="HX11" s="56">
        <f>IF(OR(HX$4="",$B11=""),0,SUMIF('DADOS BRUTOS'!$A$3:$A$500,$B11,'DADOS BRUTOS'!EX$3:EX$500)+IF($C11="",0,SUMIF('DADOS BRUTOS'!$A$3:$A$500,$C11,'DADOS BRUTOS'!EX$3:EX$500)))</f>
        <v/>
      </c>
      <c r="HY11" s="56">
        <f>IF(OR(HY$4="",$B11=""),0,SUMIF('DADOS BRUTOS'!$A$3:$A$500,$B11,'DADOS BRUTOS'!EY$3:EY$500)+IF($C11="",0,SUMIF('DADOS BRUTOS'!$A$3:$A$500,$C11,'DADOS BRUTOS'!EY$3:EY$500)))</f>
        <v/>
      </c>
      <c r="HZ11" s="56">
        <f>IF(OR(HZ$4="",$B11=""),0,SUMIF('DADOS BRUTOS'!$A$3:$A$500,$B11,'DADOS BRUTOS'!EZ$3:EZ$500)+IF($C11="",0,SUMIF('DADOS BRUTOS'!$A$3:$A$500,$C11,'DADOS BRUTOS'!EZ$3:EZ$500)))</f>
        <v/>
      </c>
      <c r="IA11" s="56">
        <f>IF(OR(IA$4="",$B11=""),0,SUMIF('DADOS BRUTOS'!$A$3:$A$500,$B11,'DADOS BRUTOS'!FA$3:FA$500)+IF($C11="",0,SUMIF('DADOS BRUTOS'!$A$3:$A$500,$C11,'DADOS BRUTOS'!FA$3:FA$500)))</f>
        <v/>
      </c>
      <c r="IB11" s="56">
        <f>IF(OR(IB$4="",$B11=""),0,SUMIF('DADOS BRUTOS'!$A$3:$A$500,$B11,'DADOS BRUTOS'!FB$3:FB$500)+IF($C11="",0,SUMIF('DADOS BRUTOS'!$A$3:$A$500,$C11,'DADOS BRUTOS'!FB$3:FB$500)))</f>
        <v/>
      </c>
      <c r="IC11" s="56">
        <f>IF(OR(IC$4="",$B11=""),0,SUMIF('DADOS BRUTOS'!$A$3:$A$500,$B11,'DADOS BRUTOS'!FC$3:FC$500)+IF($C11="",0,SUMIF('DADOS BRUTOS'!$A$3:$A$500,$C11,'DADOS BRUTOS'!FC$3:FC$500)))</f>
        <v/>
      </c>
      <c r="ID11" s="56">
        <f>IF(OR(ID$4="",$B11=""),0,SUMIF('DADOS BRUTOS'!$A$3:$A$500,$B11,'DADOS BRUTOS'!FD$3:FD$500)+IF($C11="",0,SUMIF('DADOS BRUTOS'!$A$3:$A$500,$C11,'DADOS BRUTOS'!FD$3:FD$500)))</f>
        <v/>
      </c>
      <c r="IE11" s="56">
        <f>IF(OR(IE$4="",$B11=""),0,SUMIF('DADOS BRUTOS'!$A$3:$A$500,$B11,'DADOS BRUTOS'!FE$3:FE$500)+IF($C11="",0,SUMIF('DADOS BRUTOS'!$A$3:$A$500,$C11,'DADOS BRUTOS'!FE$3:FE$500)))</f>
        <v/>
      </c>
      <c r="IF11" s="56">
        <f>IF(OR(IF$4="",$B11=""),0,SUMIF('DADOS BRUTOS'!$A$3:$A$500,$B11,'DADOS BRUTOS'!FF$3:FF$500)+IF($C11="",0,SUMIF('DADOS BRUTOS'!$A$3:$A$500,$C11,'DADOS BRUTOS'!FF$3:FF$500)))</f>
        <v/>
      </c>
      <c r="IG11" s="56">
        <f>IF(OR(IG$4="",$B11=""),0,SUMIF('DADOS BRUTOS'!$A$3:$A$500,$B11,'DADOS BRUTOS'!FG$3:FG$500)+IF($C11="",0,SUMIF('DADOS BRUTOS'!$A$3:$A$500,$C11,'DADOS BRUTOS'!FG$3:FG$500)))</f>
        <v/>
      </c>
      <c r="IH11" s="56">
        <f>IF(OR(IH$4="",$B11=""),0,SUMIF('DADOS BRUTOS'!$A$3:$A$500,$B11,'DADOS BRUTOS'!FH$3:FH$500)+IF($C11="",0,SUMIF('DADOS BRUTOS'!$A$3:$A$500,$C11,'DADOS BRUTOS'!FH$3:FH$500)))</f>
        <v/>
      </c>
      <c r="II11" s="56">
        <f>IF(OR(II$4="",$B11=""),0,SUMIF('DADOS BRUTOS'!$A$3:$A$500,$B11,'DADOS BRUTOS'!FI$3:FI$500)+IF($C11="",0,SUMIF('DADOS BRUTOS'!$A$3:$A$500,$C11,'DADOS BRUTOS'!FI$3:FI$500)))</f>
        <v/>
      </c>
      <c r="IJ11" s="56">
        <f>IF(OR(IJ$4="",$B11=""),0,SUMIF('DADOS BRUTOS'!$A$3:$A$500,$B11,'DADOS BRUTOS'!FJ$3:FJ$500)+IF($C11="",0,SUMIF('DADOS BRUTOS'!$A$3:$A$500,$C11,'DADOS BRUTOS'!FJ$3:FJ$500)))</f>
        <v/>
      </c>
      <c r="IK11" s="56">
        <f>IF(OR(IK$4="",$B11=""),0,SUMIF('DADOS BRUTOS'!$A$3:$A$500,$B11,'DADOS BRUTOS'!FK$3:FK$500)+IF($C11="",0,SUMIF('DADOS BRUTOS'!$A$3:$A$500,$C11,'DADOS BRUTOS'!FK$3:FK$500)))</f>
        <v/>
      </c>
      <c r="IL11" s="56">
        <f>IF(OR(IL$4="",$B11=""),0,SUMIF('DADOS BRUTOS'!$A$3:$A$500,$B11,'DADOS BRUTOS'!FL$3:FL$500)+IF($C11="",0,SUMIF('DADOS BRUTOS'!$A$3:$A$500,$C11,'DADOS BRUTOS'!FL$3:FL$500)))</f>
        <v/>
      </c>
      <c r="IM11" s="56">
        <f>IF(OR(IM$4="",$B11=""),0,SUMIF('DADOS BRUTOS'!$A$3:$A$500,$B11,'DADOS BRUTOS'!FM$3:FM$500)+IF($C11="",0,SUMIF('DADOS BRUTOS'!$A$3:$A$500,$C11,'DADOS BRUTOS'!FM$3:FM$500)))</f>
        <v/>
      </c>
      <c r="IN11" s="56">
        <f>IF(OR(IN$4="",$B11=""),0,SUMIF('DADOS BRUTOS'!$A$3:$A$500,$B11,'DADOS BRUTOS'!FN$3:FN$500)+IF($C11="",0,SUMIF('DADOS BRUTOS'!$A$3:$A$500,$C11,'DADOS BRUTOS'!FN$3:FN$500)))</f>
        <v/>
      </c>
      <c r="IO11" s="56">
        <f>IF(OR(IO$4="",$B11=""),0,SUMIF('DADOS BRUTOS'!$A$3:$A$500,$B11,'DADOS BRUTOS'!FO$3:FO$500)+IF($C11="",0,SUMIF('DADOS BRUTOS'!$A$3:$A$500,$C11,'DADOS BRUTOS'!FO$3:FO$500)))</f>
        <v/>
      </c>
      <c r="IP11" s="56">
        <f>IF(OR(IP$4="",$B11=""),0,SUMIF('DADOS BRUTOS'!$A$3:$A$500,$B11,'DADOS BRUTOS'!FP$3:FP$500)+IF($C11="",0,SUMIF('DADOS BRUTOS'!$A$3:$A$500,$C11,'DADOS BRUTOS'!FP$3:FP$500)))</f>
        <v/>
      </c>
      <c r="IQ11" s="56">
        <f>IF(OR(IQ$4="",$B11=""),0,SUMIF('DADOS BRUTOS'!$A$3:$A$500,$B11,'DADOS BRUTOS'!FQ$3:FQ$500)+IF($C11="",0,SUMIF('DADOS BRUTOS'!$A$3:$A$500,$C11,'DADOS BRUTOS'!FQ$3:FQ$500)))</f>
        <v/>
      </c>
      <c r="IR11" s="56">
        <f>IF(OR(IR$4="",$B11=""),0,SUMIF('DADOS BRUTOS'!$A$3:$A$500,$B11,'DADOS BRUTOS'!FR$3:FR$500)+IF($C11="",0,SUMIF('DADOS BRUTOS'!$A$3:$A$500,$C11,'DADOS BRUTOS'!FR$3:FR$500)))</f>
        <v/>
      </c>
      <c r="IS11" s="56">
        <f>IF(OR(IS$4="",$B11=""),0,SUMIF('DADOS BRUTOS'!$A$3:$A$500,$B11,'DADOS BRUTOS'!FS$3:FS$500)+IF($C11="",0,SUMIF('DADOS BRUTOS'!$A$3:$A$500,$C11,'DADOS BRUTOS'!FS$3:FS$500)))</f>
        <v/>
      </c>
      <c r="IT11" s="56">
        <f>IF(OR(IT$4="",$B11=""),0,SUMIF('DADOS BRUTOS'!$A$3:$A$500,$B11,'DADOS BRUTOS'!FT$3:FT$500)+IF($C11="",0,SUMIF('DADOS BRUTOS'!$A$3:$A$500,$C11,'DADOS BRUTOS'!FT$3:FT$500)))</f>
        <v/>
      </c>
      <c r="IU11" s="56">
        <f>IF(OR(IU$4="",$B11=""),0,SUMIF('DADOS BRUTOS'!$A$3:$A$500,$B11,'DADOS BRUTOS'!FU$3:FU$500)+IF($C11="",0,SUMIF('DADOS BRUTOS'!$A$3:$A$500,$C11,'DADOS BRUTOS'!FU$3:FU$500)))</f>
        <v/>
      </c>
      <c r="IV11" s="56">
        <f>IF(OR(IV$4="",$B11=""),0,SUMIF('DADOS BRUTOS'!$A$3:$A$500,$B11,'DADOS BRUTOS'!FV$3:FV$500)+IF($C11="",0,SUMIF('DADOS BRUTOS'!$A$3:$A$500,$C11,'DADOS BRUTOS'!FV$3:FV$500)))</f>
        <v/>
      </c>
      <c r="IW11" s="56">
        <f>IF(OR(IW$4="",$B11=""),0,SUMIF('DADOS BRUTOS'!$A$3:$A$500,$B11,'DADOS BRUTOS'!FW$3:FW$500)+IF($C11="",0,SUMIF('DADOS BRUTOS'!$A$3:$A$500,$C11,'DADOS BRUTOS'!FW$3:FW$500)))</f>
        <v/>
      </c>
      <c r="IX11" s="56">
        <f>IF(OR(IX$4="",$B11=""),0,SUMIF('DADOS BRUTOS'!$A$3:$A$500,$B11,'DADOS BRUTOS'!FX$3:FX$500)+IF($C11="",0,SUMIF('DADOS BRUTOS'!$A$3:$A$500,$C11,'DADOS BRUTOS'!FX$3:FX$500)))</f>
        <v/>
      </c>
      <c r="IY11" s="56">
        <f>IF(OR(IY$4="",$B11=""),0,SUMIF('DADOS BRUTOS'!$A$3:$A$500,$B11,'DADOS BRUTOS'!FY$3:FY$500)+IF($C11="",0,SUMIF('DADOS BRUTOS'!$A$3:$A$500,$C11,'DADOS BRUTOS'!FY$3:FY$500)))</f>
        <v/>
      </c>
      <c r="IZ11" s="56">
        <f>IF(OR(IZ$4="",$B11=""),0,SUMIF('DADOS BRUTOS'!$A$3:$A$500,$B11,'DADOS BRUTOS'!FZ$3:FZ$500)+IF($C11="",0,SUMIF('DADOS BRUTOS'!$A$3:$A$500,$C11,'DADOS BRUTOS'!FZ$3:FZ$500)))</f>
        <v/>
      </c>
      <c r="JA11" s="56">
        <f>IF(OR(JA$4="",$B11=""),0,SUMIF('DADOS BRUTOS'!$A$3:$A$500,$B11,'DADOS BRUTOS'!GA$3:GA$500)+IF($C11="",0,SUMIF('DADOS BRUTOS'!$A$3:$A$500,$C11,'DADOS BRUTOS'!GA$3:GA$500)))</f>
        <v/>
      </c>
      <c r="JB11" s="56">
        <f>IF(OR(JB$4="",$B11=""),0,SUMIF('DADOS BRUTOS'!$A$3:$A$500,$B11,'DADOS BRUTOS'!GB$3:GB$500)+IF($C11="",0,SUMIF('DADOS BRUTOS'!$A$3:$A$500,$C11,'DADOS BRUTOS'!GB$3:GB$500)))</f>
        <v/>
      </c>
      <c r="JC11" s="56">
        <f>IF(OR(JC$4="",$B11=""),0,SUMIF('DADOS BRUTOS'!$A$3:$A$500,$B11,'DADOS BRUTOS'!GC$3:GC$500)+IF($C11="",0,SUMIF('DADOS BRUTOS'!$A$3:$A$500,$C11,'DADOS BRUTOS'!GC$3:GC$500)))</f>
        <v/>
      </c>
      <c r="JD11" s="56">
        <f>IF(OR(JD$4="",$B11=""),0,SUMIF('DADOS BRUTOS'!$A$3:$A$500,$B11,'DADOS BRUTOS'!GD$3:GD$500)+IF($C11="",0,SUMIF('DADOS BRUTOS'!$A$3:$A$500,$C11,'DADOS BRUTOS'!GD$3:GD$500)))</f>
        <v/>
      </c>
      <c r="JE11" s="56">
        <f>IF(OR(JE$4="",$B11=""),0,SUMIF('DADOS BRUTOS'!$A$3:$A$500,$B11,'DADOS BRUTOS'!GE$3:GE$500)+IF($C11="",0,SUMIF('DADOS BRUTOS'!$A$3:$A$500,$C11,'DADOS BRUTOS'!GE$3:GE$500)))</f>
        <v/>
      </c>
      <c r="JF11" s="56">
        <f>IF(OR(JF$4="",$B11=""),0,SUMIF('DADOS BRUTOS'!$A$3:$A$500,$B11,'DADOS BRUTOS'!GF$3:GF$500)+IF($C11="",0,SUMIF('DADOS BRUTOS'!$A$3:$A$500,$C11,'DADOS BRUTOS'!GF$3:GF$500)))</f>
        <v/>
      </c>
      <c r="JG11" s="56">
        <f>IF(OR(JG$4="",$B11=""),0,SUMIF('DADOS BRUTOS'!$A$3:$A$500,$B11,'DADOS BRUTOS'!GG$3:GG$500)+IF($C11="",0,SUMIF('DADOS BRUTOS'!$A$3:$A$500,$C11,'DADOS BRUTOS'!GG$3:GG$500)))</f>
        <v/>
      </c>
      <c r="JH11" s="56">
        <f>IF(OR(JH$4="",$B11=""),0,SUMIF('DADOS BRUTOS'!$A$3:$A$500,$B11,'DADOS BRUTOS'!GH$3:GH$500)+IF($C11="",0,SUMIF('DADOS BRUTOS'!$A$3:$A$500,$C11,'DADOS BRUTOS'!GH$3:GH$500)))</f>
        <v/>
      </c>
      <c r="JI11" s="56">
        <f>IF(OR(JI$4="",$B11=""),0,SUMIF('DADOS BRUTOS'!$A$3:$A$500,$B11,'DADOS BRUTOS'!GI$3:GI$500)+IF($C11="",0,SUMIF('DADOS BRUTOS'!$A$3:$A$500,$C11,'DADOS BRUTOS'!GI$3:GI$500)))</f>
        <v/>
      </c>
      <c r="JJ11" s="56">
        <f>IF(OR(JJ$4="",$B11=""),0,SUMIF('DADOS BRUTOS'!$A$3:$A$500,$B11,'DADOS BRUTOS'!GJ$3:GJ$500)+IF($C11="",0,SUMIF('DADOS BRUTOS'!$A$3:$A$500,$C11,'DADOS BRUTOS'!GJ$3:GJ$500)))</f>
        <v/>
      </c>
      <c r="JK11" s="56">
        <f>IF(OR(JK$4="",$B11=""),0,SUMIF('DADOS BRUTOS'!$A$3:$A$500,$B11,'DADOS BRUTOS'!GK$3:GK$500)+IF($C11="",0,SUMIF('DADOS BRUTOS'!$A$3:$A$500,$C11,'DADOS BRUTOS'!GK$3:GK$500)))</f>
        <v/>
      </c>
      <c r="JL11" s="56">
        <f>IF(OR(JL$4="",$B11=""),0,SUMIF('DADOS BRUTOS'!$A$3:$A$500,$B11,'DADOS BRUTOS'!GL$3:GL$500)+IF($C11="",0,SUMIF('DADOS BRUTOS'!$A$3:$A$500,$C11,'DADOS BRUTOS'!GL$3:GL$500)))</f>
        <v/>
      </c>
      <c r="JM11" s="56">
        <f>IF(OR(JM$4="",$B11=""),0,SUMIF('DADOS BRUTOS'!$A$3:$A$500,$B11,'DADOS BRUTOS'!GM$3:GM$500)+IF($C11="",0,SUMIF('DADOS BRUTOS'!$A$3:$A$500,$C11,'DADOS BRUTOS'!GM$3:GM$500)))</f>
        <v/>
      </c>
      <c r="JN11" s="56">
        <f>IF(OR(JN$4="",$B11=""),0,SUMIF('DADOS BRUTOS'!$A$3:$A$500,$B11,'DADOS BRUTOS'!GN$3:GN$500)+IF($C11="",0,SUMIF('DADOS BRUTOS'!$A$3:$A$500,$C11,'DADOS BRUTOS'!GN$3:GN$500)))</f>
        <v/>
      </c>
      <c r="JO11" s="56">
        <f>IF(OR(JO$4="",$B11=""),0,SUMIF('DADOS BRUTOS'!$A$3:$A$500,$B11,'DADOS BRUTOS'!GO$3:GO$500)+IF($C11="",0,SUMIF('DADOS BRUTOS'!$A$3:$A$500,$C11,'DADOS BRUTOS'!GO$3:GO$500)))</f>
        <v/>
      </c>
      <c r="JP11" s="56">
        <f>IF(OR(JP$4="",$B11=""),0,SUMIF('DADOS BRUTOS'!$A$3:$A$500,$B11,'DADOS BRUTOS'!GP$3:GP$500)+IF($C11="",0,SUMIF('DADOS BRUTOS'!$A$3:$A$500,$C11,'DADOS BRUTOS'!GP$3:GP$500)))</f>
        <v/>
      </c>
      <c r="JQ11" s="56">
        <f>IF(OR(JQ$4="",$B11=""),0,SUMIF('DADOS BRUTOS'!$A$3:$A$500,$B11,'DADOS BRUTOS'!GQ$3:GQ$500)+IF($C11="",0,SUMIF('DADOS BRUTOS'!$A$3:$A$500,$C11,'DADOS BRUTOS'!GQ$3:GQ$500)))</f>
        <v/>
      </c>
      <c r="JR11" s="56">
        <f>IF(OR(JR$4="",$B11=""),0,SUMIF('DADOS BRUTOS'!$A$3:$A$500,$B11,'DADOS BRUTOS'!GR$3:GR$500)+IF($C11="",0,SUMIF('DADOS BRUTOS'!$A$3:$A$500,$C11,'DADOS BRUTOS'!GR$3:GR$500)))</f>
        <v/>
      </c>
      <c r="JS11" s="56">
        <f>IF(OR(JS$4="",$B11=""),0,SUMIF('DADOS BRUTOS'!$A$3:$A$500,$B11,'DADOS BRUTOS'!GS$3:GS$500)+IF($C11="",0,SUMIF('DADOS BRUTOS'!$A$3:$A$500,$C11,'DADOS BRUTOS'!GS$3:GS$500)))</f>
        <v/>
      </c>
    </row>
    <row r="12">
      <c r="A12" s="34">
        <f>'VALOR POR PL'!D18</f>
        <v/>
      </c>
      <c r="B12" s="21" t="inlineStr">
        <is>
          <t>TRANSPORTES</t>
        </is>
      </c>
      <c r="C12" s="21" t="n"/>
      <c r="D12" s="17">
        <f>SUMIF($CB$4:$JS$4,"&lt;="&amp;D$4,$CB12:$JS12)</f>
        <v/>
      </c>
      <c r="E12" s="17">
        <f>SUMIF($CB$4:$JS$4,E$4,$CB12:$JS12)</f>
        <v/>
      </c>
      <c r="F12" s="17">
        <f>SUMIF($CB$4:$JS$4,F$4,$CB12:$JS12)</f>
        <v/>
      </c>
      <c r="G12" s="17">
        <f>SUMIF($CB$4:$JS$4,G$4,$CB12:$JS12)</f>
        <v/>
      </c>
      <c r="H12" s="17">
        <f>SUMIF($CB$4:$JS$4,H$4,$CB12:$JS12)</f>
        <v/>
      </c>
      <c r="I12" s="17">
        <f>SUMIF($CB$4:$JS$4,I$4,$CB12:$JS12)</f>
        <v/>
      </c>
      <c r="J12" s="17">
        <f>SUMIF($CB$4:$JS$4,J$4,$CB12:$JS12)</f>
        <v/>
      </c>
      <c r="K12" s="17">
        <f>SUMIF($CB$4:$JS$4,K$4,$CB12:$JS12)</f>
        <v/>
      </c>
      <c r="L12" s="17">
        <f>SUMIF($CB$4:$JS$4,L$4,$CB12:$JS12)</f>
        <v/>
      </c>
      <c r="M12" s="17">
        <f>SUMIF($CB$4:$JS$4,M$4,$CB12:$JS12)</f>
        <v/>
      </c>
      <c r="N12" s="17">
        <f>SUMIF($CB$4:$JS$4,N$4,$CB12:$JS12)</f>
        <v/>
      </c>
      <c r="O12" s="17">
        <f>SUMIF($CB$4:$JS$4,O$4,$CB12:$JS12)</f>
        <v/>
      </c>
      <c r="P12" s="17">
        <f>SUMIF($CB$4:$JS$4,P$4,$CB12:$JS12)</f>
        <v/>
      </c>
      <c r="Q12" s="17">
        <f>SUMIF($CB$4:$JS$4,Q$4,$CB12:$JS12)</f>
        <v/>
      </c>
      <c r="R12" s="17">
        <f>SUMIF($CB$4:$JS$4,R$4,$CB12:$JS12)</f>
        <v/>
      </c>
      <c r="S12" s="17">
        <f>SUMIF($CB$4:$JS$4,S$4,$CB12:$JS12)</f>
        <v/>
      </c>
      <c r="T12" s="17">
        <f>SUMIF($CB$4:$JS$4,T$4,$CB12:$JS12)</f>
        <v/>
      </c>
      <c r="U12" s="17">
        <f>SUMIF($CB$4:$JS$4,U$4,$CB12:$JS12)</f>
        <v/>
      </c>
      <c r="V12" s="17">
        <f>SUMIF($CB$4:$JS$4,V$4,$CB12:$JS12)</f>
        <v/>
      </c>
      <c r="W12" s="17">
        <f>SUMIF($CB$4:$JS$4,W$4,$CB12:$JS12)</f>
        <v/>
      </c>
      <c r="X12" s="17">
        <f>SUMIF($CB$4:$JS$4,X$4,$CB12:$JS12)</f>
        <v/>
      </c>
      <c r="Y12" s="17">
        <f>SUMIF($CB$4:$JS$4,Y$4,$CB12:$JS12)</f>
        <v/>
      </c>
      <c r="Z12" s="17">
        <f>SUMIF($CB$4:$JS$4,Z$4,$CB12:$JS12)</f>
        <v/>
      </c>
      <c r="AA12" s="17">
        <f>SUMIF($CB$4:$JS$4,AA$4,$CB12:$JS12)</f>
        <v/>
      </c>
      <c r="AB12" s="17">
        <f>SUMIF($CB$4:$JS$4,AB$4,$CB12:$JS12)</f>
        <v/>
      </c>
      <c r="AC12" s="17">
        <f>SUMIF($CB$4:$JS$4,AC$4,$CB12:$JS12)</f>
        <v/>
      </c>
      <c r="AD12" s="17">
        <f>SUMIF($CB$4:$JS$4,AD$4,$CB12:$JS12)</f>
        <v/>
      </c>
      <c r="AE12" s="17">
        <f>SUMIF($CB$4:$JS$4,AE$4,$CB12:$JS12)</f>
        <v/>
      </c>
      <c r="AF12" s="17">
        <f>SUMIF($CB$4:$JS$4,AF$4,$CB12:$JS12)</f>
        <v/>
      </c>
      <c r="AG12" s="17">
        <f>SUMIF($CB$4:$JS$4,AG$4,$CB12:$JS12)</f>
        <v/>
      </c>
      <c r="AH12" s="17">
        <f>SUMIF($CB$4:$JS$4,AH$4,$CB12:$JS12)</f>
        <v/>
      </c>
      <c r="AI12" s="17">
        <f>SUMIF($CB$4:$JS$4,AI$4,$CB12:$JS12)</f>
        <v/>
      </c>
      <c r="AJ12" s="17">
        <f>SUMIF($CB$4:$JS$4,AJ$4,$CB12:$JS12)</f>
        <v/>
      </c>
      <c r="AK12" s="17">
        <f>SUMIF($CB$4:$JS$4,AK$4,$CB12:$JS12)</f>
        <v/>
      </c>
      <c r="AL12" s="17">
        <f>SUMIF($CB$4:$JS$4,AL$4,$CB12:$JS12)</f>
        <v/>
      </c>
      <c r="AM12" s="17">
        <f>SUMIF($CB$4:$JS$4,AM$4,$CB12:$JS12)</f>
        <v/>
      </c>
      <c r="AN12" s="17">
        <f>SUMIF($CB$4:$JS$4,AN$4,$CB12:$JS12)</f>
        <v/>
      </c>
      <c r="AO12" s="17">
        <f>SUMIF($CB$4:$JS$4,AO$4,$CB12:$JS12)</f>
        <v/>
      </c>
      <c r="AP12" s="17">
        <f>SUMIF($CB$4:$JS$4,AP$4,$CB12:$JS12)</f>
        <v/>
      </c>
      <c r="AQ12" s="17">
        <f>SUMIF($CB$4:$JS$4,AQ$4,$CB12:$JS12)</f>
        <v/>
      </c>
      <c r="AR12" s="17">
        <f>SUMIF($CB$4:$JS$4,AR$4,$CB12:$JS12)</f>
        <v/>
      </c>
      <c r="AS12" s="17">
        <f>SUMIF($CB$4:$JS$4,AS$4,$CB12:$JS12)</f>
        <v/>
      </c>
      <c r="AT12" s="17">
        <f>SUMIF($CB$4:$JS$4,AT$4,$CB12:$JS12)</f>
        <v/>
      </c>
      <c r="AU12" s="17">
        <f>SUMIF($CB$4:$JS$4,AU$4,$CB12:$JS12)</f>
        <v/>
      </c>
      <c r="AV12" s="17">
        <f>SUMIF($CB$4:$JS$4,AV$4,$CB12:$JS12)</f>
        <v/>
      </c>
      <c r="AW12" s="17">
        <f>SUMIF($CB$4:$JS$4,AW$4,$CB12:$JS12)</f>
        <v/>
      </c>
      <c r="AX12" s="17">
        <f>SUMIF($CB$4:$JS$4,AX$4,$CB12:$JS12)</f>
        <v/>
      </c>
      <c r="AY12" s="17">
        <f>SUMIF($CB$4:$JS$4,AY$4,$CB12:$JS12)</f>
        <v/>
      </c>
      <c r="AZ12" s="17">
        <f>SUMIF($CB$4:$JS$4,AZ$4,$CB12:$JS12)</f>
        <v/>
      </c>
      <c r="BA12" s="17">
        <f>SUMIF($CB$4:$JS$4,BA$4,$CB12:$JS12)</f>
        <v/>
      </c>
      <c r="BB12" s="17">
        <f>SUMIF($CB$4:$JS$4,BB$4,$CB12:$JS12)</f>
        <v/>
      </c>
      <c r="BC12" s="17">
        <f>SUMIF($CB$4:$JS$4,BC$4,$CB12:$JS12)</f>
        <v/>
      </c>
      <c r="BD12" s="17">
        <f>SUMIF($CB$4:$JS$4,BD$4,$CB12:$JS12)</f>
        <v/>
      </c>
      <c r="BE12" s="17">
        <f>SUMIF($CB$4:$JS$4,BE$4,$CB12:$JS12)</f>
        <v/>
      </c>
      <c r="BF12" s="17">
        <f>SUMIF($CB$4:$JS$4,BF$4,$CB12:$JS12)</f>
        <v/>
      </c>
      <c r="BG12" s="17">
        <f>SUMIF($CB$4:$JS$4,BG$4,$CB12:$JS12)</f>
        <v/>
      </c>
      <c r="BH12" s="17">
        <f>SUMIF($CB$4:$JS$4,BH$4,$CB12:$JS12)</f>
        <v/>
      </c>
      <c r="BI12" s="17">
        <f>SUMIF($CB$4:$JS$4,BI$4,$CB12:$JS12)</f>
        <v/>
      </c>
      <c r="BJ12" s="17">
        <f>SUMIF($CB$4:$JS$4,BJ$4,$CB12:$JS12)</f>
        <v/>
      </c>
      <c r="BK12" s="17">
        <f>SUMIF($CB$4:$JS$4,BK$4,$CB12:$JS12)</f>
        <v/>
      </c>
      <c r="BL12" s="17">
        <f>SUMIF($CB$4:$JS$4,BL$4,$CB12:$JS12)</f>
        <v/>
      </c>
      <c r="BM12" s="17">
        <f>SUMIF($CB$4:$JS$4,BM$4,$CB12:$JS12)</f>
        <v/>
      </c>
      <c r="BN12" s="17">
        <f>SUMIF($CB$4:$JS$4,BN$4,$CB12:$JS12)</f>
        <v/>
      </c>
      <c r="BO12" s="17">
        <f>SUMIF($CB$4:$JS$4,BO$4,$CB12:$JS12)</f>
        <v/>
      </c>
      <c r="BP12" s="17">
        <f>SUMIF($CB$4:$JS$4,BP$4,$CB12:$JS12)</f>
        <v/>
      </c>
      <c r="BQ12" s="17">
        <f>SUMIF($CB$4:$JS$4,BQ$4,$CB12:$JS12)</f>
        <v/>
      </c>
      <c r="BR12" s="17">
        <f>SUMIF($CB$4:$JS$4,BR$4,$CB12:$JS12)</f>
        <v/>
      </c>
      <c r="BS12" s="17">
        <f>SUMIF($CB$4:$JS$4,BS$4,$CB12:$JS12)</f>
        <v/>
      </c>
      <c r="BT12" s="17">
        <f>SUMIF($CB$4:$JS$4,BT$4,$CB12:$JS12)</f>
        <v/>
      </c>
      <c r="BU12" s="17">
        <f>SUMIF($CB$4:$JS$4,BU$4,$CB12:$JS12)</f>
        <v/>
      </c>
      <c r="BV12" s="17">
        <f>SUMIF($CB$4:$JS$4,BV$4,$CB12:$JS12)</f>
        <v/>
      </c>
      <c r="BW12" s="17">
        <f>SUMIF($CB$4:$JS$4,BW$4,$CB12:$JS12)</f>
        <v/>
      </c>
      <c r="BX12" s="17">
        <f>SUMIF($CB$4:$JS$4,"&gt;"&amp;'VALOR POR PL'!$P$8,$CB12:$JS12)</f>
        <v/>
      </c>
      <c r="BY12" s="17">
        <f>SUM($CB12:$JS12)</f>
        <v/>
      </c>
      <c r="CB12" s="56">
        <f>IF(OR(CB$4="",$B12=""),0,SUMIF('DADOS BRUTOS'!$A$3:$A$500,$B12,'DADOS BRUTOS'!B$3:B$500)+IF($C12="",0,SUMIF('DADOS BRUTOS'!$A$3:$A$500,$C12,'DADOS BRUTOS'!B$3:B$500)))</f>
        <v/>
      </c>
      <c r="CC12" s="56">
        <f>IF(OR(CC$4="",$B12=""),0,SUMIF('DADOS BRUTOS'!$A$3:$A$500,$B12,'DADOS BRUTOS'!C$3:C$500)+IF($C12="",0,SUMIF('DADOS BRUTOS'!$A$3:$A$500,$C12,'DADOS BRUTOS'!C$3:C$500)))</f>
        <v/>
      </c>
      <c r="CD12" s="56">
        <f>IF(OR(CD$4="",$B12=""),0,SUMIF('DADOS BRUTOS'!$A$3:$A$500,$B12,'DADOS BRUTOS'!D$3:D$500)+IF($C12="",0,SUMIF('DADOS BRUTOS'!$A$3:$A$500,$C12,'DADOS BRUTOS'!D$3:D$500)))</f>
        <v/>
      </c>
      <c r="CE12" s="56">
        <f>IF(OR(CE$4="",$B12=""),0,SUMIF('DADOS BRUTOS'!$A$3:$A$500,$B12,'DADOS BRUTOS'!E$3:E$500)+IF($C12="",0,SUMIF('DADOS BRUTOS'!$A$3:$A$500,$C12,'DADOS BRUTOS'!E$3:E$500)))</f>
        <v/>
      </c>
      <c r="CF12" s="56">
        <f>IF(OR(CF$4="",$B12=""),0,SUMIF('DADOS BRUTOS'!$A$3:$A$500,$B12,'DADOS BRUTOS'!F$3:F$500)+IF($C12="",0,SUMIF('DADOS BRUTOS'!$A$3:$A$500,$C12,'DADOS BRUTOS'!F$3:F$500)))</f>
        <v/>
      </c>
      <c r="CG12" s="56">
        <f>IF(OR(CG$4="",$B12=""),0,SUMIF('DADOS BRUTOS'!$A$3:$A$500,$B12,'DADOS BRUTOS'!G$3:G$500)+IF($C12="",0,SUMIF('DADOS BRUTOS'!$A$3:$A$500,$C12,'DADOS BRUTOS'!G$3:G$500)))</f>
        <v/>
      </c>
      <c r="CH12" s="56">
        <f>IF(OR(CH$4="",$B12=""),0,SUMIF('DADOS BRUTOS'!$A$3:$A$500,$B12,'DADOS BRUTOS'!H$3:H$500)+IF($C12="",0,SUMIF('DADOS BRUTOS'!$A$3:$A$500,$C12,'DADOS BRUTOS'!H$3:H$500)))</f>
        <v/>
      </c>
      <c r="CI12" s="56">
        <f>IF(OR(CI$4="",$B12=""),0,SUMIF('DADOS BRUTOS'!$A$3:$A$500,$B12,'DADOS BRUTOS'!I$3:I$500)+IF($C12="",0,SUMIF('DADOS BRUTOS'!$A$3:$A$500,$C12,'DADOS BRUTOS'!I$3:I$500)))</f>
        <v/>
      </c>
      <c r="CJ12" s="56">
        <f>IF(OR(CJ$4="",$B12=""),0,SUMIF('DADOS BRUTOS'!$A$3:$A$500,$B12,'DADOS BRUTOS'!J$3:J$500)+IF($C12="",0,SUMIF('DADOS BRUTOS'!$A$3:$A$500,$C12,'DADOS BRUTOS'!J$3:J$500)))</f>
        <v/>
      </c>
      <c r="CK12" s="56">
        <f>IF(OR(CK$4="",$B12=""),0,SUMIF('DADOS BRUTOS'!$A$3:$A$500,$B12,'DADOS BRUTOS'!K$3:K$500)+IF($C12="",0,SUMIF('DADOS BRUTOS'!$A$3:$A$500,$C12,'DADOS BRUTOS'!K$3:K$500)))</f>
        <v/>
      </c>
      <c r="CL12" s="56">
        <f>IF(OR(CL$4="",$B12=""),0,SUMIF('DADOS BRUTOS'!$A$3:$A$500,$B12,'DADOS BRUTOS'!L$3:L$500)+IF($C12="",0,SUMIF('DADOS BRUTOS'!$A$3:$A$500,$C12,'DADOS BRUTOS'!L$3:L$500)))</f>
        <v/>
      </c>
      <c r="CM12" s="56">
        <f>IF(OR(CM$4="",$B12=""),0,SUMIF('DADOS BRUTOS'!$A$3:$A$500,$B12,'DADOS BRUTOS'!M$3:M$500)+IF($C12="",0,SUMIF('DADOS BRUTOS'!$A$3:$A$500,$C12,'DADOS BRUTOS'!M$3:M$500)))</f>
        <v/>
      </c>
      <c r="CN12" s="56">
        <f>IF(OR(CN$4="",$B12=""),0,SUMIF('DADOS BRUTOS'!$A$3:$A$500,$B12,'DADOS BRUTOS'!N$3:N$500)+IF($C12="",0,SUMIF('DADOS BRUTOS'!$A$3:$A$500,$C12,'DADOS BRUTOS'!N$3:N$500)))</f>
        <v/>
      </c>
      <c r="CO12" s="56">
        <f>IF(OR(CO$4="",$B12=""),0,SUMIF('DADOS BRUTOS'!$A$3:$A$500,$B12,'DADOS BRUTOS'!O$3:O$500)+IF($C12="",0,SUMIF('DADOS BRUTOS'!$A$3:$A$500,$C12,'DADOS BRUTOS'!O$3:O$500)))</f>
        <v/>
      </c>
      <c r="CP12" s="56">
        <f>IF(OR(CP$4="",$B12=""),0,SUMIF('DADOS BRUTOS'!$A$3:$A$500,$B12,'DADOS BRUTOS'!P$3:P$500)+IF($C12="",0,SUMIF('DADOS BRUTOS'!$A$3:$A$500,$C12,'DADOS BRUTOS'!P$3:P$500)))</f>
        <v/>
      </c>
      <c r="CQ12" s="56">
        <f>IF(OR(CQ$4="",$B12=""),0,SUMIF('DADOS BRUTOS'!$A$3:$A$500,$B12,'DADOS BRUTOS'!Q$3:Q$500)+IF($C12="",0,SUMIF('DADOS BRUTOS'!$A$3:$A$500,$C12,'DADOS BRUTOS'!Q$3:Q$500)))</f>
        <v/>
      </c>
      <c r="CR12" s="56">
        <f>IF(OR(CR$4="",$B12=""),0,SUMIF('DADOS BRUTOS'!$A$3:$A$500,$B12,'DADOS BRUTOS'!R$3:R$500)+IF($C12="",0,SUMIF('DADOS BRUTOS'!$A$3:$A$500,$C12,'DADOS BRUTOS'!R$3:R$500)))</f>
        <v/>
      </c>
      <c r="CS12" s="56">
        <f>IF(OR(CS$4="",$B12=""),0,SUMIF('DADOS BRUTOS'!$A$3:$A$500,$B12,'DADOS BRUTOS'!S$3:S$500)+IF($C12="",0,SUMIF('DADOS BRUTOS'!$A$3:$A$500,$C12,'DADOS BRUTOS'!S$3:S$500)))</f>
        <v/>
      </c>
      <c r="CT12" s="56">
        <f>IF(OR(CT$4="",$B12=""),0,SUMIF('DADOS BRUTOS'!$A$3:$A$500,$B12,'DADOS BRUTOS'!T$3:T$500)+IF($C12="",0,SUMIF('DADOS BRUTOS'!$A$3:$A$500,$C12,'DADOS BRUTOS'!T$3:T$500)))</f>
        <v/>
      </c>
      <c r="CU12" s="56">
        <f>IF(OR(CU$4="",$B12=""),0,SUMIF('DADOS BRUTOS'!$A$3:$A$500,$B12,'DADOS BRUTOS'!U$3:U$500)+IF($C12="",0,SUMIF('DADOS BRUTOS'!$A$3:$A$500,$C12,'DADOS BRUTOS'!U$3:U$500)))</f>
        <v/>
      </c>
      <c r="CV12" s="56">
        <f>IF(OR(CV$4="",$B12=""),0,SUMIF('DADOS BRUTOS'!$A$3:$A$500,$B12,'DADOS BRUTOS'!V$3:V$500)+IF($C12="",0,SUMIF('DADOS BRUTOS'!$A$3:$A$500,$C12,'DADOS BRUTOS'!V$3:V$500)))</f>
        <v/>
      </c>
      <c r="CW12" s="56">
        <f>IF(OR(CW$4="",$B12=""),0,SUMIF('DADOS BRUTOS'!$A$3:$A$500,$B12,'DADOS BRUTOS'!W$3:W$500)+IF($C12="",0,SUMIF('DADOS BRUTOS'!$A$3:$A$500,$C12,'DADOS BRUTOS'!W$3:W$500)))</f>
        <v/>
      </c>
      <c r="CX12" s="56">
        <f>IF(OR(CX$4="",$B12=""),0,SUMIF('DADOS BRUTOS'!$A$3:$A$500,$B12,'DADOS BRUTOS'!X$3:X$500)+IF($C12="",0,SUMIF('DADOS BRUTOS'!$A$3:$A$500,$C12,'DADOS BRUTOS'!X$3:X$500)))</f>
        <v/>
      </c>
      <c r="CY12" s="56">
        <f>IF(OR(CY$4="",$B12=""),0,SUMIF('DADOS BRUTOS'!$A$3:$A$500,$B12,'DADOS BRUTOS'!Y$3:Y$500)+IF($C12="",0,SUMIF('DADOS BRUTOS'!$A$3:$A$500,$C12,'DADOS BRUTOS'!Y$3:Y$500)))</f>
        <v/>
      </c>
      <c r="CZ12" s="56">
        <f>IF(OR(CZ$4="",$B12=""),0,SUMIF('DADOS BRUTOS'!$A$3:$A$500,$B12,'DADOS BRUTOS'!Z$3:Z$500)+IF($C12="",0,SUMIF('DADOS BRUTOS'!$A$3:$A$500,$C12,'DADOS BRUTOS'!Z$3:Z$500)))</f>
        <v/>
      </c>
      <c r="DA12" s="56">
        <f>IF(OR(DA$4="",$B12=""),0,SUMIF('DADOS BRUTOS'!$A$3:$A$500,$B12,'DADOS BRUTOS'!AA$3:AA$500)+IF($C12="",0,SUMIF('DADOS BRUTOS'!$A$3:$A$500,$C12,'DADOS BRUTOS'!AA$3:AA$500)))</f>
        <v/>
      </c>
      <c r="DB12" s="56">
        <f>IF(OR(DB$4="",$B12=""),0,SUMIF('DADOS BRUTOS'!$A$3:$A$500,$B12,'DADOS BRUTOS'!AB$3:AB$500)+IF($C12="",0,SUMIF('DADOS BRUTOS'!$A$3:$A$500,$C12,'DADOS BRUTOS'!AB$3:AB$500)))</f>
        <v/>
      </c>
      <c r="DC12" s="56">
        <f>IF(OR(DC$4="",$B12=""),0,SUMIF('DADOS BRUTOS'!$A$3:$A$500,$B12,'DADOS BRUTOS'!AC$3:AC$500)+IF($C12="",0,SUMIF('DADOS BRUTOS'!$A$3:$A$500,$C12,'DADOS BRUTOS'!AC$3:AC$500)))</f>
        <v/>
      </c>
      <c r="DD12" s="56">
        <f>IF(OR(DD$4="",$B12=""),0,SUMIF('DADOS BRUTOS'!$A$3:$A$500,$B12,'DADOS BRUTOS'!AD$3:AD$500)+IF($C12="",0,SUMIF('DADOS BRUTOS'!$A$3:$A$500,$C12,'DADOS BRUTOS'!AD$3:AD$500)))</f>
        <v/>
      </c>
      <c r="DE12" s="56">
        <f>IF(OR(DE$4="",$B12=""),0,SUMIF('DADOS BRUTOS'!$A$3:$A$500,$B12,'DADOS BRUTOS'!AE$3:AE$500)+IF($C12="",0,SUMIF('DADOS BRUTOS'!$A$3:$A$500,$C12,'DADOS BRUTOS'!AE$3:AE$500)))</f>
        <v/>
      </c>
      <c r="DF12" s="56">
        <f>IF(OR(DF$4="",$B12=""),0,SUMIF('DADOS BRUTOS'!$A$3:$A$500,$B12,'DADOS BRUTOS'!AF$3:AF$500)+IF($C12="",0,SUMIF('DADOS BRUTOS'!$A$3:$A$500,$C12,'DADOS BRUTOS'!AF$3:AF$500)))</f>
        <v/>
      </c>
      <c r="DG12" s="56">
        <f>IF(OR(DG$4="",$B12=""),0,SUMIF('DADOS BRUTOS'!$A$3:$A$500,$B12,'DADOS BRUTOS'!AG$3:AG$500)+IF($C12="",0,SUMIF('DADOS BRUTOS'!$A$3:$A$500,$C12,'DADOS BRUTOS'!AG$3:AG$500)))</f>
        <v/>
      </c>
      <c r="DH12" s="56">
        <f>IF(OR(DH$4="",$B12=""),0,SUMIF('DADOS BRUTOS'!$A$3:$A$500,$B12,'DADOS BRUTOS'!AH$3:AH$500)+IF($C12="",0,SUMIF('DADOS BRUTOS'!$A$3:$A$500,$C12,'DADOS BRUTOS'!AH$3:AH$500)))</f>
        <v/>
      </c>
      <c r="DI12" s="56">
        <f>IF(OR(DI$4="",$B12=""),0,SUMIF('DADOS BRUTOS'!$A$3:$A$500,$B12,'DADOS BRUTOS'!AI$3:AI$500)+IF($C12="",0,SUMIF('DADOS BRUTOS'!$A$3:$A$500,$C12,'DADOS BRUTOS'!AI$3:AI$500)))</f>
        <v/>
      </c>
      <c r="DJ12" s="56">
        <f>IF(OR(DJ$4="",$B12=""),0,SUMIF('DADOS BRUTOS'!$A$3:$A$500,$B12,'DADOS BRUTOS'!AJ$3:AJ$500)+IF($C12="",0,SUMIF('DADOS BRUTOS'!$A$3:$A$500,$C12,'DADOS BRUTOS'!AJ$3:AJ$500)))</f>
        <v/>
      </c>
      <c r="DK12" s="56">
        <f>IF(OR(DK$4="",$B12=""),0,SUMIF('DADOS BRUTOS'!$A$3:$A$500,$B12,'DADOS BRUTOS'!AK$3:AK$500)+IF($C12="",0,SUMIF('DADOS BRUTOS'!$A$3:$A$500,$C12,'DADOS BRUTOS'!AK$3:AK$500)))</f>
        <v/>
      </c>
      <c r="DL12" s="56">
        <f>IF(OR(DL$4="",$B12=""),0,SUMIF('DADOS BRUTOS'!$A$3:$A$500,$B12,'DADOS BRUTOS'!AL$3:AL$500)+IF($C12="",0,SUMIF('DADOS BRUTOS'!$A$3:$A$500,$C12,'DADOS BRUTOS'!AL$3:AL$500)))</f>
        <v/>
      </c>
      <c r="DM12" s="56">
        <f>IF(OR(DM$4="",$B12=""),0,SUMIF('DADOS BRUTOS'!$A$3:$A$500,$B12,'DADOS BRUTOS'!AM$3:AM$500)+IF($C12="",0,SUMIF('DADOS BRUTOS'!$A$3:$A$500,$C12,'DADOS BRUTOS'!AM$3:AM$500)))</f>
        <v/>
      </c>
      <c r="DN12" s="56">
        <f>IF(OR(DN$4="",$B12=""),0,SUMIF('DADOS BRUTOS'!$A$3:$A$500,$B12,'DADOS BRUTOS'!AN$3:AN$500)+IF($C12="",0,SUMIF('DADOS BRUTOS'!$A$3:$A$500,$C12,'DADOS BRUTOS'!AN$3:AN$500)))</f>
        <v/>
      </c>
      <c r="DO12" s="56">
        <f>IF(OR(DO$4="",$B12=""),0,SUMIF('DADOS BRUTOS'!$A$3:$A$500,$B12,'DADOS BRUTOS'!AO$3:AO$500)+IF($C12="",0,SUMIF('DADOS BRUTOS'!$A$3:$A$500,$C12,'DADOS BRUTOS'!AO$3:AO$500)))</f>
        <v/>
      </c>
      <c r="DP12" s="56">
        <f>IF(OR(DP$4="",$B12=""),0,SUMIF('DADOS BRUTOS'!$A$3:$A$500,$B12,'DADOS BRUTOS'!AP$3:AP$500)+IF($C12="",0,SUMIF('DADOS BRUTOS'!$A$3:$A$500,$C12,'DADOS BRUTOS'!AP$3:AP$500)))</f>
        <v/>
      </c>
      <c r="DQ12" s="56">
        <f>IF(OR(DQ$4="",$B12=""),0,SUMIF('DADOS BRUTOS'!$A$3:$A$500,$B12,'DADOS BRUTOS'!AQ$3:AQ$500)+IF($C12="",0,SUMIF('DADOS BRUTOS'!$A$3:$A$500,$C12,'DADOS BRUTOS'!AQ$3:AQ$500)))</f>
        <v/>
      </c>
      <c r="DR12" s="56">
        <f>IF(OR(DR$4="",$B12=""),0,SUMIF('DADOS BRUTOS'!$A$3:$A$500,$B12,'DADOS BRUTOS'!AR$3:AR$500)+IF($C12="",0,SUMIF('DADOS BRUTOS'!$A$3:$A$500,$C12,'DADOS BRUTOS'!AR$3:AR$500)))</f>
        <v/>
      </c>
      <c r="DS12" s="56">
        <f>IF(OR(DS$4="",$B12=""),0,SUMIF('DADOS BRUTOS'!$A$3:$A$500,$B12,'DADOS BRUTOS'!AS$3:AS$500)+IF($C12="",0,SUMIF('DADOS BRUTOS'!$A$3:$A$500,$C12,'DADOS BRUTOS'!AS$3:AS$500)))</f>
        <v/>
      </c>
      <c r="DT12" s="56">
        <f>IF(OR(DT$4="",$B12=""),0,SUMIF('DADOS BRUTOS'!$A$3:$A$500,$B12,'DADOS BRUTOS'!AT$3:AT$500)+IF($C12="",0,SUMIF('DADOS BRUTOS'!$A$3:$A$500,$C12,'DADOS BRUTOS'!AT$3:AT$500)))</f>
        <v/>
      </c>
      <c r="DU12" s="56">
        <f>IF(OR(DU$4="",$B12=""),0,SUMIF('DADOS BRUTOS'!$A$3:$A$500,$B12,'DADOS BRUTOS'!AU$3:AU$500)+IF($C12="",0,SUMIF('DADOS BRUTOS'!$A$3:$A$500,$C12,'DADOS BRUTOS'!AU$3:AU$500)))</f>
        <v/>
      </c>
      <c r="DV12" s="56">
        <f>IF(OR(DV$4="",$B12=""),0,SUMIF('DADOS BRUTOS'!$A$3:$A$500,$B12,'DADOS BRUTOS'!AV$3:AV$500)+IF($C12="",0,SUMIF('DADOS BRUTOS'!$A$3:$A$500,$C12,'DADOS BRUTOS'!AV$3:AV$500)))</f>
        <v/>
      </c>
      <c r="DW12" s="56">
        <f>IF(OR(DW$4="",$B12=""),0,SUMIF('DADOS BRUTOS'!$A$3:$A$500,$B12,'DADOS BRUTOS'!AW$3:AW$500)+IF($C12="",0,SUMIF('DADOS BRUTOS'!$A$3:$A$500,$C12,'DADOS BRUTOS'!AW$3:AW$500)))</f>
        <v/>
      </c>
      <c r="DX12" s="56">
        <f>IF(OR(DX$4="",$B12=""),0,SUMIF('DADOS BRUTOS'!$A$3:$A$500,$B12,'DADOS BRUTOS'!AX$3:AX$500)+IF($C12="",0,SUMIF('DADOS BRUTOS'!$A$3:$A$500,$C12,'DADOS BRUTOS'!AX$3:AX$500)))</f>
        <v/>
      </c>
      <c r="DY12" s="56">
        <f>IF(OR(DY$4="",$B12=""),0,SUMIF('DADOS BRUTOS'!$A$3:$A$500,$B12,'DADOS BRUTOS'!AY$3:AY$500)+IF($C12="",0,SUMIF('DADOS BRUTOS'!$A$3:$A$500,$C12,'DADOS BRUTOS'!AY$3:AY$500)))</f>
        <v/>
      </c>
      <c r="DZ12" s="56">
        <f>IF(OR(DZ$4="",$B12=""),0,SUMIF('DADOS BRUTOS'!$A$3:$A$500,$B12,'DADOS BRUTOS'!AZ$3:AZ$500)+IF($C12="",0,SUMIF('DADOS BRUTOS'!$A$3:$A$500,$C12,'DADOS BRUTOS'!AZ$3:AZ$500)))</f>
        <v/>
      </c>
      <c r="EA12" s="56">
        <f>IF(OR(EA$4="",$B12=""),0,SUMIF('DADOS BRUTOS'!$A$3:$A$500,$B12,'DADOS BRUTOS'!BA$3:BA$500)+IF($C12="",0,SUMIF('DADOS BRUTOS'!$A$3:$A$500,$C12,'DADOS BRUTOS'!BA$3:BA$500)))</f>
        <v/>
      </c>
      <c r="EB12" s="56">
        <f>IF(OR(EB$4="",$B12=""),0,SUMIF('DADOS BRUTOS'!$A$3:$A$500,$B12,'DADOS BRUTOS'!BB$3:BB$500)+IF($C12="",0,SUMIF('DADOS BRUTOS'!$A$3:$A$500,$C12,'DADOS BRUTOS'!BB$3:BB$500)))</f>
        <v/>
      </c>
      <c r="EC12" s="56">
        <f>IF(OR(EC$4="",$B12=""),0,SUMIF('DADOS BRUTOS'!$A$3:$A$500,$B12,'DADOS BRUTOS'!BC$3:BC$500)+IF($C12="",0,SUMIF('DADOS BRUTOS'!$A$3:$A$500,$C12,'DADOS BRUTOS'!BC$3:BC$500)))</f>
        <v/>
      </c>
      <c r="ED12" s="56">
        <f>IF(OR(ED$4="",$B12=""),0,SUMIF('DADOS BRUTOS'!$A$3:$A$500,$B12,'DADOS BRUTOS'!BD$3:BD$500)+IF($C12="",0,SUMIF('DADOS BRUTOS'!$A$3:$A$500,$C12,'DADOS BRUTOS'!BD$3:BD$500)))</f>
        <v/>
      </c>
      <c r="EE12" s="56">
        <f>IF(OR(EE$4="",$B12=""),0,SUMIF('DADOS BRUTOS'!$A$3:$A$500,$B12,'DADOS BRUTOS'!BE$3:BE$500)+IF($C12="",0,SUMIF('DADOS BRUTOS'!$A$3:$A$500,$C12,'DADOS BRUTOS'!BE$3:BE$500)))</f>
        <v/>
      </c>
      <c r="EF12" s="56">
        <f>IF(OR(EF$4="",$B12=""),0,SUMIF('DADOS BRUTOS'!$A$3:$A$500,$B12,'DADOS BRUTOS'!BF$3:BF$500)+IF($C12="",0,SUMIF('DADOS BRUTOS'!$A$3:$A$500,$C12,'DADOS BRUTOS'!BF$3:BF$500)))</f>
        <v/>
      </c>
      <c r="EG12" s="56">
        <f>IF(OR(EG$4="",$B12=""),0,SUMIF('DADOS BRUTOS'!$A$3:$A$500,$B12,'DADOS BRUTOS'!BG$3:BG$500)+IF($C12="",0,SUMIF('DADOS BRUTOS'!$A$3:$A$500,$C12,'DADOS BRUTOS'!BG$3:BG$500)))</f>
        <v/>
      </c>
      <c r="EH12" s="56">
        <f>IF(OR(EH$4="",$B12=""),0,SUMIF('DADOS BRUTOS'!$A$3:$A$500,$B12,'DADOS BRUTOS'!BH$3:BH$500)+IF($C12="",0,SUMIF('DADOS BRUTOS'!$A$3:$A$500,$C12,'DADOS BRUTOS'!BH$3:BH$500)))</f>
        <v/>
      </c>
      <c r="EI12" s="56">
        <f>IF(OR(EI$4="",$B12=""),0,SUMIF('DADOS BRUTOS'!$A$3:$A$500,$B12,'DADOS BRUTOS'!BI$3:BI$500)+IF($C12="",0,SUMIF('DADOS BRUTOS'!$A$3:$A$500,$C12,'DADOS BRUTOS'!BI$3:BI$500)))</f>
        <v/>
      </c>
      <c r="EJ12" s="56">
        <f>IF(OR(EJ$4="",$B12=""),0,SUMIF('DADOS BRUTOS'!$A$3:$A$500,$B12,'DADOS BRUTOS'!BJ$3:BJ$500)+IF($C12="",0,SUMIF('DADOS BRUTOS'!$A$3:$A$500,$C12,'DADOS BRUTOS'!BJ$3:BJ$500)))</f>
        <v/>
      </c>
      <c r="EK12" s="56">
        <f>IF(OR(EK$4="",$B12=""),0,SUMIF('DADOS BRUTOS'!$A$3:$A$500,$B12,'DADOS BRUTOS'!BK$3:BK$500)+IF($C12="",0,SUMIF('DADOS BRUTOS'!$A$3:$A$500,$C12,'DADOS BRUTOS'!BK$3:BK$500)))</f>
        <v/>
      </c>
      <c r="EL12" s="56">
        <f>IF(OR(EL$4="",$B12=""),0,SUMIF('DADOS BRUTOS'!$A$3:$A$500,$B12,'DADOS BRUTOS'!BL$3:BL$500)+IF($C12="",0,SUMIF('DADOS BRUTOS'!$A$3:$A$500,$C12,'DADOS BRUTOS'!BL$3:BL$500)))</f>
        <v/>
      </c>
      <c r="EM12" s="56">
        <f>IF(OR(EM$4="",$B12=""),0,SUMIF('DADOS BRUTOS'!$A$3:$A$500,$B12,'DADOS BRUTOS'!BM$3:BM$500)+IF($C12="",0,SUMIF('DADOS BRUTOS'!$A$3:$A$500,$C12,'DADOS BRUTOS'!BM$3:BM$500)))</f>
        <v/>
      </c>
      <c r="EN12" s="56">
        <f>IF(OR(EN$4="",$B12=""),0,SUMIF('DADOS BRUTOS'!$A$3:$A$500,$B12,'DADOS BRUTOS'!BN$3:BN$500)+IF($C12="",0,SUMIF('DADOS BRUTOS'!$A$3:$A$500,$C12,'DADOS BRUTOS'!BN$3:BN$500)))</f>
        <v/>
      </c>
      <c r="EO12" s="56">
        <f>IF(OR(EO$4="",$B12=""),0,SUMIF('DADOS BRUTOS'!$A$3:$A$500,$B12,'DADOS BRUTOS'!BO$3:BO$500)+IF($C12="",0,SUMIF('DADOS BRUTOS'!$A$3:$A$500,$C12,'DADOS BRUTOS'!BO$3:BO$500)))</f>
        <v/>
      </c>
      <c r="EP12" s="56">
        <f>IF(OR(EP$4="",$B12=""),0,SUMIF('DADOS BRUTOS'!$A$3:$A$500,$B12,'DADOS BRUTOS'!BP$3:BP$500)+IF($C12="",0,SUMIF('DADOS BRUTOS'!$A$3:$A$500,$C12,'DADOS BRUTOS'!BP$3:BP$500)))</f>
        <v/>
      </c>
      <c r="EQ12" s="56">
        <f>IF(OR(EQ$4="",$B12=""),0,SUMIF('DADOS BRUTOS'!$A$3:$A$500,$B12,'DADOS BRUTOS'!BQ$3:BQ$500)+IF($C12="",0,SUMIF('DADOS BRUTOS'!$A$3:$A$500,$C12,'DADOS BRUTOS'!BQ$3:BQ$500)))</f>
        <v/>
      </c>
      <c r="ER12" s="56">
        <f>IF(OR(ER$4="",$B12=""),0,SUMIF('DADOS BRUTOS'!$A$3:$A$500,$B12,'DADOS BRUTOS'!BR$3:BR$500)+IF($C12="",0,SUMIF('DADOS BRUTOS'!$A$3:$A$500,$C12,'DADOS BRUTOS'!BR$3:BR$500)))</f>
        <v/>
      </c>
      <c r="ES12" s="56">
        <f>IF(OR(ES$4="",$B12=""),0,SUMIF('DADOS BRUTOS'!$A$3:$A$500,$B12,'DADOS BRUTOS'!BS$3:BS$500)+IF($C12="",0,SUMIF('DADOS BRUTOS'!$A$3:$A$500,$C12,'DADOS BRUTOS'!BS$3:BS$500)))</f>
        <v/>
      </c>
      <c r="ET12" s="56">
        <f>IF(OR(ET$4="",$B12=""),0,SUMIF('DADOS BRUTOS'!$A$3:$A$500,$B12,'DADOS BRUTOS'!BT$3:BT$500)+IF($C12="",0,SUMIF('DADOS BRUTOS'!$A$3:$A$500,$C12,'DADOS BRUTOS'!BT$3:BT$500)))</f>
        <v/>
      </c>
      <c r="EU12" s="56">
        <f>IF(OR(EU$4="",$B12=""),0,SUMIF('DADOS BRUTOS'!$A$3:$A$500,$B12,'DADOS BRUTOS'!BU$3:BU$500)+IF($C12="",0,SUMIF('DADOS BRUTOS'!$A$3:$A$500,$C12,'DADOS BRUTOS'!BU$3:BU$500)))</f>
        <v/>
      </c>
      <c r="EV12" s="56">
        <f>IF(OR(EV$4="",$B12=""),0,SUMIF('DADOS BRUTOS'!$A$3:$A$500,$B12,'DADOS BRUTOS'!BV$3:BV$500)+IF($C12="",0,SUMIF('DADOS BRUTOS'!$A$3:$A$500,$C12,'DADOS BRUTOS'!BV$3:BV$500)))</f>
        <v/>
      </c>
      <c r="EW12" s="56">
        <f>IF(OR(EW$4="",$B12=""),0,SUMIF('DADOS BRUTOS'!$A$3:$A$500,$B12,'DADOS BRUTOS'!BW$3:BW$500)+IF($C12="",0,SUMIF('DADOS BRUTOS'!$A$3:$A$500,$C12,'DADOS BRUTOS'!BW$3:BW$500)))</f>
        <v/>
      </c>
      <c r="EX12" s="56">
        <f>IF(OR(EX$4="",$B12=""),0,SUMIF('DADOS BRUTOS'!$A$3:$A$500,$B12,'DADOS BRUTOS'!BX$3:BX$500)+IF($C12="",0,SUMIF('DADOS BRUTOS'!$A$3:$A$500,$C12,'DADOS BRUTOS'!BX$3:BX$500)))</f>
        <v/>
      </c>
      <c r="EY12" s="56">
        <f>IF(OR(EY$4="",$B12=""),0,SUMIF('DADOS BRUTOS'!$A$3:$A$500,$B12,'DADOS BRUTOS'!BY$3:BY$500)+IF($C12="",0,SUMIF('DADOS BRUTOS'!$A$3:$A$500,$C12,'DADOS BRUTOS'!BY$3:BY$500)))</f>
        <v/>
      </c>
      <c r="EZ12" s="56">
        <f>IF(OR(EZ$4="",$B12=""),0,SUMIF('DADOS BRUTOS'!$A$3:$A$500,$B12,'DADOS BRUTOS'!BZ$3:BZ$500)+IF($C12="",0,SUMIF('DADOS BRUTOS'!$A$3:$A$500,$C12,'DADOS BRUTOS'!BZ$3:BZ$500)))</f>
        <v/>
      </c>
      <c r="FA12" s="56">
        <f>IF(OR(FA$4="",$B12=""),0,SUMIF('DADOS BRUTOS'!$A$3:$A$500,$B12,'DADOS BRUTOS'!CA$3:CA$500)+IF($C12="",0,SUMIF('DADOS BRUTOS'!$A$3:$A$500,$C12,'DADOS BRUTOS'!CA$3:CA$500)))</f>
        <v/>
      </c>
      <c r="FB12" s="56">
        <f>IF(OR(FB$4="",$B12=""),0,SUMIF('DADOS BRUTOS'!$A$3:$A$500,$B12,'DADOS BRUTOS'!CB$3:CB$500)+IF($C12="",0,SUMIF('DADOS BRUTOS'!$A$3:$A$500,$C12,'DADOS BRUTOS'!CB$3:CB$500)))</f>
        <v/>
      </c>
      <c r="FC12" s="56">
        <f>IF(OR(FC$4="",$B12=""),0,SUMIF('DADOS BRUTOS'!$A$3:$A$500,$B12,'DADOS BRUTOS'!CC$3:CC$500)+IF($C12="",0,SUMIF('DADOS BRUTOS'!$A$3:$A$500,$C12,'DADOS BRUTOS'!CC$3:CC$500)))</f>
        <v/>
      </c>
      <c r="FD12" s="56">
        <f>IF(OR(FD$4="",$B12=""),0,SUMIF('DADOS BRUTOS'!$A$3:$A$500,$B12,'DADOS BRUTOS'!CD$3:CD$500)+IF($C12="",0,SUMIF('DADOS BRUTOS'!$A$3:$A$500,$C12,'DADOS BRUTOS'!CD$3:CD$500)))</f>
        <v/>
      </c>
      <c r="FE12" s="56">
        <f>IF(OR(FE$4="",$B12=""),0,SUMIF('DADOS BRUTOS'!$A$3:$A$500,$B12,'DADOS BRUTOS'!CE$3:CE$500)+IF($C12="",0,SUMIF('DADOS BRUTOS'!$A$3:$A$500,$C12,'DADOS BRUTOS'!CE$3:CE$500)))</f>
        <v/>
      </c>
      <c r="FF12" s="56">
        <f>IF(OR(FF$4="",$B12=""),0,SUMIF('DADOS BRUTOS'!$A$3:$A$500,$B12,'DADOS BRUTOS'!CF$3:CF$500)+IF($C12="",0,SUMIF('DADOS BRUTOS'!$A$3:$A$500,$C12,'DADOS BRUTOS'!CF$3:CF$500)))</f>
        <v/>
      </c>
      <c r="FG12" s="56">
        <f>IF(OR(FG$4="",$B12=""),0,SUMIF('DADOS BRUTOS'!$A$3:$A$500,$B12,'DADOS BRUTOS'!CG$3:CG$500)+IF($C12="",0,SUMIF('DADOS BRUTOS'!$A$3:$A$500,$C12,'DADOS BRUTOS'!CG$3:CG$500)))</f>
        <v/>
      </c>
      <c r="FH12" s="56">
        <f>IF(OR(FH$4="",$B12=""),0,SUMIF('DADOS BRUTOS'!$A$3:$A$500,$B12,'DADOS BRUTOS'!CH$3:CH$500)+IF($C12="",0,SUMIF('DADOS BRUTOS'!$A$3:$A$500,$C12,'DADOS BRUTOS'!CH$3:CH$500)))</f>
        <v/>
      </c>
      <c r="FI12" s="56">
        <f>IF(OR(FI$4="",$B12=""),0,SUMIF('DADOS BRUTOS'!$A$3:$A$500,$B12,'DADOS BRUTOS'!CI$3:CI$500)+IF($C12="",0,SUMIF('DADOS BRUTOS'!$A$3:$A$500,$C12,'DADOS BRUTOS'!CI$3:CI$500)))</f>
        <v/>
      </c>
      <c r="FJ12" s="56">
        <f>IF(OR(FJ$4="",$B12=""),0,SUMIF('DADOS BRUTOS'!$A$3:$A$500,$B12,'DADOS BRUTOS'!CJ$3:CJ$500)+IF($C12="",0,SUMIF('DADOS BRUTOS'!$A$3:$A$500,$C12,'DADOS BRUTOS'!CJ$3:CJ$500)))</f>
        <v/>
      </c>
      <c r="FK12" s="56">
        <f>IF(OR(FK$4="",$B12=""),0,SUMIF('DADOS BRUTOS'!$A$3:$A$500,$B12,'DADOS BRUTOS'!CK$3:CK$500)+IF($C12="",0,SUMIF('DADOS BRUTOS'!$A$3:$A$500,$C12,'DADOS BRUTOS'!CK$3:CK$500)))</f>
        <v/>
      </c>
      <c r="FL12" s="56">
        <f>IF(OR(FL$4="",$B12=""),0,SUMIF('DADOS BRUTOS'!$A$3:$A$500,$B12,'DADOS BRUTOS'!CL$3:CL$500)+IF($C12="",0,SUMIF('DADOS BRUTOS'!$A$3:$A$500,$C12,'DADOS BRUTOS'!CL$3:CL$500)))</f>
        <v/>
      </c>
      <c r="FM12" s="56">
        <f>IF(OR(FM$4="",$B12=""),0,SUMIF('DADOS BRUTOS'!$A$3:$A$500,$B12,'DADOS BRUTOS'!CM$3:CM$500)+IF($C12="",0,SUMIF('DADOS BRUTOS'!$A$3:$A$500,$C12,'DADOS BRUTOS'!CM$3:CM$500)))</f>
        <v/>
      </c>
      <c r="FN12" s="56">
        <f>IF(OR(FN$4="",$B12=""),0,SUMIF('DADOS BRUTOS'!$A$3:$A$500,$B12,'DADOS BRUTOS'!CN$3:CN$500)+IF($C12="",0,SUMIF('DADOS BRUTOS'!$A$3:$A$500,$C12,'DADOS BRUTOS'!CN$3:CN$500)))</f>
        <v/>
      </c>
      <c r="FO12" s="56">
        <f>IF(OR(FO$4="",$B12=""),0,SUMIF('DADOS BRUTOS'!$A$3:$A$500,$B12,'DADOS BRUTOS'!CO$3:CO$500)+IF($C12="",0,SUMIF('DADOS BRUTOS'!$A$3:$A$500,$C12,'DADOS BRUTOS'!CO$3:CO$500)))</f>
        <v/>
      </c>
      <c r="FP12" s="56">
        <f>IF(OR(FP$4="",$B12=""),0,SUMIF('DADOS BRUTOS'!$A$3:$A$500,$B12,'DADOS BRUTOS'!CP$3:CP$500)+IF($C12="",0,SUMIF('DADOS BRUTOS'!$A$3:$A$500,$C12,'DADOS BRUTOS'!CP$3:CP$500)))</f>
        <v/>
      </c>
      <c r="FQ12" s="56">
        <f>IF(OR(FQ$4="",$B12=""),0,SUMIF('DADOS BRUTOS'!$A$3:$A$500,$B12,'DADOS BRUTOS'!CQ$3:CQ$500)+IF($C12="",0,SUMIF('DADOS BRUTOS'!$A$3:$A$500,$C12,'DADOS BRUTOS'!CQ$3:CQ$500)))</f>
        <v/>
      </c>
      <c r="FR12" s="56">
        <f>IF(OR(FR$4="",$B12=""),0,SUMIF('DADOS BRUTOS'!$A$3:$A$500,$B12,'DADOS BRUTOS'!CR$3:CR$500)+IF($C12="",0,SUMIF('DADOS BRUTOS'!$A$3:$A$500,$C12,'DADOS BRUTOS'!CR$3:CR$500)))</f>
        <v/>
      </c>
      <c r="FS12" s="56">
        <f>IF(OR(FS$4="",$B12=""),0,SUMIF('DADOS BRUTOS'!$A$3:$A$500,$B12,'DADOS BRUTOS'!CS$3:CS$500)+IF($C12="",0,SUMIF('DADOS BRUTOS'!$A$3:$A$500,$C12,'DADOS BRUTOS'!CS$3:CS$500)))</f>
        <v/>
      </c>
      <c r="FT12" s="56">
        <f>IF(OR(FT$4="",$B12=""),0,SUMIF('DADOS BRUTOS'!$A$3:$A$500,$B12,'DADOS BRUTOS'!CT$3:CT$500)+IF($C12="",0,SUMIF('DADOS BRUTOS'!$A$3:$A$500,$C12,'DADOS BRUTOS'!CT$3:CT$500)))</f>
        <v/>
      </c>
      <c r="FU12" s="56">
        <f>IF(OR(FU$4="",$B12=""),0,SUMIF('DADOS BRUTOS'!$A$3:$A$500,$B12,'DADOS BRUTOS'!CU$3:CU$500)+IF($C12="",0,SUMIF('DADOS BRUTOS'!$A$3:$A$500,$C12,'DADOS BRUTOS'!CU$3:CU$500)))</f>
        <v/>
      </c>
      <c r="FV12" s="56">
        <f>IF(OR(FV$4="",$B12=""),0,SUMIF('DADOS BRUTOS'!$A$3:$A$500,$B12,'DADOS BRUTOS'!CV$3:CV$500)+IF($C12="",0,SUMIF('DADOS BRUTOS'!$A$3:$A$500,$C12,'DADOS BRUTOS'!CV$3:CV$500)))</f>
        <v/>
      </c>
      <c r="FW12" s="56">
        <f>IF(OR(FW$4="",$B12=""),0,SUMIF('DADOS BRUTOS'!$A$3:$A$500,$B12,'DADOS BRUTOS'!CW$3:CW$500)+IF($C12="",0,SUMIF('DADOS BRUTOS'!$A$3:$A$500,$C12,'DADOS BRUTOS'!CW$3:CW$500)))</f>
        <v/>
      </c>
      <c r="FX12" s="56">
        <f>IF(OR(FX$4="",$B12=""),0,SUMIF('DADOS BRUTOS'!$A$3:$A$500,$B12,'DADOS BRUTOS'!CX$3:CX$500)+IF($C12="",0,SUMIF('DADOS BRUTOS'!$A$3:$A$500,$C12,'DADOS BRUTOS'!CX$3:CX$500)))</f>
        <v/>
      </c>
      <c r="FY12" s="56">
        <f>IF(OR(FY$4="",$B12=""),0,SUMIF('DADOS BRUTOS'!$A$3:$A$500,$B12,'DADOS BRUTOS'!CY$3:CY$500)+IF($C12="",0,SUMIF('DADOS BRUTOS'!$A$3:$A$500,$C12,'DADOS BRUTOS'!CY$3:CY$500)))</f>
        <v/>
      </c>
      <c r="FZ12" s="56">
        <f>IF(OR(FZ$4="",$B12=""),0,SUMIF('DADOS BRUTOS'!$A$3:$A$500,$B12,'DADOS BRUTOS'!CZ$3:CZ$500)+IF($C12="",0,SUMIF('DADOS BRUTOS'!$A$3:$A$500,$C12,'DADOS BRUTOS'!CZ$3:CZ$500)))</f>
        <v/>
      </c>
      <c r="GA12" s="56">
        <f>IF(OR(GA$4="",$B12=""),0,SUMIF('DADOS BRUTOS'!$A$3:$A$500,$B12,'DADOS BRUTOS'!DA$3:DA$500)+IF($C12="",0,SUMIF('DADOS BRUTOS'!$A$3:$A$500,$C12,'DADOS BRUTOS'!DA$3:DA$500)))</f>
        <v/>
      </c>
      <c r="GB12" s="56">
        <f>IF(OR(GB$4="",$B12=""),0,SUMIF('DADOS BRUTOS'!$A$3:$A$500,$B12,'DADOS BRUTOS'!DB$3:DB$500)+IF($C12="",0,SUMIF('DADOS BRUTOS'!$A$3:$A$500,$C12,'DADOS BRUTOS'!DB$3:DB$500)))</f>
        <v/>
      </c>
      <c r="GC12" s="56">
        <f>IF(OR(GC$4="",$B12=""),0,SUMIF('DADOS BRUTOS'!$A$3:$A$500,$B12,'DADOS BRUTOS'!DC$3:DC$500)+IF($C12="",0,SUMIF('DADOS BRUTOS'!$A$3:$A$500,$C12,'DADOS BRUTOS'!DC$3:DC$500)))</f>
        <v/>
      </c>
      <c r="GD12" s="56">
        <f>IF(OR(GD$4="",$B12=""),0,SUMIF('DADOS BRUTOS'!$A$3:$A$500,$B12,'DADOS BRUTOS'!DD$3:DD$500)+IF($C12="",0,SUMIF('DADOS BRUTOS'!$A$3:$A$500,$C12,'DADOS BRUTOS'!DD$3:DD$500)))</f>
        <v/>
      </c>
      <c r="GE12" s="56">
        <f>IF(OR(GE$4="",$B12=""),0,SUMIF('DADOS BRUTOS'!$A$3:$A$500,$B12,'DADOS BRUTOS'!DE$3:DE$500)+IF($C12="",0,SUMIF('DADOS BRUTOS'!$A$3:$A$500,$C12,'DADOS BRUTOS'!DE$3:DE$500)))</f>
        <v/>
      </c>
      <c r="GF12" s="56">
        <f>IF(OR(GF$4="",$B12=""),0,SUMIF('DADOS BRUTOS'!$A$3:$A$500,$B12,'DADOS BRUTOS'!DF$3:DF$500)+IF($C12="",0,SUMIF('DADOS BRUTOS'!$A$3:$A$500,$C12,'DADOS BRUTOS'!DF$3:DF$500)))</f>
        <v/>
      </c>
      <c r="GG12" s="56">
        <f>IF(OR(GG$4="",$B12=""),0,SUMIF('DADOS BRUTOS'!$A$3:$A$500,$B12,'DADOS BRUTOS'!DG$3:DG$500)+IF($C12="",0,SUMIF('DADOS BRUTOS'!$A$3:$A$500,$C12,'DADOS BRUTOS'!DG$3:DG$500)))</f>
        <v/>
      </c>
      <c r="GH12" s="56">
        <f>IF(OR(GH$4="",$B12=""),0,SUMIF('DADOS BRUTOS'!$A$3:$A$500,$B12,'DADOS BRUTOS'!DH$3:DH$500)+IF($C12="",0,SUMIF('DADOS BRUTOS'!$A$3:$A$500,$C12,'DADOS BRUTOS'!DH$3:DH$500)))</f>
        <v/>
      </c>
      <c r="GI12" s="56">
        <f>IF(OR(GI$4="",$B12=""),0,SUMIF('DADOS BRUTOS'!$A$3:$A$500,$B12,'DADOS BRUTOS'!DI$3:DI$500)+IF($C12="",0,SUMIF('DADOS BRUTOS'!$A$3:$A$500,$C12,'DADOS BRUTOS'!DI$3:DI$500)))</f>
        <v/>
      </c>
      <c r="GJ12" s="56">
        <f>IF(OR(GJ$4="",$B12=""),0,SUMIF('DADOS BRUTOS'!$A$3:$A$500,$B12,'DADOS BRUTOS'!DJ$3:DJ$500)+IF($C12="",0,SUMIF('DADOS BRUTOS'!$A$3:$A$500,$C12,'DADOS BRUTOS'!DJ$3:DJ$500)))</f>
        <v/>
      </c>
      <c r="GK12" s="56">
        <f>IF(OR(GK$4="",$B12=""),0,SUMIF('DADOS BRUTOS'!$A$3:$A$500,$B12,'DADOS BRUTOS'!DK$3:DK$500)+IF($C12="",0,SUMIF('DADOS BRUTOS'!$A$3:$A$500,$C12,'DADOS BRUTOS'!DK$3:DK$500)))</f>
        <v/>
      </c>
      <c r="GL12" s="56">
        <f>IF(OR(GL$4="",$B12=""),0,SUMIF('DADOS BRUTOS'!$A$3:$A$500,$B12,'DADOS BRUTOS'!DL$3:DL$500)+IF($C12="",0,SUMIF('DADOS BRUTOS'!$A$3:$A$500,$C12,'DADOS BRUTOS'!DL$3:DL$500)))</f>
        <v/>
      </c>
      <c r="GM12" s="56">
        <f>IF(OR(GM$4="",$B12=""),0,SUMIF('DADOS BRUTOS'!$A$3:$A$500,$B12,'DADOS BRUTOS'!DM$3:DM$500)+IF($C12="",0,SUMIF('DADOS BRUTOS'!$A$3:$A$500,$C12,'DADOS BRUTOS'!DM$3:DM$500)))</f>
        <v/>
      </c>
      <c r="GN12" s="56">
        <f>IF(OR(GN$4="",$B12=""),0,SUMIF('DADOS BRUTOS'!$A$3:$A$500,$B12,'DADOS BRUTOS'!DN$3:DN$500)+IF($C12="",0,SUMIF('DADOS BRUTOS'!$A$3:$A$500,$C12,'DADOS BRUTOS'!DN$3:DN$500)))</f>
        <v/>
      </c>
      <c r="GO12" s="56">
        <f>IF(OR(GO$4="",$B12=""),0,SUMIF('DADOS BRUTOS'!$A$3:$A$500,$B12,'DADOS BRUTOS'!DO$3:DO$500)+IF($C12="",0,SUMIF('DADOS BRUTOS'!$A$3:$A$500,$C12,'DADOS BRUTOS'!DO$3:DO$500)))</f>
        <v/>
      </c>
      <c r="GP12" s="56">
        <f>IF(OR(GP$4="",$B12=""),0,SUMIF('DADOS BRUTOS'!$A$3:$A$500,$B12,'DADOS BRUTOS'!DP$3:DP$500)+IF($C12="",0,SUMIF('DADOS BRUTOS'!$A$3:$A$500,$C12,'DADOS BRUTOS'!DP$3:DP$500)))</f>
        <v/>
      </c>
      <c r="GQ12" s="56">
        <f>IF(OR(GQ$4="",$B12=""),0,SUMIF('DADOS BRUTOS'!$A$3:$A$500,$B12,'DADOS BRUTOS'!DQ$3:DQ$500)+IF($C12="",0,SUMIF('DADOS BRUTOS'!$A$3:$A$500,$C12,'DADOS BRUTOS'!DQ$3:DQ$500)))</f>
        <v/>
      </c>
      <c r="GR12" s="56">
        <f>IF(OR(GR$4="",$B12=""),0,SUMIF('DADOS BRUTOS'!$A$3:$A$500,$B12,'DADOS BRUTOS'!DR$3:DR$500)+IF($C12="",0,SUMIF('DADOS BRUTOS'!$A$3:$A$500,$C12,'DADOS BRUTOS'!DR$3:DR$500)))</f>
        <v/>
      </c>
      <c r="GS12" s="56">
        <f>IF(OR(GS$4="",$B12=""),0,SUMIF('DADOS BRUTOS'!$A$3:$A$500,$B12,'DADOS BRUTOS'!DS$3:DS$500)+IF($C12="",0,SUMIF('DADOS BRUTOS'!$A$3:$A$500,$C12,'DADOS BRUTOS'!DS$3:DS$500)))</f>
        <v/>
      </c>
      <c r="GT12" s="56">
        <f>IF(OR(GT$4="",$B12=""),0,SUMIF('DADOS BRUTOS'!$A$3:$A$500,$B12,'DADOS BRUTOS'!DT$3:DT$500)+IF($C12="",0,SUMIF('DADOS BRUTOS'!$A$3:$A$500,$C12,'DADOS BRUTOS'!DT$3:DT$500)))</f>
        <v/>
      </c>
      <c r="GU12" s="56">
        <f>IF(OR(GU$4="",$B12=""),0,SUMIF('DADOS BRUTOS'!$A$3:$A$500,$B12,'DADOS BRUTOS'!DU$3:DU$500)+IF($C12="",0,SUMIF('DADOS BRUTOS'!$A$3:$A$500,$C12,'DADOS BRUTOS'!DU$3:DU$500)))</f>
        <v/>
      </c>
      <c r="GV12" s="56">
        <f>IF(OR(GV$4="",$B12=""),0,SUMIF('DADOS BRUTOS'!$A$3:$A$500,$B12,'DADOS BRUTOS'!DV$3:DV$500)+IF($C12="",0,SUMIF('DADOS BRUTOS'!$A$3:$A$500,$C12,'DADOS BRUTOS'!DV$3:DV$500)))</f>
        <v/>
      </c>
      <c r="GW12" s="56">
        <f>IF(OR(GW$4="",$B12=""),0,SUMIF('DADOS BRUTOS'!$A$3:$A$500,$B12,'DADOS BRUTOS'!DW$3:DW$500)+IF($C12="",0,SUMIF('DADOS BRUTOS'!$A$3:$A$500,$C12,'DADOS BRUTOS'!DW$3:DW$500)))</f>
        <v/>
      </c>
      <c r="GX12" s="56">
        <f>IF(OR(GX$4="",$B12=""),0,SUMIF('DADOS BRUTOS'!$A$3:$A$500,$B12,'DADOS BRUTOS'!DX$3:DX$500)+IF($C12="",0,SUMIF('DADOS BRUTOS'!$A$3:$A$500,$C12,'DADOS BRUTOS'!DX$3:DX$500)))</f>
        <v/>
      </c>
      <c r="GY12" s="56">
        <f>IF(OR(GY$4="",$B12=""),0,SUMIF('DADOS BRUTOS'!$A$3:$A$500,$B12,'DADOS BRUTOS'!DY$3:DY$500)+IF($C12="",0,SUMIF('DADOS BRUTOS'!$A$3:$A$500,$C12,'DADOS BRUTOS'!DY$3:DY$500)))</f>
        <v/>
      </c>
      <c r="GZ12" s="56">
        <f>IF(OR(GZ$4="",$B12=""),0,SUMIF('DADOS BRUTOS'!$A$3:$A$500,$B12,'DADOS BRUTOS'!DZ$3:DZ$500)+IF($C12="",0,SUMIF('DADOS BRUTOS'!$A$3:$A$500,$C12,'DADOS BRUTOS'!DZ$3:DZ$500)))</f>
        <v/>
      </c>
      <c r="HA12" s="56">
        <f>IF(OR(HA$4="",$B12=""),0,SUMIF('DADOS BRUTOS'!$A$3:$A$500,$B12,'DADOS BRUTOS'!EA$3:EA$500)+IF($C12="",0,SUMIF('DADOS BRUTOS'!$A$3:$A$500,$C12,'DADOS BRUTOS'!EA$3:EA$500)))</f>
        <v/>
      </c>
      <c r="HB12" s="56">
        <f>IF(OR(HB$4="",$B12=""),0,SUMIF('DADOS BRUTOS'!$A$3:$A$500,$B12,'DADOS BRUTOS'!EB$3:EB$500)+IF($C12="",0,SUMIF('DADOS BRUTOS'!$A$3:$A$500,$C12,'DADOS BRUTOS'!EB$3:EB$500)))</f>
        <v/>
      </c>
      <c r="HC12" s="56">
        <f>IF(OR(HC$4="",$B12=""),0,SUMIF('DADOS BRUTOS'!$A$3:$A$500,$B12,'DADOS BRUTOS'!EC$3:EC$500)+IF($C12="",0,SUMIF('DADOS BRUTOS'!$A$3:$A$500,$C12,'DADOS BRUTOS'!EC$3:EC$500)))</f>
        <v/>
      </c>
      <c r="HD12" s="56">
        <f>IF(OR(HD$4="",$B12=""),0,SUMIF('DADOS BRUTOS'!$A$3:$A$500,$B12,'DADOS BRUTOS'!ED$3:ED$500)+IF($C12="",0,SUMIF('DADOS BRUTOS'!$A$3:$A$500,$C12,'DADOS BRUTOS'!ED$3:ED$500)))</f>
        <v/>
      </c>
      <c r="HE12" s="56">
        <f>IF(OR(HE$4="",$B12=""),0,SUMIF('DADOS BRUTOS'!$A$3:$A$500,$B12,'DADOS BRUTOS'!EE$3:EE$500)+IF($C12="",0,SUMIF('DADOS BRUTOS'!$A$3:$A$500,$C12,'DADOS BRUTOS'!EE$3:EE$500)))</f>
        <v/>
      </c>
      <c r="HF12" s="56">
        <f>IF(OR(HF$4="",$B12=""),0,SUMIF('DADOS BRUTOS'!$A$3:$A$500,$B12,'DADOS BRUTOS'!EF$3:EF$500)+IF($C12="",0,SUMIF('DADOS BRUTOS'!$A$3:$A$500,$C12,'DADOS BRUTOS'!EF$3:EF$500)))</f>
        <v/>
      </c>
      <c r="HG12" s="56">
        <f>IF(OR(HG$4="",$B12=""),0,SUMIF('DADOS BRUTOS'!$A$3:$A$500,$B12,'DADOS BRUTOS'!EG$3:EG$500)+IF($C12="",0,SUMIF('DADOS BRUTOS'!$A$3:$A$500,$C12,'DADOS BRUTOS'!EG$3:EG$500)))</f>
        <v/>
      </c>
      <c r="HH12" s="56">
        <f>IF(OR(HH$4="",$B12=""),0,SUMIF('DADOS BRUTOS'!$A$3:$A$500,$B12,'DADOS BRUTOS'!EH$3:EH$500)+IF($C12="",0,SUMIF('DADOS BRUTOS'!$A$3:$A$500,$C12,'DADOS BRUTOS'!EH$3:EH$500)))</f>
        <v/>
      </c>
      <c r="HI12" s="56">
        <f>IF(OR(HI$4="",$B12=""),0,SUMIF('DADOS BRUTOS'!$A$3:$A$500,$B12,'DADOS BRUTOS'!EI$3:EI$500)+IF($C12="",0,SUMIF('DADOS BRUTOS'!$A$3:$A$500,$C12,'DADOS BRUTOS'!EI$3:EI$500)))</f>
        <v/>
      </c>
      <c r="HJ12" s="56">
        <f>IF(OR(HJ$4="",$B12=""),0,SUMIF('DADOS BRUTOS'!$A$3:$A$500,$B12,'DADOS BRUTOS'!EJ$3:EJ$500)+IF($C12="",0,SUMIF('DADOS BRUTOS'!$A$3:$A$500,$C12,'DADOS BRUTOS'!EJ$3:EJ$500)))</f>
        <v/>
      </c>
      <c r="HK12" s="56">
        <f>IF(OR(HK$4="",$B12=""),0,SUMIF('DADOS BRUTOS'!$A$3:$A$500,$B12,'DADOS BRUTOS'!EK$3:EK$500)+IF($C12="",0,SUMIF('DADOS BRUTOS'!$A$3:$A$500,$C12,'DADOS BRUTOS'!EK$3:EK$500)))</f>
        <v/>
      </c>
      <c r="HL12" s="56">
        <f>IF(OR(HL$4="",$B12=""),0,SUMIF('DADOS BRUTOS'!$A$3:$A$500,$B12,'DADOS BRUTOS'!EL$3:EL$500)+IF($C12="",0,SUMIF('DADOS BRUTOS'!$A$3:$A$500,$C12,'DADOS BRUTOS'!EL$3:EL$500)))</f>
        <v/>
      </c>
      <c r="HM12" s="56">
        <f>IF(OR(HM$4="",$B12=""),0,SUMIF('DADOS BRUTOS'!$A$3:$A$500,$B12,'DADOS BRUTOS'!EM$3:EM$500)+IF($C12="",0,SUMIF('DADOS BRUTOS'!$A$3:$A$500,$C12,'DADOS BRUTOS'!EM$3:EM$500)))</f>
        <v/>
      </c>
      <c r="HN12" s="56">
        <f>IF(OR(HN$4="",$B12=""),0,SUMIF('DADOS BRUTOS'!$A$3:$A$500,$B12,'DADOS BRUTOS'!EN$3:EN$500)+IF($C12="",0,SUMIF('DADOS BRUTOS'!$A$3:$A$500,$C12,'DADOS BRUTOS'!EN$3:EN$500)))</f>
        <v/>
      </c>
      <c r="HO12" s="56">
        <f>IF(OR(HO$4="",$B12=""),0,SUMIF('DADOS BRUTOS'!$A$3:$A$500,$B12,'DADOS BRUTOS'!EO$3:EO$500)+IF($C12="",0,SUMIF('DADOS BRUTOS'!$A$3:$A$500,$C12,'DADOS BRUTOS'!EO$3:EO$500)))</f>
        <v/>
      </c>
      <c r="HP12" s="56">
        <f>IF(OR(HP$4="",$B12=""),0,SUMIF('DADOS BRUTOS'!$A$3:$A$500,$B12,'DADOS BRUTOS'!EP$3:EP$500)+IF($C12="",0,SUMIF('DADOS BRUTOS'!$A$3:$A$500,$C12,'DADOS BRUTOS'!EP$3:EP$500)))</f>
        <v/>
      </c>
      <c r="HQ12" s="56">
        <f>IF(OR(HQ$4="",$B12=""),0,SUMIF('DADOS BRUTOS'!$A$3:$A$500,$B12,'DADOS BRUTOS'!EQ$3:EQ$500)+IF($C12="",0,SUMIF('DADOS BRUTOS'!$A$3:$A$500,$C12,'DADOS BRUTOS'!EQ$3:EQ$500)))</f>
        <v/>
      </c>
      <c r="HR12" s="56">
        <f>IF(OR(HR$4="",$B12=""),0,SUMIF('DADOS BRUTOS'!$A$3:$A$500,$B12,'DADOS BRUTOS'!ER$3:ER$500)+IF($C12="",0,SUMIF('DADOS BRUTOS'!$A$3:$A$500,$C12,'DADOS BRUTOS'!ER$3:ER$500)))</f>
        <v/>
      </c>
      <c r="HS12" s="56">
        <f>IF(OR(HS$4="",$B12=""),0,SUMIF('DADOS BRUTOS'!$A$3:$A$500,$B12,'DADOS BRUTOS'!ES$3:ES$500)+IF($C12="",0,SUMIF('DADOS BRUTOS'!$A$3:$A$500,$C12,'DADOS BRUTOS'!ES$3:ES$500)))</f>
        <v/>
      </c>
      <c r="HT12" s="56">
        <f>IF(OR(HT$4="",$B12=""),0,SUMIF('DADOS BRUTOS'!$A$3:$A$500,$B12,'DADOS BRUTOS'!ET$3:ET$500)+IF($C12="",0,SUMIF('DADOS BRUTOS'!$A$3:$A$500,$C12,'DADOS BRUTOS'!ET$3:ET$500)))</f>
        <v/>
      </c>
      <c r="HU12" s="56">
        <f>IF(OR(HU$4="",$B12=""),0,SUMIF('DADOS BRUTOS'!$A$3:$A$500,$B12,'DADOS BRUTOS'!EU$3:EU$500)+IF($C12="",0,SUMIF('DADOS BRUTOS'!$A$3:$A$500,$C12,'DADOS BRUTOS'!EU$3:EU$500)))</f>
        <v/>
      </c>
      <c r="HV12" s="56">
        <f>IF(OR(HV$4="",$B12=""),0,SUMIF('DADOS BRUTOS'!$A$3:$A$500,$B12,'DADOS BRUTOS'!EV$3:EV$500)+IF($C12="",0,SUMIF('DADOS BRUTOS'!$A$3:$A$500,$C12,'DADOS BRUTOS'!EV$3:EV$500)))</f>
        <v/>
      </c>
      <c r="HW12" s="56">
        <f>IF(OR(HW$4="",$B12=""),0,SUMIF('DADOS BRUTOS'!$A$3:$A$500,$B12,'DADOS BRUTOS'!EW$3:EW$500)+IF($C12="",0,SUMIF('DADOS BRUTOS'!$A$3:$A$500,$C12,'DADOS BRUTOS'!EW$3:EW$500)))</f>
        <v/>
      </c>
      <c r="HX12" s="56">
        <f>IF(OR(HX$4="",$B12=""),0,SUMIF('DADOS BRUTOS'!$A$3:$A$500,$B12,'DADOS BRUTOS'!EX$3:EX$500)+IF($C12="",0,SUMIF('DADOS BRUTOS'!$A$3:$A$500,$C12,'DADOS BRUTOS'!EX$3:EX$500)))</f>
        <v/>
      </c>
      <c r="HY12" s="56">
        <f>IF(OR(HY$4="",$B12=""),0,SUMIF('DADOS BRUTOS'!$A$3:$A$500,$B12,'DADOS BRUTOS'!EY$3:EY$500)+IF($C12="",0,SUMIF('DADOS BRUTOS'!$A$3:$A$500,$C12,'DADOS BRUTOS'!EY$3:EY$500)))</f>
        <v/>
      </c>
      <c r="HZ12" s="56">
        <f>IF(OR(HZ$4="",$B12=""),0,SUMIF('DADOS BRUTOS'!$A$3:$A$500,$B12,'DADOS BRUTOS'!EZ$3:EZ$500)+IF($C12="",0,SUMIF('DADOS BRUTOS'!$A$3:$A$500,$C12,'DADOS BRUTOS'!EZ$3:EZ$500)))</f>
        <v/>
      </c>
      <c r="IA12" s="56">
        <f>IF(OR(IA$4="",$B12=""),0,SUMIF('DADOS BRUTOS'!$A$3:$A$500,$B12,'DADOS BRUTOS'!FA$3:FA$500)+IF($C12="",0,SUMIF('DADOS BRUTOS'!$A$3:$A$500,$C12,'DADOS BRUTOS'!FA$3:FA$500)))</f>
        <v/>
      </c>
      <c r="IB12" s="56">
        <f>IF(OR(IB$4="",$B12=""),0,SUMIF('DADOS BRUTOS'!$A$3:$A$500,$B12,'DADOS BRUTOS'!FB$3:FB$500)+IF($C12="",0,SUMIF('DADOS BRUTOS'!$A$3:$A$500,$C12,'DADOS BRUTOS'!FB$3:FB$500)))</f>
        <v/>
      </c>
      <c r="IC12" s="56">
        <f>IF(OR(IC$4="",$B12=""),0,SUMIF('DADOS BRUTOS'!$A$3:$A$500,$B12,'DADOS BRUTOS'!FC$3:FC$500)+IF($C12="",0,SUMIF('DADOS BRUTOS'!$A$3:$A$500,$C12,'DADOS BRUTOS'!FC$3:FC$500)))</f>
        <v/>
      </c>
      <c r="ID12" s="56">
        <f>IF(OR(ID$4="",$B12=""),0,SUMIF('DADOS BRUTOS'!$A$3:$A$500,$B12,'DADOS BRUTOS'!FD$3:FD$500)+IF($C12="",0,SUMIF('DADOS BRUTOS'!$A$3:$A$500,$C12,'DADOS BRUTOS'!FD$3:FD$500)))</f>
        <v/>
      </c>
      <c r="IE12" s="56">
        <f>IF(OR(IE$4="",$B12=""),0,SUMIF('DADOS BRUTOS'!$A$3:$A$500,$B12,'DADOS BRUTOS'!FE$3:FE$500)+IF($C12="",0,SUMIF('DADOS BRUTOS'!$A$3:$A$500,$C12,'DADOS BRUTOS'!FE$3:FE$500)))</f>
        <v/>
      </c>
      <c r="IF12" s="56">
        <f>IF(OR(IF$4="",$B12=""),0,SUMIF('DADOS BRUTOS'!$A$3:$A$500,$B12,'DADOS BRUTOS'!FF$3:FF$500)+IF($C12="",0,SUMIF('DADOS BRUTOS'!$A$3:$A$500,$C12,'DADOS BRUTOS'!FF$3:FF$500)))</f>
        <v/>
      </c>
      <c r="IG12" s="56">
        <f>IF(OR(IG$4="",$B12=""),0,SUMIF('DADOS BRUTOS'!$A$3:$A$500,$B12,'DADOS BRUTOS'!FG$3:FG$500)+IF($C12="",0,SUMIF('DADOS BRUTOS'!$A$3:$A$500,$C12,'DADOS BRUTOS'!FG$3:FG$500)))</f>
        <v/>
      </c>
      <c r="IH12" s="56">
        <f>IF(OR(IH$4="",$B12=""),0,SUMIF('DADOS BRUTOS'!$A$3:$A$500,$B12,'DADOS BRUTOS'!FH$3:FH$500)+IF($C12="",0,SUMIF('DADOS BRUTOS'!$A$3:$A$500,$C12,'DADOS BRUTOS'!FH$3:FH$500)))</f>
        <v/>
      </c>
      <c r="II12" s="56">
        <f>IF(OR(II$4="",$B12=""),0,SUMIF('DADOS BRUTOS'!$A$3:$A$500,$B12,'DADOS BRUTOS'!FI$3:FI$500)+IF($C12="",0,SUMIF('DADOS BRUTOS'!$A$3:$A$500,$C12,'DADOS BRUTOS'!FI$3:FI$500)))</f>
        <v/>
      </c>
      <c r="IJ12" s="56">
        <f>IF(OR(IJ$4="",$B12=""),0,SUMIF('DADOS BRUTOS'!$A$3:$A$500,$B12,'DADOS BRUTOS'!FJ$3:FJ$500)+IF($C12="",0,SUMIF('DADOS BRUTOS'!$A$3:$A$500,$C12,'DADOS BRUTOS'!FJ$3:FJ$500)))</f>
        <v/>
      </c>
      <c r="IK12" s="56">
        <f>IF(OR(IK$4="",$B12=""),0,SUMIF('DADOS BRUTOS'!$A$3:$A$500,$B12,'DADOS BRUTOS'!FK$3:FK$500)+IF($C12="",0,SUMIF('DADOS BRUTOS'!$A$3:$A$500,$C12,'DADOS BRUTOS'!FK$3:FK$500)))</f>
        <v/>
      </c>
      <c r="IL12" s="56">
        <f>IF(OR(IL$4="",$B12=""),0,SUMIF('DADOS BRUTOS'!$A$3:$A$500,$B12,'DADOS BRUTOS'!FL$3:FL$500)+IF($C12="",0,SUMIF('DADOS BRUTOS'!$A$3:$A$500,$C12,'DADOS BRUTOS'!FL$3:FL$500)))</f>
        <v/>
      </c>
      <c r="IM12" s="56">
        <f>IF(OR(IM$4="",$B12=""),0,SUMIF('DADOS BRUTOS'!$A$3:$A$500,$B12,'DADOS BRUTOS'!FM$3:FM$500)+IF($C12="",0,SUMIF('DADOS BRUTOS'!$A$3:$A$500,$C12,'DADOS BRUTOS'!FM$3:FM$500)))</f>
        <v/>
      </c>
      <c r="IN12" s="56">
        <f>IF(OR(IN$4="",$B12=""),0,SUMIF('DADOS BRUTOS'!$A$3:$A$500,$B12,'DADOS BRUTOS'!FN$3:FN$500)+IF($C12="",0,SUMIF('DADOS BRUTOS'!$A$3:$A$500,$C12,'DADOS BRUTOS'!FN$3:FN$500)))</f>
        <v/>
      </c>
      <c r="IO12" s="56">
        <f>IF(OR(IO$4="",$B12=""),0,SUMIF('DADOS BRUTOS'!$A$3:$A$500,$B12,'DADOS BRUTOS'!FO$3:FO$500)+IF($C12="",0,SUMIF('DADOS BRUTOS'!$A$3:$A$500,$C12,'DADOS BRUTOS'!FO$3:FO$500)))</f>
        <v/>
      </c>
      <c r="IP12" s="56">
        <f>IF(OR(IP$4="",$B12=""),0,SUMIF('DADOS BRUTOS'!$A$3:$A$500,$B12,'DADOS BRUTOS'!FP$3:FP$500)+IF($C12="",0,SUMIF('DADOS BRUTOS'!$A$3:$A$500,$C12,'DADOS BRUTOS'!FP$3:FP$500)))</f>
        <v/>
      </c>
      <c r="IQ12" s="56">
        <f>IF(OR(IQ$4="",$B12=""),0,SUMIF('DADOS BRUTOS'!$A$3:$A$500,$B12,'DADOS BRUTOS'!FQ$3:FQ$500)+IF($C12="",0,SUMIF('DADOS BRUTOS'!$A$3:$A$500,$C12,'DADOS BRUTOS'!FQ$3:FQ$500)))</f>
        <v/>
      </c>
      <c r="IR12" s="56">
        <f>IF(OR(IR$4="",$B12=""),0,SUMIF('DADOS BRUTOS'!$A$3:$A$500,$B12,'DADOS BRUTOS'!FR$3:FR$500)+IF($C12="",0,SUMIF('DADOS BRUTOS'!$A$3:$A$500,$C12,'DADOS BRUTOS'!FR$3:FR$500)))</f>
        <v/>
      </c>
      <c r="IS12" s="56">
        <f>IF(OR(IS$4="",$B12=""),0,SUMIF('DADOS BRUTOS'!$A$3:$A$500,$B12,'DADOS BRUTOS'!FS$3:FS$500)+IF($C12="",0,SUMIF('DADOS BRUTOS'!$A$3:$A$500,$C12,'DADOS BRUTOS'!FS$3:FS$500)))</f>
        <v/>
      </c>
      <c r="IT12" s="56">
        <f>IF(OR(IT$4="",$B12=""),0,SUMIF('DADOS BRUTOS'!$A$3:$A$500,$B12,'DADOS BRUTOS'!FT$3:FT$500)+IF($C12="",0,SUMIF('DADOS BRUTOS'!$A$3:$A$500,$C12,'DADOS BRUTOS'!FT$3:FT$500)))</f>
        <v/>
      </c>
      <c r="IU12" s="56">
        <f>IF(OR(IU$4="",$B12=""),0,SUMIF('DADOS BRUTOS'!$A$3:$A$500,$B12,'DADOS BRUTOS'!FU$3:FU$500)+IF($C12="",0,SUMIF('DADOS BRUTOS'!$A$3:$A$500,$C12,'DADOS BRUTOS'!FU$3:FU$500)))</f>
        <v/>
      </c>
      <c r="IV12" s="56">
        <f>IF(OR(IV$4="",$B12=""),0,SUMIF('DADOS BRUTOS'!$A$3:$A$500,$B12,'DADOS BRUTOS'!FV$3:FV$500)+IF($C12="",0,SUMIF('DADOS BRUTOS'!$A$3:$A$500,$C12,'DADOS BRUTOS'!FV$3:FV$500)))</f>
        <v/>
      </c>
      <c r="IW12" s="56">
        <f>IF(OR(IW$4="",$B12=""),0,SUMIF('DADOS BRUTOS'!$A$3:$A$500,$B12,'DADOS BRUTOS'!FW$3:FW$500)+IF($C12="",0,SUMIF('DADOS BRUTOS'!$A$3:$A$500,$C12,'DADOS BRUTOS'!FW$3:FW$500)))</f>
        <v/>
      </c>
      <c r="IX12" s="56">
        <f>IF(OR(IX$4="",$B12=""),0,SUMIF('DADOS BRUTOS'!$A$3:$A$500,$B12,'DADOS BRUTOS'!FX$3:FX$500)+IF($C12="",0,SUMIF('DADOS BRUTOS'!$A$3:$A$500,$C12,'DADOS BRUTOS'!FX$3:FX$500)))</f>
        <v/>
      </c>
      <c r="IY12" s="56">
        <f>IF(OR(IY$4="",$B12=""),0,SUMIF('DADOS BRUTOS'!$A$3:$A$500,$B12,'DADOS BRUTOS'!FY$3:FY$500)+IF($C12="",0,SUMIF('DADOS BRUTOS'!$A$3:$A$500,$C12,'DADOS BRUTOS'!FY$3:FY$500)))</f>
        <v/>
      </c>
      <c r="IZ12" s="56">
        <f>IF(OR(IZ$4="",$B12=""),0,SUMIF('DADOS BRUTOS'!$A$3:$A$500,$B12,'DADOS BRUTOS'!FZ$3:FZ$500)+IF($C12="",0,SUMIF('DADOS BRUTOS'!$A$3:$A$500,$C12,'DADOS BRUTOS'!FZ$3:FZ$500)))</f>
        <v/>
      </c>
      <c r="JA12" s="56">
        <f>IF(OR(JA$4="",$B12=""),0,SUMIF('DADOS BRUTOS'!$A$3:$A$500,$B12,'DADOS BRUTOS'!GA$3:GA$500)+IF($C12="",0,SUMIF('DADOS BRUTOS'!$A$3:$A$500,$C12,'DADOS BRUTOS'!GA$3:GA$500)))</f>
        <v/>
      </c>
      <c r="JB12" s="56">
        <f>IF(OR(JB$4="",$B12=""),0,SUMIF('DADOS BRUTOS'!$A$3:$A$500,$B12,'DADOS BRUTOS'!GB$3:GB$500)+IF($C12="",0,SUMIF('DADOS BRUTOS'!$A$3:$A$500,$C12,'DADOS BRUTOS'!GB$3:GB$500)))</f>
        <v/>
      </c>
      <c r="JC12" s="56">
        <f>IF(OR(JC$4="",$B12=""),0,SUMIF('DADOS BRUTOS'!$A$3:$A$500,$B12,'DADOS BRUTOS'!GC$3:GC$500)+IF($C12="",0,SUMIF('DADOS BRUTOS'!$A$3:$A$500,$C12,'DADOS BRUTOS'!GC$3:GC$500)))</f>
        <v/>
      </c>
      <c r="JD12" s="56">
        <f>IF(OR(JD$4="",$B12=""),0,SUMIF('DADOS BRUTOS'!$A$3:$A$500,$B12,'DADOS BRUTOS'!GD$3:GD$500)+IF($C12="",0,SUMIF('DADOS BRUTOS'!$A$3:$A$500,$C12,'DADOS BRUTOS'!GD$3:GD$500)))</f>
        <v/>
      </c>
      <c r="JE12" s="56">
        <f>IF(OR(JE$4="",$B12=""),0,SUMIF('DADOS BRUTOS'!$A$3:$A$500,$B12,'DADOS BRUTOS'!GE$3:GE$500)+IF($C12="",0,SUMIF('DADOS BRUTOS'!$A$3:$A$500,$C12,'DADOS BRUTOS'!GE$3:GE$500)))</f>
        <v/>
      </c>
      <c r="JF12" s="56">
        <f>IF(OR(JF$4="",$B12=""),0,SUMIF('DADOS BRUTOS'!$A$3:$A$500,$B12,'DADOS BRUTOS'!GF$3:GF$500)+IF($C12="",0,SUMIF('DADOS BRUTOS'!$A$3:$A$500,$C12,'DADOS BRUTOS'!GF$3:GF$500)))</f>
        <v/>
      </c>
      <c r="JG12" s="56">
        <f>IF(OR(JG$4="",$B12=""),0,SUMIF('DADOS BRUTOS'!$A$3:$A$500,$B12,'DADOS BRUTOS'!GG$3:GG$500)+IF($C12="",0,SUMIF('DADOS BRUTOS'!$A$3:$A$500,$C12,'DADOS BRUTOS'!GG$3:GG$500)))</f>
        <v/>
      </c>
      <c r="JH12" s="56">
        <f>IF(OR(JH$4="",$B12=""),0,SUMIF('DADOS BRUTOS'!$A$3:$A$500,$B12,'DADOS BRUTOS'!GH$3:GH$500)+IF($C12="",0,SUMIF('DADOS BRUTOS'!$A$3:$A$500,$C12,'DADOS BRUTOS'!GH$3:GH$500)))</f>
        <v/>
      </c>
      <c r="JI12" s="56">
        <f>IF(OR(JI$4="",$B12=""),0,SUMIF('DADOS BRUTOS'!$A$3:$A$500,$B12,'DADOS BRUTOS'!GI$3:GI$500)+IF($C12="",0,SUMIF('DADOS BRUTOS'!$A$3:$A$500,$C12,'DADOS BRUTOS'!GI$3:GI$500)))</f>
        <v/>
      </c>
      <c r="JJ12" s="56">
        <f>IF(OR(JJ$4="",$B12=""),0,SUMIF('DADOS BRUTOS'!$A$3:$A$500,$B12,'DADOS BRUTOS'!GJ$3:GJ$500)+IF($C12="",0,SUMIF('DADOS BRUTOS'!$A$3:$A$500,$C12,'DADOS BRUTOS'!GJ$3:GJ$500)))</f>
        <v/>
      </c>
      <c r="JK12" s="56">
        <f>IF(OR(JK$4="",$B12=""),0,SUMIF('DADOS BRUTOS'!$A$3:$A$500,$B12,'DADOS BRUTOS'!GK$3:GK$500)+IF($C12="",0,SUMIF('DADOS BRUTOS'!$A$3:$A$500,$C12,'DADOS BRUTOS'!GK$3:GK$500)))</f>
        <v/>
      </c>
      <c r="JL12" s="56">
        <f>IF(OR(JL$4="",$B12=""),0,SUMIF('DADOS BRUTOS'!$A$3:$A$500,$B12,'DADOS BRUTOS'!GL$3:GL$500)+IF($C12="",0,SUMIF('DADOS BRUTOS'!$A$3:$A$500,$C12,'DADOS BRUTOS'!GL$3:GL$500)))</f>
        <v/>
      </c>
      <c r="JM12" s="56">
        <f>IF(OR(JM$4="",$B12=""),0,SUMIF('DADOS BRUTOS'!$A$3:$A$500,$B12,'DADOS BRUTOS'!GM$3:GM$500)+IF($C12="",0,SUMIF('DADOS BRUTOS'!$A$3:$A$500,$C12,'DADOS BRUTOS'!GM$3:GM$500)))</f>
        <v/>
      </c>
      <c r="JN12" s="56">
        <f>IF(OR(JN$4="",$B12=""),0,SUMIF('DADOS BRUTOS'!$A$3:$A$500,$B12,'DADOS BRUTOS'!GN$3:GN$500)+IF($C12="",0,SUMIF('DADOS BRUTOS'!$A$3:$A$500,$C12,'DADOS BRUTOS'!GN$3:GN$500)))</f>
        <v/>
      </c>
      <c r="JO12" s="56">
        <f>IF(OR(JO$4="",$B12=""),0,SUMIF('DADOS BRUTOS'!$A$3:$A$500,$B12,'DADOS BRUTOS'!GO$3:GO$500)+IF($C12="",0,SUMIF('DADOS BRUTOS'!$A$3:$A$500,$C12,'DADOS BRUTOS'!GO$3:GO$500)))</f>
        <v/>
      </c>
      <c r="JP12" s="56">
        <f>IF(OR(JP$4="",$B12=""),0,SUMIF('DADOS BRUTOS'!$A$3:$A$500,$B12,'DADOS BRUTOS'!GP$3:GP$500)+IF($C12="",0,SUMIF('DADOS BRUTOS'!$A$3:$A$500,$C12,'DADOS BRUTOS'!GP$3:GP$500)))</f>
        <v/>
      </c>
      <c r="JQ12" s="56">
        <f>IF(OR(JQ$4="",$B12=""),0,SUMIF('DADOS BRUTOS'!$A$3:$A$500,$B12,'DADOS BRUTOS'!GQ$3:GQ$500)+IF($C12="",0,SUMIF('DADOS BRUTOS'!$A$3:$A$500,$C12,'DADOS BRUTOS'!GQ$3:GQ$500)))</f>
        <v/>
      </c>
      <c r="JR12" s="56">
        <f>IF(OR(JR$4="",$B12=""),0,SUMIF('DADOS BRUTOS'!$A$3:$A$500,$B12,'DADOS BRUTOS'!GR$3:GR$500)+IF($C12="",0,SUMIF('DADOS BRUTOS'!$A$3:$A$500,$C12,'DADOS BRUTOS'!GR$3:GR$500)))</f>
        <v/>
      </c>
      <c r="JS12" s="56">
        <f>IF(OR(JS$4="",$B12=""),0,SUMIF('DADOS BRUTOS'!$A$3:$A$500,$B12,'DADOS BRUTOS'!GS$3:GS$500)+IF($C12="",0,SUMIF('DADOS BRUTOS'!$A$3:$A$500,$C12,'DADOS BRUTOS'!GS$3:GS$500)))</f>
        <v/>
      </c>
    </row>
    <row r="13">
      <c r="A13" s="34">
        <f>'VALOR POR PL'!D19</f>
        <v/>
      </c>
      <c r="B13" s="21" t="inlineStr">
        <is>
          <t>CONSULTORIAS (OBRAS)</t>
        </is>
      </c>
      <c r="C13" s="21" t="n"/>
      <c r="D13" s="17">
        <f>SUMIF($CB$4:$JS$4,"&lt;="&amp;D$4,$CB13:$JS13)</f>
        <v/>
      </c>
      <c r="E13" s="17">
        <f>SUMIF($CB$4:$JS$4,E$4,$CB13:$JS13)</f>
        <v/>
      </c>
      <c r="F13" s="17">
        <f>SUMIF($CB$4:$JS$4,F$4,$CB13:$JS13)</f>
        <v/>
      </c>
      <c r="G13" s="17">
        <f>SUMIF($CB$4:$JS$4,G$4,$CB13:$JS13)</f>
        <v/>
      </c>
      <c r="H13" s="17">
        <f>SUMIF($CB$4:$JS$4,H$4,$CB13:$JS13)</f>
        <v/>
      </c>
      <c r="I13" s="17">
        <f>SUMIF($CB$4:$JS$4,I$4,$CB13:$JS13)</f>
        <v/>
      </c>
      <c r="J13" s="17">
        <f>SUMIF($CB$4:$JS$4,J$4,$CB13:$JS13)</f>
        <v/>
      </c>
      <c r="K13" s="17">
        <f>SUMIF($CB$4:$JS$4,K$4,$CB13:$JS13)</f>
        <v/>
      </c>
      <c r="L13" s="17">
        <f>SUMIF($CB$4:$JS$4,L$4,$CB13:$JS13)</f>
        <v/>
      </c>
      <c r="M13" s="17">
        <f>SUMIF($CB$4:$JS$4,M$4,$CB13:$JS13)</f>
        <v/>
      </c>
      <c r="N13" s="17">
        <f>SUMIF($CB$4:$JS$4,N$4,$CB13:$JS13)</f>
        <v/>
      </c>
      <c r="O13" s="17">
        <f>SUMIF($CB$4:$JS$4,O$4,$CB13:$JS13)</f>
        <v/>
      </c>
      <c r="P13" s="17">
        <f>SUMIF($CB$4:$JS$4,P$4,$CB13:$JS13)</f>
        <v/>
      </c>
      <c r="Q13" s="17">
        <f>SUMIF($CB$4:$JS$4,Q$4,$CB13:$JS13)</f>
        <v/>
      </c>
      <c r="R13" s="17">
        <f>SUMIF($CB$4:$JS$4,R$4,$CB13:$JS13)</f>
        <v/>
      </c>
      <c r="S13" s="17">
        <f>SUMIF($CB$4:$JS$4,S$4,$CB13:$JS13)</f>
        <v/>
      </c>
      <c r="T13" s="17">
        <f>SUMIF($CB$4:$JS$4,T$4,$CB13:$JS13)</f>
        <v/>
      </c>
      <c r="U13" s="17">
        <f>SUMIF($CB$4:$JS$4,U$4,$CB13:$JS13)</f>
        <v/>
      </c>
      <c r="V13" s="17">
        <f>SUMIF($CB$4:$JS$4,V$4,$CB13:$JS13)</f>
        <v/>
      </c>
      <c r="W13" s="17">
        <f>SUMIF($CB$4:$JS$4,W$4,$CB13:$JS13)</f>
        <v/>
      </c>
      <c r="X13" s="17">
        <f>SUMIF($CB$4:$JS$4,X$4,$CB13:$JS13)</f>
        <v/>
      </c>
      <c r="Y13" s="17">
        <f>SUMIF($CB$4:$JS$4,Y$4,$CB13:$JS13)</f>
        <v/>
      </c>
      <c r="Z13" s="17">
        <f>SUMIF($CB$4:$JS$4,Z$4,$CB13:$JS13)</f>
        <v/>
      </c>
      <c r="AA13" s="17">
        <f>SUMIF($CB$4:$JS$4,AA$4,$CB13:$JS13)</f>
        <v/>
      </c>
      <c r="AB13" s="17">
        <f>SUMIF($CB$4:$JS$4,AB$4,$CB13:$JS13)</f>
        <v/>
      </c>
      <c r="AC13" s="17">
        <f>SUMIF($CB$4:$JS$4,AC$4,$CB13:$JS13)</f>
        <v/>
      </c>
      <c r="AD13" s="17">
        <f>SUMIF($CB$4:$JS$4,AD$4,$CB13:$JS13)</f>
        <v/>
      </c>
      <c r="AE13" s="17">
        <f>SUMIF($CB$4:$JS$4,AE$4,$CB13:$JS13)</f>
        <v/>
      </c>
      <c r="AF13" s="17">
        <f>SUMIF($CB$4:$JS$4,AF$4,$CB13:$JS13)</f>
        <v/>
      </c>
      <c r="AG13" s="17">
        <f>SUMIF($CB$4:$JS$4,AG$4,$CB13:$JS13)</f>
        <v/>
      </c>
      <c r="AH13" s="17">
        <f>SUMIF($CB$4:$JS$4,AH$4,$CB13:$JS13)</f>
        <v/>
      </c>
      <c r="AI13" s="17">
        <f>SUMIF($CB$4:$JS$4,AI$4,$CB13:$JS13)</f>
        <v/>
      </c>
      <c r="AJ13" s="17">
        <f>SUMIF($CB$4:$JS$4,AJ$4,$CB13:$JS13)</f>
        <v/>
      </c>
      <c r="AK13" s="17">
        <f>SUMIF($CB$4:$JS$4,AK$4,$CB13:$JS13)</f>
        <v/>
      </c>
      <c r="AL13" s="17">
        <f>SUMIF($CB$4:$JS$4,AL$4,$CB13:$JS13)</f>
        <v/>
      </c>
      <c r="AM13" s="17">
        <f>SUMIF($CB$4:$JS$4,AM$4,$CB13:$JS13)</f>
        <v/>
      </c>
      <c r="AN13" s="17">
        <f>SUMIF($CB$4:$JS$4,AN$4,$CB13:$JS13)</f>
        <v/>
      </c>
      <c r="AO13" s="17">
        <f>SUMIF($CB$4:$JS$4,AO$4,$CB13:$JS13)</f>
        <v/>
      </c>
      <c r="AP13" s="17">
        <f>SUMIF($CB$4:$JS$4,AP$4,$CB13:$JS13)</f>
        <v/>
      </c>
      <c r="AQ13" s="17">
        <f>SUMIF($CB$4:$JS$4,AQ$4,$CB13:$JS13)</f>
        <v/>
      </c>
      <c r="AR13" s="17">
        <f>SUMIF($CB$4:$JS$4,AR$4,$CB13:$JS13)</f>
        <v/>
      </c>
      <c r="AS13" s="17">
        <f>SUMIF($CB$4:$JS$4,AS$4,$CB13:$JS13)</f>
        <v/>
      </c>
      <c r="AT13" s="17">
        <f>SUMIF($CB$4:$JS$4,AT$4,$CB13:$JS13)</f>
        <v/>
      </c>
      <c r="AU13" s="17">
        <f>SUMIF($CB$4:$JS$4,AU$4,$CB13:$JS13)</f>
        <v/>
      </c>
      <c r="AV13" s="17">
        <f>SUMIF($CB$4:$JS$4,AV$4,$CB13:$JS13)</f>
        <v/>
      </c>
      <c r="AW13" s="17">
        <f>SUMIF($CB$4:$JS$4,AW$4,$CB13:$JS13)</f>
        <v/>
      </c>
      <c r="AX13" s="17">
        <f>SUMIF($CB$4:$JS$4,AX$4,$CB13:$JS13)</f>
        <v/>
      </c>
      <c r="AY13" s="17">
        <f>SUMIF($CB$4:$JS$4,AY$4,$CB13:$JS13)</f>
        <v/>
      </c>
      <c r="AZ13" s="17">
        <f>SUMIF($CB$4:$JS$4,AZ$4,$CB13:$JS13)</f>
        <v/>
      </c>
      <c r="BA13" s="17">
        <f>SUMIF($CB$4:$JS$4,BA$4,$CB13:$JS13)</f>
        <v/>
      </c>
      <c r="BB13" s="17">
        <f>SUMIF($CB$4:$JS$4,BB$4,$CB13:$JS13)</f>
        <v/>
      </c>
      <c r="BC13" s="17">
        <f>SUMIF($CB$4:$JS$4,BC$4,$CB13:$JS13)</f>
        <v/>
      </c>
      <c r="BD13" s="17">
        <f>SUMIF($CB$4:$JS$4,BD$4,$CB13:$JS13)</f>
        <v/>
      </c>
      <c r="BE13" s="17">
        <f>SUMIF($CB$4:$JS$4,BE$4,$CB13:$JS13)</f>
        <v/>
      </c>
      <c r="BF13" s="17">
        <f>SUMIF($CB$4:$JS$4,BF$4,$CB13:$JS13)</f>
        <v/>
      </c>
      <c r="BG13" s="17">
        <f>SUMIF($CB$4:$JS$4,BG$4,$CB13:$JS13)</f>
        <v/>
      </c>
      <c r="BH13" s="17">
        <f>SUMIF($CB$4:$JS$4,BH$4,$CB13:$JS13)</f>
        <v/>
      </c>
      <c r="BI13" s="17">
        <f>SUMIF($CB$4:$JS$4,BI$4,$CB13:$JS13)</f>
        <v/>
      </c>
      <c r="BJ13" s="17">
        <f>SUMIF($CB$4:$JS$4,BJ$4,$CB13:$JS13)</f>
        <v/>
      </c>
      <c r="BK13" s="17">
        <f>SUMIF($CB$4:$JS$4,BK$4,$CB13:$JS13)</f>
        <v/>
      </c>
      <c r="BL13" s="17">
        <f>SUMIF($CB$4:$JS$4,BL$4,$CB13:$JS13)</f>
        <v/>
      </c>
      <c r="BM13" s="17">
        <f>SUMIF($CB$4:$JS$4,BM$4,$CB13:$JS13)</f>
        <v/>
      </c>
      <c r="BN13" s="17">
        <f>SUMIF($CB$4:$JS$4,BN$4,$CB13:$JS13)</f>
        <v/>
      </c>
      <c r="BO13" s="17">
        <f>SUMIF($CB$4:$JS$4,BO$4,$CB13:$JS13)</f>
        <v/>
      </c>
      <c r="BP13" s="17">
        <f>SUMIF($CB$4:$JS$4,BP$4,$CB13:$JS13)</f>
        <v/>
      </c>
      <c r="BQ13" s="17">
        <f>SUMIF($CB$4:$JS$4,BQ$4,$CB13:$JS13)</f>
        <v/>
      </c>
      <c r="BR13" s="17">
        <f>SUMIF($CB$4:$JS$4,BR$4,$CB13:$JS13)</f>
        <v/>
      </c>
      <c r="BS13" s="17">
        <f>SUMIF($CB$4:$JS$4,BS$4,$CB13:$JS13)</f>
        <v/>
      </c>
      <c r="BT13" s="17">
        <f>SUMIF($CB$4:$JS$4,BT$4,$CB13:$JS13)</f>
        <v/>
      </c>
      <c r="BU13" s="17">
        <f>SUMIF($CB$4:$JS$4,BU$4,$CB13:$JS13)</f>
        <v/>
      </c>
      <c r="BV13" s="17">
        <f>SUMIF($CB$4:$JS$4,BV$4,$CB13:$JS13)</f>
        <v/>
      </c>
      <c r="BW13" s="17">
        <f>SUMIF($CB$4:$JS$4,BW$4,$CB13:$JS13)</f>
        <v/>
      </c>
      <c r="BX13" s="17">
        <f>SUMIF($CB$4:$JS$4,"&gt;"&amp;'VALOR POR PL'!$P$8,$CB13:$JS13)</f>
        <v/>
      </c>
      <c r="BY13" s="17">
        <f>SUM($CB13:$JS13)</f>
        <v/>
      </c>
      <c r="CB13" s="56">
        <f>IF(OR(CB$4="",$B13=""),0,SUMIF('DADOS BRUTOS'!$A$3:$A$500,$B13,'DADOS BRUTOS'!B$3:B$500)+IF($C13="",0,SUMIF('DADOS BRUTOS'!$A$3:$A$500,$C13,'DADOS BRUTOS'!B$3:B$500)))</f>
        <v/>
      </c>
      <c r="CC13" s="56">
        <f>IF(OR(CC$4="",$B13=""),0,SUMIF('DADOS BRUTOS'!$A$3:$A$500,$B13,'DADOS BRUTOS'!C$3:C$500)+IF($C13="",0,SUMIF('DADOS BRUTOS'!$A$3:$A$500,$C13,'DADOS BRUTOS'!C$3:C$500)))</f>
        <v/>
      </c>
      <c r="CD13" s="56">
        <f>IF(OR(CD$4="",$B13=""),0,SUMIF('DADOS BRUTOS'!$A$3:$A$500,$B13,'DADOS BRUTOS'!D$3:D$500)+IF($C13="",0,SUMIF('DADOS BRUTOS'!$A$3:$A$500,$C13,'DADOS BRUTOS'!D$3:D$500)))</f>
        <v/>
      </c>
      <c r="CE13" s="56">
        <f>IF(OR(CE$4="",$B13=""),0,SUMIF('DADOS BRUTOS'!$A$3:$A$500,$B13,'DADOS BRUTOS'!E$3:E$500)+IF($C13="",0,SUMIF('DADOS BRUTOS'!$A$3:$A$500,$C13,'DADOS BRUTOS'!E$3:E$500)))</f>
        <v/>
      </c>
      <c r="CF13" s="56">
        <f>IF(OR(CF$4="",$B13=""),0,SUMIF('DADOS BRUTOS'!$A$3:$A$500,$B13,'DADOS BRUTOS'!F$3:F$500)+IF($C13="",0,SUMIF('DADOS BRUTOS'!$A$3:$A$500,$C13,'DADOS BRUTOS'!F$3:F$500)))</f>
        <v/>
      </c>
      <c r="CG13" s="56">
        <f>IF(OR(CG$4="",$B13=""),0,SUMIF('DADOS BRUTOS'!$A$3:$A$500,$B13,'DADOS BRUTOS'!G$3:G$500)+IF($C13="",0,SUMIF('DADOS BRUTOS'!$A$3:$A$500,$C13,'DADOS BRUTOS'!G$3:G$500)))</f>
        <v/>
      </c>
      <c r="CH13" s="56">
        <f>IF(OR(CH$4="",$B13=""),0,SUMIF('DADOS BRUTOS'!$A$3:$A$500,$B13,'DADOS BRUTOS'!H$3:H$500)+IF($C13="",0,SUMIF('DADOS BRUTOS'!$A$3:$A$500,$C13,'DADOS BRUTOS'!H$3:H$500)))</f>
        <v/>
      </c>
      <c r="CI13" s="56">
        <f>IF(OR(CI$4="",$B13=""),0,SUMIF('DADOS BRUTOS'!$A$3:$A$500,$B13,'DADOS BRUTOS'!I$3:I$500)+IF($C13="",0,SUMIF('DADOS BRUTOS'!$A$3:$A$500,$C13,'DADOS BRUTOS'!I$3:I$500)))</f>
        <v/>
      </c>
      <c r="CJ13" s="56">
        <f>IF(OR(CJ$4="",$B13=""),0,SUMIF('DADOS BRUTOS'!$A$3:$A$500,$B13,'DADOS BRUTOS'!J$3:J$500)+IF($C13="",0,SUMIF('DADOS BRUTOS'!$A$3:$A$500,$C13,'DADOS BRUTOS'!J$3:J$500)))</f>
        <v/>
      </c>
      <c r="CK13" s="56">
        <f>IF(OR(CK$4="",$B13=""),0,SUMIF('DADOS BRUTOS'!$A$3:$A$500,$B13,'DADOS BRUTOS'!K$3:K$500)+IF($C13="",0,SUMIF('DADOS BRUTOS'!$A$3:$A$500,$C13,'DADOS BRUTOS'!K$3:K$500)))</f>
        <v/>
      </c>
      <c r="CL13" s="56">
        <f>IF(OR(CL$4="",$B13=""),0,SUMIF('DADOS BRUTOS'!$A$3:$A$500,$B13,'DADOS BRUTOS'!L$3:L$500)+IF($C13="",0,SUMIF('DADOS BRUTOS'!$A$3:$A$500,$C13,'DADOS BRUTOS'!L$3:L$500)))</f>
        <v/>
      </c>
      <c r="CM13" s="56">
        <f>IF(OR(CM$4="",$B13=""),0,SUMIF('DADOS BRUTOS'!$A$3:$A$500,$B13,'DADOS BRUTOS'!M$3:M$500)+IF($C13="",0,SUMIF('DADOS BRUTOS'!$A$3:$A$500,$C13,'DADOS BRUTOS'!M$3:M$500)))</f>
        <v/>
      </c>
      <c r="CN13" s="56">
        <f>IF(OR(CN$4="",$B13=""),0,SUMIF('DADOS BRUTOS'!$A$3:$A$500,$B13,'DADOS BRUTOS'!N$3:N$500)+IF($C13="",0,SUMIF('DADOS BRUTOS'!$A$3:$A$500,$C13,'DADOS BRUTOS'!N$3:N$500)))</f>
        <v/>
      </c>
      <c r="CO13" s="56">
        <f>IF(OR(CO$4="",$B13=""),0,SUMIF('DADOS BRUTOS'!$A$3:$A$500,$B13,'DADOS BRUTOS'!O$3:O$500)+IF($C13="",0,SUMIF('DADOS BRUTOS'!$A$3:$A$500,$C13,'DADOS BRUTOS'!O$3:O$500)))</f>
        <v/>
      </c>
      <c r="CP13" s="56">
        <f>IF(OR(CP$4="",$B13=""),0,SUMIF('DADOS BRUTOS'!$A$3:$A$500,$B13,'DADOS BRUTOS'!P$3:P$500)+IF($C13="",0,SUMIF('DADOS BRUTOS'!$A$3:$A$500,$C13,'DADOS BRUTOS'!P$3:P$500)))</f>
        <v/>
      </c>
      <c r="CQ13" s="56">
        <f>IF(OR(CQ$4="",$B13=""),0,SUMIF('DADOS BRUTOS'!$A$3:$A$500,$B13,'DADOS BRUTOS'!Q$3:Q$500)+IF($C13="",0,SUMIF('DADOS BRUTOS'!$A$3:$A$500,$C13,'DADOS BRUTOS'!Q$3:Q$500)))</f>
        <v/>
      </c>
      <c r="CR13" s="56">
        <f>IF(OR(CR$4="",$B13=""),0,SUMIF('DADOS BRUTOS'!$A$3:$A$500,$B13,'DADOS BRUTOS'!R$3:R$500)+IF($C13="",0,SUMIF('DADOS BRUTOS'!$A$3:$A$500,$C13,'DADOS BRUTOS'!R$3:R$500)))</f>
        <v/>
      </c>
      <c r="CS13" s="56">
        <f>IF(OR(CS$4="",$B13=""),0,SUMIF('DADOS BRUTOS'!$A$3:$A$500,$B13,'DADOS BRUTOS'!S$3:S$500)+IF($C13="",0,SUMIF('DADOS BRUTOS'!$A$3:$A$500,$C13,'DADOS BRUTOS'!S$3:S$500)))</f>
        <v/>
      </c>
      <c r="CT13" s="56">
        <f>IF(OR(CT$4="",$B13=""),0,SUMIF('DADOS BRUTOS'!$A$3:$A$500,$B13,'DADOS BRUTOS'!T$3:T$500)+IF($C13="",0,SUMIF('DADOS BRUTOS'!$A$3:$A$500,$C13,'DADOS BRUTOS'!T$3:T$500)))</f>
        <v/>
      </c>
      <c r="CU13" s="56">
        <f>IF(OR(CU$4="",$B13=""),0,SUMIF('DADOS BRUTOS'!$A$3:$A$500,$B13,'DADOS BRUTOS'!U$3:U$500)+IF($C13="",0,SUMIF('DADOS BRUTOS'!$A$3:$A$500,$C13,'DADOS BRUTOS'!U$3:U$500)))</f>
        <v/>
      </c>
      <c r="CV13" s="56">
        <f>IF(OR(CV$4="",$B13=""),0,SUMIF('DADOS BRUTOS'!$A$3:$A$500,$B13,'DADOS BRUTOS'!V$3:V$500)+IF($C13="",0,SUMIF('DADOS BRUTOS'!$A$3:$A$500,$C13,'DADOS BRUTOS'!V$3:V$500)))</f>
        <v/>
      </c>
      <c r="CW13" s="56">
        <f>IF(OR(CW$4="",$B13=""),0,SUMIF('DADOS BRUTOS'!$A$3:$A$500,$B13,'DADOS BRUTOS'!W$3:W$500)+IF($C13="",0,SUMIF('DADOS BRUTOS'!$A$3:$A$500,$C13,'DADOS BRUTOS'!W$3:W$500)))</f>
        <v/>
      </c>
      <c r="CX13" s="56">
        <f>IF(OR(CX$4="",$B13=""),0,SUMIF('DADOS BRUTOS'!$A$3:$A$500,$B13,'DADOS BRUTOS'!X$3:X$500)+IF($C13="",0,SUMIF('DADOS BRUTOS'!$A$3:$A$500,$C13,'DADOS BRUTOS'!X$3:X$500)))</f>
        <v/>
      </c>
      <c r="CY13" s="56">
        <f>IF(OR(CY$4="",$B13=""),0,SUMIF('DADOS BRUTOS'!$A$3:$A$500,$B13,'DADOS BRUTOS'!Y$3:Y$500)+IF($C13="",0,SUMIF('DADOS BRUTOS'!$A$3:$A$500,$C13,'DADOS BRUTOS'!Y$3:Y$500)))</f>
        <v/>
      </c>
      <c r="CZ13" s="56">
        <f>IF(OR(CZ$4="",$B13=""),0,SUMIF('DADOS BRUTOS'!$A$3:$A$500,$B13,'DADOS BRUTOS'!Z$3:Z$500)+IF($C13="",0,SUMIF('DADOS BRUTOS'!$A$3:$A$500,$C13,'DADOS BRUTOS'!Z$3:Z$500)))</f>
        <v/>
      </c>
      <c r="DA13" s="56">
        <f>IF(OR(DA$4="",$B13=""),0,SUMIF('DADOS BRUTOS'!$A$3:$A$500,$B13,'DADOS BRUTOS'!AA$3:AA$500)+IF($C13="",0,SUMIF('DADOS BRUTOS'!$A$3:$A$500,$C13,'DADOS BRUTOS'!AA$3:AA$500)))</f>
        <v/>
      </c>
      <c r="DB13" s="56">
        <f>IF(OR(DB$4="",$B13=""),0,SUMIF('DADOS BRUTOS'!$A$3:$A$500,$B13,'DADOS BRUTOS'!AB$3:AB$500)+IF($C13="",0,SUMIF('DADOS BRUTOS'!$A$3:$A$500,$C13,'DADOS BRUTOS'!AB$3:AB$500)))</f>
        <v/>
      </c>
      <c r="DC13" s="56">
        <f>IF(OR(DC$4="",$B13=""),0,SUMIF('DADOS BRUTOS'!$A$3:$A$500,$B13,'DADOS BRUTOS'!AC$3:AC$500)+IF($C13="",0,SUMIF('DADOS BRUTOS'!$A$3:$A$500,$C13,'DADOS BRUTOS'!AC$3:AC$500)))</f>
        <v/>
      </c>
      <c r="DD13" s="56">
        <f>IF(OR(DD$4="",$B13=""),0,SUMIF('DADOS BRUTOS'!$A$3:$A$500,$B13,'DADOS BRUTOS'!AD$3:AD$500)+IF($C13="",0,SUMIF('DADOS BRUTOS'!$A$3:$A$500,$C13,'DADOS BRUTOS'!AD$3:AD$500)))</f>
        <v/>
      </c>
      <c r="DE13" s="56">
        <f>IF(OR(DE$4="",$B13=""),0,SUMIF('DADOS BRUTOS'!$A$3:$A$500,$B13,'DADOS BRUTOS'!AE$3:AE$500)+IF($C13="",0,SUMIF('DADOS BRUTOS'!$A$3:$A$500,$C13,'DADOS BRUTOS'!AE$3:AE$500)))</f>
        <v/>
      </c>
      <c r="DF13" s="56">
        <f>IF(OR(DF$4="",$B13=""),0,SUMIF('DADOS BRUTOS'!$A$3:$A$500,$B13,'DADOS BRUTOS'!AF$3:AF$500)+IF($C13="",0,SUMIF('DADOS BRUTOS'!$A$3:$A$500,$C13,'DADOS BRUTOS'!AF$3:AF$500)))</f>
        <v/>
      </c>
      <c r="DG13" s="56">
        <f>IF(OR(DG$4="",$B13=""),0,SUMIF('DADOS BRUTOS'!$A$3:$A$500,$B13,'DADOS BRUTOS'!AG$3:AG$500)+IF($C13="",0,SUMIF('DADOS BRUTOS'!$A$3:$A$500,$C13,'DADOS BRUTOS'!AG$3:AG$500)))</f>
        <v/>
      </c>
      <c r="DH13" s="56">
        <f>IF(OR(DH$4="",$B13=""),0,SUMIF('DADOS BRUTOS'!$A$3:$A$500,$B13,'DADOS BRUTOS'!AH$3:AH$500)+IF($C13="",0,SUMIF('DADOS BRUTOS'!$A$3:$A$500,$C13,'DADOS BRUTOS'!AH$3:AH$500)))</f>
        <v/>
      </c>
      <c r="DI13" s="56">
        <f>IF(OR(DI$4="",$B13=""),0,SUMIF('DADOS BRUTOS'!$A$3:$A$500,$B13,'DADOS BRUTOS'!AI$3:AI$500)+IF($C13="",0,SUMIF('DADOS BRUTOS'!$A$3:$A$500,$C13,'DADOS BRUTOS'!AI$3:AI$500)))</f>
        <v/>
      </c>
      <c r="DJ13" s="56">
        <f>IF(OR(DJ$4="",$B13=""),0,SUMIF('DADOS BRUTOS'!$A$3:$A$500,$B13,'DADOS BRUTOS'!AJ$3:AJ$500)+IF($C13="",0,SUMIF('DADOS BRUTOS'!$A$3:$A$500,$C13,'DADOS BRUTOS'!AJ$3:AJ$500)))</f>
        <v/>
      </c>
      <c r="DK13" s="56">
        <f>IF(OR(DK$4="",$B13=""),0,SUMIF('DADOS BRUTOS'!$A$3:$A$500,$B13,'DADOS BRUTOS'!AK$3:AK$500)+IF($C13="",0,SUMIF('DADOS BRUTOS'!$A$3:$A$500,$C13,'DADOS BRUTOS'!AK$3:AK$500)))</f>
        <v/>
      </c>
      <c r="DL13" s="56">
        <f>IF(OR(DL$4="",$B13=""),0,SUMIF('DADOS BRUTOS'!$A$3:$A$500,$B13,'DADOS BRUTOS'!AL$3:AL$500)+IF($C13="",0,SUMIF('DADOS BRUTOS'!$A$3:$A$500,$C13,'DADOS BRUTOS'!AL$3:AL$500)))</f>
        <v/>
      </c>
      <c r="DM13" s="56">
        <f>IF(OR(DM$4="",$B13=""),0,SUMIF('DADOS BRUTOS'!$A$3:$A$500,$B13,'DADOS BRUTOS'!AM$3:AM$500)+IF($C13="",0,SUMIF('DADOS BRUTOS'!$A$3:$A$500,$C13,'DADOS BRUTOS'!AM$3:AM$500)))</f>
        <v/>
      </c>
      <c r="DN13" s="56">
        <f>IF(OR(DN$4="",$B13=""),0,SUMIF('DADOS BRUTOS'!$A$3:$A$500,$B13,'DADOS BRUTOS'!AN$3:AN$500)+IF($C13="",0,SUMIF('DADOS BRUTOS'!$A$3:$A$500,$C13,'DADOS BRUTOS'!AN$3:AN$500)))</f>
        <v/>
      </c>
      <c r="DO13" s="56">
        <f>IF(OR(DO$4="",$B13=""),0,SUMIF('DADOS BRUTOS'!$A$3:$A$500,$B13,'DADOS BRUTOS'!AO$3:AO$500)+IF($C13="",0,SUMIF('DADOS BRUTOS'!$A$3:$A$500,$C13,'DADOS BRUTOS'!AO$3:AO$500)))</f>
        <v/>
      </c>
      <c r="DP13" s="56">
        <f>IF(OR(DP$4="",$B13=""),0,SUMIF('DADOS BRUTOS'!$A$3:$A$500,$B13,'DADOS BRUTOS'!AP$3:AP$500)+IF($C13="",0,SUMIF('DADOS BRUTOS'!$A$3:$A$500,$C13,'DADOS BRUTOS'!AP$3:AP$500)))</f>
        <v/>
      </c>
      <c r="DQ13" s="56">
        <f>IF(OR(DQ$4="",$B13=""),0,SUMIF('DADOS BRUTOS'!$A$3:$A$500,$B13,'DADOS BRUTOS'!AQ$3:AQ$500)+IF($C13="",0,SUMIF('DADOS BRUTOS'!$A$3:$A$500,$C13,'DADOS BRUTOS'!AQ$3:AQ$500)))</f>
        <v/>
      </c>
      <c r="DR13" s="56">
        <f>IF(OR(DR$4="",$B13=""),0,SUMIF('DADOS BRUTOS'!$A$3:$A$500,$B13,'DADOS BRUTOS'!AR$3:AR$500)+IF($C13="",0,SUMIF('DADOS BRUTOS'!$A$3:$A$500,$C13,'DADOS BRUTOS'!AR$3:AR$500)))</f>
        <v/>
      </c>
      <c r="DS13" s="56">
        <f>IF(OR(DS$4="",$B13=""),0,SUMIF('DADOS BRUTOS'!$A$3:$A$500,$B13,'DADOS BRUTOS'!AS$3:AS$500)+IF($C13="",0,SUMIF('DADOS BRUTOS'!$A$3:$A$500,$C13,'DADOS BRUTOS'!AS$3:AS$500)))</f>
        <v/>
      </c>
      <c r="DT13" s="56">
        <f>IF(OR(DT$4="",$B13=""),0,SUMIF('DADOS BRUTOS'!$A$3:$A$500,$B13,'DADOS BRUTOS'!AT$3:AT$500)+IF($C13="",0,SUMIF('DADOS BRUTOS'!$A$3:$A$500,$C13,'DADOS BRUTOS'!AT$3:AT$500)))</f>
        <v/>
      </c>
      <c r="DU13" s="56">
        <f>IF(OR(DU$4="",$B13=""),0,SUMIF('DADOS BRUTOS'!$A$3:$A$500,$B13,'DADOS BRUTOS'!AU$3:AU$500)+IF($C13="",0,SUMIF('DADOS BRUTOS'!$A$3:$A$500,$C13,'DADOS BRUTOS'!AU$3:AU$500)))</f>
        <v/>
      </c>
      <c r="DV13" s="56">
        <f>IF(OR(DV$4="",$B13=""),0,SUMIF('DADOS BRUTOS'!$A$3:$A$500,$B13,'DADOS BRUTOS'!AV$3:AV$500)+IF($C13="",0,SUMIF('DADOS BRUTOS'!$A$3:$A$500,$C13,'DADOS BRUTOS'!AV$3:AV$500)))</f>
        <v/>
      </c>
      <c r="DW13" s="56">
        <f>IF(OR(DW$4="",$B13=""),0,SUMIF('DADOS BRUTOS'!$A$3:$A$500,$B13,'DADOS BRUTOS'!AW$3:AW$500)+IF($C13="",0,SUMIF('DADOS BRUTOS'!$A$3:$A$500,$C13,'DADOS BRUTOS'!AW$3:AW$500)))</f>
        <v/>
      </c>
      <c r="DX13" s="56">
        <f>IF(OR(DX$4="",$B13=""),0,SUMIF('DADOS BRUTOS'!$A$3:$A$500,$B13,'DADOS BRUTOS'!AX$3:AX$500)+IF($C13="",0,SUMIF('DADOS BRUTOS'!$A$3:$A$500,$C13,'DADOS BRUTOS'!AX$3:AX$500)))</f>
        <v/>
      </c>
      <c r="DY13" s="56">
        <f>IF(OR(DY$4="",$B13=""),0,SUMIF('DADOS BRUTOS'!$A$3:$A$500,$B13,'DADOS BRUTOS'!AY$3:AY$500)+IF($C13="",0,SUMIF('DADOS BRUTOS'!$A$3:$A$500,$C13,'DADOS BRUTOS'!AY$3:AY$500)))</f>
        <v/>
      </c>
      <c r="DZ13" s="56">
        <f>IF(OR(DZ$4="",$B13=""),0,SUMIF('DADOS BRUTOS'!$A$3:$A$500,$B13,'DADOS BRUTOS'!AZ$3:AZ$500)+IF($C13="",0,SUMIF('DADOS BRUTOS'!$A$3:$A$500,$C13,'DADOS BRUTOS'!AZ$3:AZ$500)))</f>
        <v/>
      </c>
      <c r="EA13" s="56">
        <f>IF(OR(EA$4="",$B13=""),0,SUMIF('DADOS BRUTOS'!$A$3:$A$500,$B13,'DADOS BRUTOS'!BA$3:BA$500)+IF($C13="",0,SUMIF('DADOS BRUTOS'!$A$3:$A$500,$C13,'DADOS BRUTOS'!BA$3:BA$500)))</f>
        <v/>
      </c>
      <c r="EB13" s="56">
        <f>IF(OR(EB$4="",$B13=""),0,SUMIF('DADOS BRUTOS'!$A$3:$A$500,$B13,'DADOS BRUTOS'!BB$3:BB$500)+IF($C13="",0,SUMIF('DADOS BRUTOS'!$A$3:$A$500,$C13,'DADOS BRUTOS'!BB$3:BB$500)))</f>
        <v/>
      </c>
      <c r="EC13" s="56">
        <f>IF(OR(EC$4="",$B13=""),0,SUMIF('DADOS BRUTOS'!$A$3:$A$500,$B13,'DADOS BRUTOS'!BC$3:BC$500)+IF($C13="",0,SUMIF('DADOS BRUTOS'!$A$3:$A$500,$C13,'DADOS BRUTOS'!BC$3:BC$500)))</f>
        <v/>
      </c>
      <c r="ED13" s="56">
        <f>IF(OR(ED$4="",$B13=""),0,SUMIF('DADOS BRUTOS'!$A$3:$A$500,$B13,'DADOS BRUTOS'!BD$3:BD$500)+IF($C13="",0,SUMIF('DADOS BRUTOS'!$A$3:$A$500,$C13,'DADOS BRUTOS'!BD$3:BD$500)))</f>
        <v/>
      </c>
      <c r="EE13" s="56">
        <f>IF(OR(EE$4="",$B13=""),0,SUMIF('DADOS BRUTOS'!$A$3:$A$500,$B13,'DADOS BRUTOS'!BE$3:BE$500)+IF($C13="",0,SUMIF('DADOS BRUTOS'!$A$3:$A$500,$C13,'DADOS BRUTOS'!BE$3:BE$500)))</f>
        <v/>
      </c>
      <c r="EF13" s="56">
        <f>IF(OR(EF$4="",$B13=""),0,SUMIF('DADOS BRUTOS'!$A$3:$A$500,$B13,'DADOS BRUTOS'!BF$3:BF$500)+IF($C13="",0,SUMIF('DADOS BRUTOS'!$A$3:$A$500,$C13,'DADOS BRUTOS'!BF$3:BF$500)))</f>
        <v/>
      </c>
      <c r="EG13" s="56">
        <f>IF(OR(EG$4="",$B13=""),0,SUMIF('DADOS BRUTOS'!$A$3:$A$500,$B13,'DADOS BRUTOS'!BG$3:BG$500)+IF($C13="",0,SUMIF('DADOS BRUTOS'!$A$3:$A$500,$C13,'DADOS BRUTOS'!BG$3:BG$500)))</f>
        <v/>
      </c>
      <c r="EH13" s="56">
        <f>IF(OR(EH$4="",$B13=""),0,SUMIF('DADOS BRUTOS'!$A$3:$A$500,$B13,'DADOS BRUTOS'!BH$3:BH$500)+IF($C13="",0,SUMIF('DADOS BRUTOS'!$A$3:$A$500,$C13,'DADOS BRUTOS'!BH$3:BH$500)))</f>
        <v/>
      </c>
      <c r="EI13" s="56">
        <f>IF(OR(EI$4="",$B13=""),0,SUMIF('DADOS BRUTOS'!$A$3:$A$500,$B13,'DADOS BRUTOS'!BI$3:BI$500)+IF($C13="",0,SUMIF('DADOS BRUTOS'!$A$3:$A$500,$C13,'DADOS BRUTOS'!BI$3:BI$500)))</f>
        <v/>
      </c>
      <c r="EJ13" s="56">
        <f>IF(OR(EJ$4="",$B13=""),0,SUMIF('DADOS BRUTOS'!$A$3:$A$500,$B13,'DADOS BRUTOS'!BJ$3:BJ$500)+IF($C13="",0,SUMIF('DADOS BRUTOS'!$A$3:$A$500,$C13,'DADOS BRUTOS'!BJ$3:BJ$500)))</f>
        <v/>
      </c>
      <c r="EK13" s="56">
        <f>IF(OR(EK$4="",$B13=""),0,SUMIF('DADOS BRUTOS'!$A$3:$A$500,$B13,'DADOS BRUTOS'!BK$3:BK$500)+IF($C13="",0,SUMIF('DADOS BRUTOS'!$A$3:$A$500,$C13,'DADOS BRUTOS'!BK$3:BK$500)))</f>
        <v/>
      </c>
      <c r="EL13" s="56">
        <f>IF(OR(EL$4="",$B13=""),0,SUMIF('DADOS BRUTOS'!$A$3:$A$500,$B13,'DADOS BRUTOS'!BL$3:BL$500)+IF($C13="",0,SUMIF('DADOS BRUTOS'!$A$3:$A$500,$C13,'DADOS BRUTOS'!BL$3:BL$500)))</f>
        <v/>
      </c>
      <c r="EM13" s="56">
        <f>IF(OR(EM$4="",$B13=""),0,SUMIF('DADOS BRUTOS'!$A$3:$A$500,$B13,'DADOS BRUTOS'!BM$3:BM$500)+IF($C13="",0,SUMIF('DADOS BRUTOS'!$A$3:$A$500,$C13,'DADOS BRUTOS'!BM$3:BM$500)))</f>
        <v/>
      </c>
      <c r="EN13" s="56">
        <f>IF(OR(EN$4="",$B13=""),0,SUMIF('DADOS BRUTOS'!$A$3:$A$500,$B13,'DADOS BRUTOS'!BN$3:BN$500)+IF($C13="",0,SUMIF('DADOS BRUTOS'!$A$3:$A$500,$C13,'DADOS BRUTOS'!BN$3:BN$500)))</f>
        <v/>
      </c>
      <c r="EO13" s="56">
        <f>IF(OR(EO$4="",$B13=""),0,SUMIF('DADOS BRUTOS'!$A$3:$A$500,$B13,'DADOS BRUTOS'!BO$3:BO$500)+IF($C13="",0,SUMIF('DADOS BRUTOS'!$A$3:$A$500,$C13,'DADOS BRUTOS'!BO$3:BO$500)))</f>
        <v/>
      </c>
      <c r="EP13" s="56">
        <f>IF(OR(EP$4="",$B13=""),0,SUMIF('DADOS BRUTOS'!$A$3:$A$500,$B13,'DADOS BRUTOS'!BP$3:BP$500)+IF($C13="",0,SUMIF('DADOS BRUTOS'!$A$3:$A$500,$C13,'DADOS BRUTOS'!BP$3:BP$500)))</f>
        <v/>
      </c>
      <c r="EQ13" s="56">
        <f>IF(OR(EQ$4="",$B13=""),0,SUMIF('DADOS BRUTOS'!$A$3:$A$500,$B13,'DADOS BRUTOS'!BQ$3:BQ$500)+IF($C13="",0,SUMIF('DADOS BRUTOS'!$A$3:$A$500,$C13,'DADOS BRUTOS'!BQ$3:BQ$500)))</f>
        <v/>
      </c>
      <c r="ER13" s="56">
        <f>IF(OR(ER$4="",$B13=""),0,SUMIF('DADOS BRUTOS'!$A$3:$A$500,$B13,'DADOS BRUTOS'!BR$3:BR$500)+IF($C13="",0,SUMIF('DADOS BRUTOS'!$A$3:$A$500,$C13,'DADOS BRUTOS'!BR$3:BR$500)))</f>
        <v/>
      </c>
      <c r="ES13" s="56">
        <f>IF(OR(ES$4="",$B13=""),0,SUMIF('DADOS BRUTOS'!$A$3:$A$500,$B13,'DADOS BRUTOS'!BS$3:BS$500)+IF($C13="",0,SUMIF('DADOS BRUTOS'!$A$3:$A$500,$C13,'DADOS BRUTOS'!BS$3:BS$500)))</f>
        <v/>
      </c>
      <c r="ET13" s="56">
        <f>IF(OR(ET$4="",$B13=""),0,SUMIF('DADOS BRUTOS'!$A$3:$A$500,$B13,'DADOS BRUTOS'!BT$3:BT$500)+IF($C13="",0,SUMIF('DADOS BRUTOS'!$A$3:$A$500,$C13,'DADOS BRUTOS'!BT$3:BT$500)))</f>
        <v/>
      </c>
      <c r="EU13" s="56">
        <f>IF(OR(EU$4="",$B13=""),0,SUMIF('DADOS BRUTOS'!$A$3:$A$500,$B13,'DADOS BRUTOS'!BU$3:BU$500)+IF($C13="",0,SUMIF('DADOS BRUTOS'!$A$3:$A$500,$C13,'DADOS BRUTOS'!BU$3:BU$500)))</f>
        <v/>
      </c>
      <c r="EV13" s="56">
        <f>IF(OR(EV$4="",$B13=""),0,SUMIF('DADOS BRUTOS'!$A$3:$A$500,$B13,'DADOS BRUTOS'!BV$3:BV$500)+IF($C13="",0,SUMIF('DADOS BRUTOS'!$A$3:$A$500,$C13,'DADOS BRUTOS'!BV$3:BV$500)))</f>
        <v/>
      </c>
      <c r="EW13" s="56">
        <f>IF(OR(EW$4="",$B13=""),0,SUMIF('DADOS BRUTOS'!$A$3:$A$500,$B13,'DADOS BRUTOS'!BW$3:BW$500)+IF($C13="",0,SUMIF('DADOS BRUTOS'!$A$3:$A$500,$C13,'DADOS BRUTOS'!BW$3:BW$500)))</f>
        <v/>
      </c>
      <c r="EX13" s="56">
        <f>IF(OR(EX$4="",$B13=""),0,SUMIF('DADOS BRUTOS'!$A$3:$A$500,$B13,'DADOS BRUTOS'!BX$3:BX$500)+IF($C13="",0,SUMIF('DADOS BRUTOS'!$A$3:$A$500,$C13,'DADOS BRUTOS'!BX$3:BX$500)))</f>
        <v/>
      </c>
      <c r="EY13" s="56">
        <f>IF(OR(EY$4="",$B13=""),0,SUMIF('DADOS BRUTOS'!$A$3:$A$500,$B13,'DADOS BRUTOS'!BY$3:BY$500)+IF($C13="",0,SUMIF('DADOS BRUTOS'!$A$3:$A$500,$C13,'DADOS BRUTOS'!BY$3:BY$500)))</f>
        <v/>
      </c>
      <c r="EZ13" s="56">
        <f>IF(OR(EZ$4="",$B13=""),0,SUMIF('DADOS BRUTOS'!$A$3:$A$500,$B13,'DADOS BRUTOS'!BZ$3:BZ$500)+IF($C13="",0,SUMIF('DADOS BRUTOS'!$A$3:$A$500,$C13,'DADOS BRUTOS'!BZ$3:BZ$500)))</f>
        <v/>
      </c>
      <c r="FA13" s="56">
        <f>IF(OR(FA$4="",$B13=""),0,SUMIF('DADOS BRUTOS'!$A$3:$A$500,$B13,'DADOS BRUTOS'!CA$3:CA$500)+IF($C13="",0,SUMIF('DADOS BRUTOS'!$A$3:$A$500,$C13,'DADOS BRUTOS'!CA$3:CA$500)))</f>
        <v/>
      </c>
      <c r="FB13" s="56">
        <f>IF(OR(FB$4="",$B13=""),0,SUMIF('DADOS BRUTOS'!$A$3:$A$500,$B13,'DADOS BRUTOS'!CB$3:CB$500)+IF($C13="",0,SUMIF('DADOS BRUTOS'!$A$3:$A$500,$C13,'DADOS BRUTOS'!CB$3:CB$500)))</f>
        <v/>
      </c>
      <c r="FC13" s="56">
        <f>IF(OR(FC$4="",$B13=""),0,SUMIF('DADOS BRUTOS'!$A$3:$A$500,$B13,'DADOS BRUTOS'!CC$3:CC$500)+IF($C13="",0,SUMIF('DADOS BRUTOS'!$A$3:$A$500,$C13,'DADOS BRUTOS'!CC$3:CC$500)))</f>
        <v/>
      </c>
      <c r="FD13" s="56">
        <f>IF(OR(FD$4="",$B13=""),0,SUMIF('DADOS BRUTOS'!$A$3:$A$500,$B13,'DADOS BRUTOS'!CD$3:CD$500)+IF($C13="",0,SUMIF('DADOS BRUTOS'!$A$3:$A$500,$C13,'DADOS BRUTOS'!CD$3:CD$500)))</f>
        <v/>
      </c>
      <c r="FE13" s="56">
        <f>IF(OR(FE$4="",$B13=""),0,SUMIF('DADOS BRUTOS'!$A$3:$A$500,$B13,'DADOS BRUTOS'!CE$3:CE$500)+IF($C13="",0,SUMIF('DADOS BRUTOS'!$A$3:$A$500,$C13,'DADOS BRUTOS'!CE$3:CE$500)))</f>
        <v/>
      </c>
      <c r="FF13" s="56">
        <f>IF(OR(FF$4="",$B13=""),0,SUMIF('DADOS BRUTOS'!$A$3:$A$500,$B13,'DADOS BRUTOS'!CF$3:CF$500)+IF($C13="",0,SUMIF('DADOS BRUTOS'!$A$3:$A$500,$C13,'DADOS BRUTOS'!CF$3:CF$500)))</f>
        <v/>
      </c>
      <c r="FG13" s="56">
        <f>IF(OR(FG$4="",$B13=""),0,SUMIF('DADOS BRUTOS'!$A$3:$A$500,$B13,'DADOS BRUTOS'!CG$3:CG$500)+IF($C13="",0,SUMIF('DADOS BRUTOS'!$A$3:$A$500,$C13,'DADOS BRUTOS'!CG$3:CG$500)))</f>
        <v/>
      </c>
      <c r="FH13" s="56">
        <f>IF(OR(FH$4="",$B13=""),0,SUMIF('DADOS BRUTOS'!$A$3:$A$500,$B13,'DADOS BRUTOS'!CH$3:CH$500)+IF($C13="",0,SUMIF('DADOS BRUTOS'!$A$3:$A$500,$C13,'DADOS BRUTOS'!CH$3:CH$500)))</f>
        <v/>
      </c>
      <c r="FI13" s="56">
        <f>IF(OR(FI$4="",$B13=""),0,SUMIF('DADOS BRUTOS'!$A$3:$A$500,$B13,'DADOS BRUTOS'!CI$3:CI$500)+IF($C13="",0,SUMIF('DADOS BRUTOS'!$A$3:$A$500,$C13,'DADOS BRUTOS'!CI$3:CI$500)))</f>
        <v/>
      </c>
      <c r="FJ13" s="56">
        <f>IF(OR(FJ$4="",$B13=""),0,SUMIF('DADOS BRUTOS'!$A$3:$A$500,$B13,'DADOS BRUTOS'!CJ$3:CJ$500)+IF($C13="",0,SUMIF('DADOS BRUTOS'!$A$3:$A$500,$C13,'DADOS BRUTOS'!CJ$3:CJ$500)))</f>
        <v/>
      </c>
      <c r="FK13" s="56">
        <f>IF(OR(FK$4="",$B13=""),0,SUMIF('DADOS BRUTOS'!$A$3:$A$500,$B13,'DADOS BRUTOS'!CK$3:CK$500)+IF($C13="",0,SUMIF('DADOS BRUTOS'!$A$3:$A$500,$C13,'DADOS BRUTOS'!CK$3:CK$500)))</f>
        <v/>
      </c>
      <c r="FL13" s="56">
        <f>IF(OR(FL$4="",$B13=""),0,SUMIF('DADOS BRUTOS'!$A$3:$A$500,$B13,'DADOS BRUTOS'!CL$3:CL$500)+IF($C13="",0,SUMIF('DADOS BRUTOS'!$A$3:$A$500,$C13,'DADOS BRUTOS'!CL$3:CL$500)))</f>
        <v/>
      </c>
      <c r="FM13" s="56">
        <f>IF(OR(FM$4="",$B13=""),0,SUMIF('DADOS BRUTOS'!$A$3:$A$500,$B13,'DADOS BRUTOS'!CM$3:CM$500)+IF($C13="",0,SUMIF('DADOS BRUTOS'!$A$3:$A$500,$C13,'DADOS BRUTOS'!CM$3:CM$500)))</f>
        <v/>
      </c>
      <c r="FN13" s="56">
        <f>IF(OR(FN$4="",$B13=""),0,SUMIF('DADOS BRUTOS'!$A$3:$A$500,$B13,'DADOS BRUTOS'!CN$3:CN$500)+IF($C13="",0,SUMIF('DADOS BRUTOS'!$A$3:$A$500,$C13,'DADOS BRUTOS'!CN$3:CN$500)))</f>
        <v/>
      </c>
      <c r="FO13" s="56">
        <f>IF(OR(FO$4="",$B13=""),0,SUMIF('DADOS BRUTOS'!$A$3:$A$500,$B13,'DADOS BRUTOS'!CO$3:CO$500)+IF($C13="",0,SUMIF('DADOS BRUTOS'!$A$3:$A$500,$C13,'DADOS BRUTOS'!CO$3:CO$500)))</f>
        <v/>
      </c>
      <c r="FP13" s="56">
        <f>IF(OR(FP$4="",$B13=""),0,SUMIF('DADOS BRUTOS'!$A$3:$A$500,$B13,'DADOS BRUTOS'!CP$3:CP$500)+IF($C13="",0,SUMIF('DADOS BRUTOS'!$A$3:$A$500,$C13,'DADOS BRUTOS'!CP$3:CP$500)))</f>
        <v/>
      </c>
      <c r="FQ13" s="56">
        <f>IF(OR(FQ$4="",$B13=""),0,SUMIF('DADOS BRUTOS'!$A$3:$A$500,$B13,'DADOS BRUTOS'!CQ$3:CQ$500)+IF($C13="",0,SUMIF('DADOS BRUTOS'!$A$3:$A$500,$C13,'DADOS BRUTOS'!CQ$3:CQ$500)))</f>
        <v/>
      </c>
      <c r="FR13" s="56">
        <f>IF(OR(FR$4="",$B13=""),0,SUMIF('DADOS BRUTOS'!$A$3:$A$500,$B13,'DADOS BRUTOS'!CR$3:CR$500)+IF($C13="",0,SUMIF('DADOS BRUTOS'!$A$3:$A$500,$C13,'DADOS BRUTOS'!CR$3:CR$500)))</f>
        <v/>
      </c>
      <c r="FS13" s="56">
        <f>IF(OR(FS$4="",$B13=""),0,SUMIF('DADOS BRUTOS'!$A$3:$A$500,$B13,'DADOS BRUTOS'!CS$3:CS$500)+IF($C13="",0,SUMIF('DADOS BRUTOS'!$A$3:$A$500,$C13,'DADOS BRUTOS'!CS$3:CS$500)))</f>
        <v/>
      </c>
      <c r="FT13" s="56">
        <f>IF(OR(FT$4="",$B13=""),0,SUMIF('DADOS BRUTOS'!$A$3:$A$500,$B13,'DADOS BRUTOS'!CT$3:CT$500)+IF($C13="",0,SUMIF('DADOS BRUTOS'!$A$3:$A$500,$C13,'DADOS BRUTOS'!CT$3:CT$500)))</f>
        <v/>
      </c>
      <c r="FU13" s="56">
        <f>IF(OR(FU$4="",$B13=""),0,SUMIF('DADOS BRUTOS'!$A$3:$A$500,$B13,'DADOS BRUTOS'!CU$3:CU$500)+IF($C13="",0,SUMIF('DADOS BRUTOS'!$A$3:$A$500,$C13,'DADOS BRUTOS'!CU$3:CU$500)))</f>
        <v/>
      </c>
      <c r="FV13" s="56">
        <f>IF(OR(FV$4="",$B13=""),0,SUMIF('DADOS BRUTOS'!$A$3:$A$500,$B13,'DADOS BRUTOS'!CV$3:CV$500)+IF($C13="",0,SUMIF('DADOS BRUTOS'!$A$3:$A$500,$C13,'DADOS BRUTOS'!CV$3:CV$500)))</f>
        <v/>
      </c>
      <c r="FW13" s="56">
        <f>IF(OR(FW$4="",$B13=""),0,SUMIF('DADOS BRUTOS'!$A$3:$A$500,$B13,'DADOS BRUTOS'!CW$3:CW$500)+IF($C13="",0,SUMIF('DADOS BRUTOS'!$A$3:$A$500,$C13,'DADOS BRUTOS'!CW$3:CW$500)))</f>
        <v/>
      </c>
      <c r="FX13" s="56">
        <f>IF(OR(FX$4="",$B13=""),0,SUMIF('DADOS BRUTOS'!$A$3:$A$500,$B13,'DADOS BRUTOS'!CX$3:CX$500)+IF($C13="",0,SUMIF('DADOS BRUTOS'!$A$3:$A$500,$C13,'DADOS BRUTOS'!CX$3:CX$500)))</f>
        <v/>
      </c>
      <c r="FY13" s="56">
        <f>IF(OR(FY$4="",$B13=""),0,SUMIF('DADOS BRUTOS'!$A$3:$A$500,$B13,'DADOS BRUTOS'!CY$3:CY$500)+IF($C13="",0,SUMIF('DADOS BRUTOS'!$A$3:$A$500,$C13,'DADOS BRUTOS'!CY$3:CY$500)))</f>
        <v/>
      </c>
      <c r="FZ13" s="56">
        <f>IF(OR(FZ$4="",$B13=""),0,SUMIF('DADOS BRUTOS'!$A$3:$A$500,$B13,'DADOS BRUTOS'!CZ$3:CZ$500)+IF($C13="",0,SUMIF('DADOS BRUTOS'!$A$3:$A$500,$C13,'DADOS BRUTOS'!CZ$3:CZ$500)))</f>
        <v/>
      </c>
      <c r="GA13" s="56">
        <f>IF(OR(GA$4="",$B13=""),0,SUMIF('DADOS BRUTOS'!$A$3:$A$500,$B13,'DADOS BRUTOS'!DA$3:DA$500)+IF($C13="",0,SUMIF('DADOS BRUTOS'!$A$3:$A$500,$C13,'DADOS BRUTOS'!DA$3:DA$500)))</f>
        <v/>
      </c>
      <c r="GB13" s="56">
        <f>IF(OR(GB$4="",$B13=""),0,SUMIF('DADOS BRUTOS'!$A$3:$A$500,$B13,'DADOS BRUTOS'!DB$3:DB$500)+IF($C13="",0,SUMIF('DADOS BRUTOS'!$A$3:$A$500,$C13,'DADOS BRUTOS'!DB$3:DB$500)))</f>
        <v/>
      </c>
      <c r="GC13" s="56">
        <f>IF(OR(GC$4="",$B13=""),0,SUMIF('DADOS BRUTOS'!$A$3:$A$500,$B13,'DADOS BRUTOS'!DC$3:DC$500)+IF($C13="",0,SUMIF('DADOS BRUTOS'!$A$3:$A$500,$C13,'DADOS BRUTOS'!DC$3:DC$500)))</f>
        <v/>
      </c>
      <c r="GD13" s="56">
        <f>IF(OR(GD$4="",$B13=""),0,SUMIF('DADOS BRUTOS'!$A$3:$A$500,$B13,'DADOS BRUTOS'!DD$3:DD$500)+IF($C13="",0,SUMIF('DADOS BRUTOS'!$A$3:$A$500,$C13,'DADOS BRUTOS'!DD$3:DD$500)))</f>
        <v/>
      </c>
      <c r="GE13" s="56">
        <f>IF(OR(GE$4="",$B13=""),0,SUMIF('DADOS BRUTOS'!$A$3:$A$500,$B13,'DADOS BRUTOS'!DE$3:DE$500)+IF($C13="",0,SUMIF('DADOS BRUTOS'!$A$3:$A$500,$C13,'DADOS BRUTOS'!DE$3:DE$500)))</f>
        <v/>
      </c>
      <c r="GF13" s="56">
        <f>IF(OR(GF$4="",$B13=""),0,SUMIF('DADOS BRUTOS'!$A$3:$A$500,$B13,'DADOS BRUTOS'!DF$3:DF$500)+IF($C13="",0,SUMIF('DADOS BRUTOS'!$A$3:$A$500,$C13,'DADOS BRUTOS'!DF$3:DF$500)))</f>
        <v/>
      </c>
      <c r="GG13" s="56">
        <f>IF(OR(GG$4="",$B13=""),0,SUMIF('DADOS BRUTOS'!$A$3:$A$500,$B13,'DADOS BRUTOS'!DG$3:DG$500)+IF($C13="",0,SUMIF('DADOS BRUTOS'!$A$3:$A$500,$C13,'DADOS BRUTOS'!DG$3:DG$500)))</f>
        <v/>
      </c>
      <c r="GH13" s="56">
        <f>IF(OR(GH$4="",$B13=""),0,SUMIF('DADOS BRUTOS'!$A$3:$A$500,$B13,'DADOS BRUTOS'!DH$3:DH$500)+IF($C13="",0,SUMIF('DADOS BRUTOS'!$A$3:$A$500,$C13,'DADOS BRUTOS'!DH$3:DH$500)))</f>
        <v/>
      </c>
      <c r="GI13" s="56">
        <f>IF(OR(GI$4="",$B13=""),0,SUMIF('DADOS BRUTOS'!$A$3:$A$500,$B13,'DADOS BRUTOS'!DI$3:DI$500)+IF($C13="",0,SUMIF('DADOS BRUTOS'!$A$3:$A$500,$C13,'DADOS BRUTOS'!DI$3:DI$500)))</f>
        <v/>
      </c>
      <c r="GJ13" s="56">
        <f>IF(OR(GJ$4="",$B13=""),0,SUMIF('DADOS BRUTOS'!$A$3:$A$500,$B13,'DADOS BRUTOS'!DJ$3:DJ$500)+IF($C13="",0,SUMIF('DADOS BRUTOS'!$A$3:$A$500,$C13,'DADOS BRUTOS'!DJ$3:DJ$500)))</f>
        <v/>
      </c>
      <c r="GK13" s="56">
        <f>IF(OR(GK$4="",$B13=""),0,SUMIF('DADOS BRUTOS'!$A$3:$A$500,$B13,'DADOS BRUTOS'!DK$3:DK$500)+IF($C13="",0,SUMIF('DADOS BRUTOS'!$A$3:$A$500,$C13,'DADOS BRUTOS'!DK$3:DK$500)))</f>
        <v/>
      </c>
      <c r="GL13" s="56">
        <f>IF(OR(GL$4="",$B13=""),0,SUMIF('DADOS BRUTOS'!$A$3:$A$500,$B13,'DADOS BRUTOS'!DL$3:DL$500)+IF($C13="",0,SUMIF('DADOS BRUTOS'!$A$3:$A$500,$C13,'DADOS BRUTOS'!DL$3:DL$500)))</f>
        <v/>
      </c>
      <c r="GM13" s="56">
        <f>IF(OR(GM$4="",$B13=""),0,SUMIF('DADOS BRUTOS'!$A$3:$A$500,$B13,'DADOS BRUTOS'!DM$3:DM$500)+IF($C13="",0,SUMIF('DADOS BRUTOS'!$A$3:$A$500,$C13,'DADOS BRUTOS'!DM$3:DM$500)))</f>
        <v/>
      </c>
      <c r="GN13" s="56">
        <f>IF(OR(GN$4="",$B13=""),0,SUMIF('DADOS BRUTOS'!$A$3:$A$500,$B13,'DADOS BRUTOS'!DN$3:DN$500)+IF($C13="",0,SUMIF('DADOS BRUTOS'!$A$3:$A$500,$C13,'DADOS BRUTOS'!DN$3:DN$500)))</f>
        <v/>
      </c>
      <c r="GO13" s="56">
        <f>IF(OR(GO$4="",$B13=""),0,SUMIF('DADOS BRUTOS'!$A$3:$A$500,$B13,'DADOS BRUTOS'!DO$3:DO$500)+IF($C13="",0,SUMIF('DADOS BRUTOS'!$A$3:$A$500,$C13,'DADOS BRUTOS'!DO$3:DO$500)))</f>
        <v/>
      </c>
      <c r="GP13" s="56">
        <f>IF(OR(GP$4="",$B13=""),0,SUMIF('DADOS BRUTOS'!$A$3:$A$500,$B13,'DADOS BRUTOS'!DP$3:DP$500)+IF($C13="",0,SUMIF('DADOS BRUTOS'!$A$3:$A$500,$C13,'DADOS BRUTOS'!DP$3:DP$500)))</f>
        <v/>
      </c>
      <c r="GQ13" s="56">
        <f>IF(OR(GQ$4="",$B13=""),0,SUMIF('DADOS BRUTOS'!$A$3:$A$500,$B13,'DADOS BRUTOS'!DQ$3:DQ$500)+IF($C13="",0,SUMIF('DADOS BRUTOS'!$A$3:$A$500,$C13,'DADOS BRUTOS'!DQ$3:DQ$500)))</f>
        <v/>
      </c>
      <c r="GR13" s="56">
        <f>IF(OR(GR$4="",$B13=""),0,SUMIF('DADOS BRUTOS'!$A$3:$A$500,$B13,'DADOS BRUTOS'!DR$3:DR$500)+IF($C13="",0,SUMIF('DADOS BRUTOS'!$A$3:$A$500,$C13,'DADOS BRUTOS'!DR$3:DR$500)))</f>
        <v/>
      </c>
      <c r="GS13" s="56">
        <f>IF(OR(GS$4="",$B13=""),0,SUMIF('DADOS BRUTOS'!$A$3:$A$500,$B13,'DADOS BRUTOS'!DS$3:DS$500)+IF($C13="",0,SUMIF('DADOS BRUTOS'!$A$3:$A$500,$C13,'DADOS BRUTOS'!DS$3:DS$500)))</f>
        <v/>
      </c>
      <c r="GT13" s="56">
        <f>IF(OR(GT$4="",$B13=""),0,SUMIF('DADOS BRUTOS'!$A$3:$A$500,$B13,'DADOS BRUTOS'!DT$3:DT$500)+IF($C13="",0,SUMIF('DADOS BRUTOS'!$A$3:$A$500,$C13,'DADOS BRUTOS'!DT$3:DT$500)))</f>
        <v/>
      </c>
      <c r="GU13" s="56">
        <f>IF(OR(GU$4="",$B13=""),0,SUMIF('DADOS BRUTOS'!$A$3:$A$500,$B13,'DADOS BRUTOS'!DU$3:DU$500)+IF($C13="",0,SUMIF('DADOS BRUTOS'!$A$3:$A$500,$C13,'DADOS BRUTOS'!DU$3:DU$500)))</f>
        <v/>
      </c>
      <c r="GV13" s="56">
        <f>IF(OR(GV$4="",$B13=""),0,SUMIF('DADOS BRUTOS'!$A$3:$A$500,$B13,'DADOS BRUTOS'!DV$3:DV$500)+IF($C13="",0,SUMIF('DADOS BRUTOS'!$A$3:$A$500,$C13,'DADOS BRUTOS'!DV$3:DV$500)))</f>
        <v/>
      </c>
      <c r="GW13" s="56">
        <f>IF(OR(GW$4="",$B13=""),0,SUMIF('DADOS BRUTOS'!$A$3:$A$500,$B13,'DADOS BRUTOS'!DW$3:DW$500)+IF($C13="",0,SUMIF('DADOS BRUTOS'!$A$3:$A$500,$C13,'DADOS BRUTOS'!DW$3:DW$500)))</f>
        <v/>
      </c>
      <c r="GX13" s="56">
        <f>IF(OR(GX$4="",$B13=""),0,SUMIF('DADOS BRUTOS'!$A$3:$A$500,$B13,'DADOS BRUTOS'!DX$3:DX$500)+IF($C13="",0,SUMIF('DADOS BRUTOS'!$A$3:$A$500,$C13,'DADOS BRUTOS'!DX$3:DX$500)))</f>
        <v/>
      </c>
      <c r="GY13" s="56">
        <f>IF(OR(GY$4="",$B13=""),0,SUMIF('DADOS BRUTOS'!$A$3:$A$500,$B13,'DADOS BRUTOS'!DY$3:DY$500)+IF($C13="",0,SUMIF('DADOS BRUTOS'!$A$3:$A$500,$C13,'DADOS BRUTOS'!DY$3:DY$500)))</f>
        <v/>
      </c>
      <c r="GZ13" s="56">
        <f>IF(OR(GZ$4="",$B13=""),0,SUMIF('DADOS BRUTOS'!$A$3:$A$500,$B13,'DADOS BRUTOS'!DZ$3:DZ$500)+IF($C13="",0,SUMIF('DADOS BRUTOS'!$A$3:$A$500,$C13,'DADOS BRUTOS'!DZ$3:DZ$500)))</f>
        <v/>
      </c>
      <c r="HA13" s="56">
        <f>IF(OR(HA$4="",$B13=""),0,SUMIF('DADOS BRUTOS'!$A$3:$A$500,$B13,'DADOS BRUTOS'!EA$3:EA$500)+IF($C13="",0,SUMIF('DADOS BRUTOS'!$A$3:$A$500,$C13,'DADOS BRUTOS'!EA$3:EA$500)))</f>
        <v/>
      </c>
      <c r="HB13" s="56">
        <f>IF(OR(HB$4="",$B13=""),0,SUMIF('DADOS BRUTOS'!$A$3:$A$500,$B13,'DADOS BRUTOS'!EB$3:EB$500)+IF($C13="",0,SUMIF('DADOS BRUTOS'!$A$3:$A$500,$C13,'DADOS BRUTOS'!EB$3:EB$500)))</f>
        <v/>
      </c>
      <c r="HC13" s="56">
        <f>IF(OR(HC$4="",$B13=""),0,SUMIF('DADOS BRUTOS'!$A$3:$A$500,$B13,'DADOS BRUTOS'!EC$3:EC$500)+IF($C13="",0,SUMIF('DADOS BRUTOS'!$A$3:$A$500,$C13,'DADOS BRUTOS'!EC$3:EC$500)))</f>
        <v/>
      </c>
      <c r="HD13" s="56">
        <f>IF(OR(HD$4="",$B13=""),0,SUMIF('DADOS BRUTOS'!$A$3:$A$500,$B13,'DADOS BRUTOS'!ED$3:ED$500)+IF($C13="",0,SUMIF('DADOS BRUTOS'!$A$3:$A$500,$C13,'DADOS BRUTOS'!ED$3:ED$500)))</f>
        <v/>
      </c>
      <c r="HE13" s="56">
        <f>IF(OR(HE$4="",$B13=""),0,SUMIF('DADOS BRUTOS'!$A$3:$A$500,$B13,'DADOS BRUTOS'!EE$3:EE$500)+IF($C13="",0,SUMIF('DADOS BRUTOS'!$A$3:$A$500,$C13,'DADOS BRUTOS'!EE$3:EE$500)))</f>
        <v/>
      </c>
      <c r="HF13" s="56">
        <f>IF(OR(HF$4="",$B13=""),0,SUMIF('DADOS BRUTOS'!$A$3:$A$500,$B13,'DADOS BRUTOS'!EF$3:EF$500)+IF($C13="",0,SUMIF('DADOS BRUTOS'!$A$3:$A$500,$C13,'DADOS BRUTOS'!EF$3:EF$500)))</f>
        <v/>
      </c>
      <c r="HG13" s="56">
        <f>IF(OR(HG$4="",$B13=""),0,SUMIF('DADOS BRUTOS'!$A$3:$A$500,$B13,'DADOS BRUTOS'!EG$3:EG$500)+IF($C13="",0,SUMIF('DADOS BRUTOS'!$A$3:$A$500,$C13,'DADOS BRUTOS'!EG$3:EG$500)))</f>
        <v/>
      </c>
      <c r="HH13" s="56">
        <f>IF(OR(HH$4="",$B13=""),0,SUMIF('DADOS BRUTOS'!$A$3:$A$500,$B13,'DADOS BRUTOS'!EH$3:EH$500)+IF($C13="",0,SUMIF('DADOS BRUTOS'!$A$3:$A$500,$C13,'DADOS BRUTOS'!EH$3:EH$500)))</f>
        <v/>
      </c>
      <c r="HI13" s="56">
        <f>IF(OR(HI$4="",$B13=""),0,SUMIF('DADOS BRUTOS'!$A$3:$A$500,$B13,'DADOS BRUTOS'!EI$3:EI$500)+IF($C13="",0,SUMIF('DADOS BRUTOS'!$A$3:$A$500,$C13,'DADOS BRUTOS'!EI$3:EI$500)))</f>
        <v/>
      </c>
      <c r="HJ13" s="56">
        <f>IF(OR(HJ$4="",$B13=""),0,SUMIF('DADOS BRUTOS'!$A$3:$A$500,$B13,'DADOS BRUTOS'!EJ$3:EJ$500)+IF($C13="",0,SUMIF('DADOS BRUTOS'!$A$3:$A$500,$C13,'DADOS BRUTOS'!EJ$3:EJ$500)))</f>
        <v/>
      </c>
      <c r="HK13" s="56">
        <f>IF(OR(HK$4="",$B13=""),0,SUMIF('DADOS BRUTOS'!$A$3:$A$500,$B13,'DADOS BRUTOS'!EK$3:EK$500)+IF($C13="",0,SUMIF('DADOS BRUTOS'!$A$3:$A$500,$C13,'DADOS BRUTOS'!EK$3:EK$500)))</f>
        <v/>
      </c>
      <c r="HL13" s="56">
        <f>IF(OR(HL$4="",$B13=""),0,SUMIF('DADOS BRUTOS'!$A$3:$A$500,$B13,'DADOS BRUTOS'!EL$3:EL$500)+IF($C13="",0,SUMIF('DADOS BRUTOS'!$A$3:$A$500,$C13,'DADOS BRUTOS'!EL$3:EL$500)))</f>
        <v/>
      </c>
      <c r="HM13" s="56">
        <f>IF(OR(HM$4="",$B13=""),0,SUMIF('DADOS BRUTOS'!$A$3:$A$500,$B13,'DADOS BRUTOS'!EM$3:EM$500)+IF($C13="",0,SUMIF('DADOS BRUTOS'!$A$3:$A$500,$C13,'DADOS BRUTOS'!EM$3:EM$500)))</f>
        <v/>
      </c>
      <c r="HN13" s="56">
        <f>IF(OR(HN$4="",$B13=""),0,SUMIF('DADOS BRUTOS'!$A$3:$A$500,$B13,'DADOS BRUTOS'!EN$3:EN$500)+IF($C13="",0,SUMIF('DADOS BRUTOS'!$A$3:$A$500,$C13,'DADOS BRUTOS'!EN$3:EN$500)))</f>
        <v/>
      </c>
      <c r="HO13" s="56">
        <f>IF(OR(HO$4="",$B13=""),0,SUMIF('DADOS BRUTOS'!$A$3:$A$500,$B13,'DADOS BRUTOS'!EO$3:EO$500)+IF($C13="",0,SUMIF('DADOS BRUTOS'!$A$3:$A$500,$C13,'DADOS BRUTOS'!EO$3:EO$500)))</f>
        <v/>
      </c>
      <c r="HP13" s="56">
        <f>IF(OR(HP$4="",$B13=""),0,SUMIF('DADOS BRUTOS'!$A$3:$A$500,$B13,'DADOS BRUTOS'!EP$3:EP$500)+IF($C13="",0,SUMIF('DADOS BRUTOS'!$A$3:$A$500,$C13,'DADOS BRUTOS'!EP$3:EP$500)))</f>
        <v/>
      </c>
      <c r="HQ13" s="56">
        <f>IF(OR(HQ$4="",$B13=""),0,SUMIF('DADOS BRUTOS'!$A$3:$A$500,$B13,'DADOS BRUTOS'!EQ$3:EQ$500)+IF($C13="",0,SUMIF('DADOS BRUTOS'!$A$3:$A$500,$C13,'DADOS BRUTOS'!EQ$3:EQ$500)))</f>
        <v/>
      </c>
      <c r="HR13" s="56">
        <f>IF(OR(HR$4="",$B13=""),0,SUMIF('DADOS BRUTOS'!$A$3:$A$500,$B13,'DADOS BRUTOS'!ER$3:ER$500)+IF($C13="",0,SUMIF('DADOS BRUTOS'!$A$3:$A$500,$C13,'DADOS BRUTOS'!ER$3:ER$500)))</f>
        <v/>
      </c>
      <c r="HS13" s="56">
        <f>IF(OR(HS$4="",$B13=""),0,SUMIF('DADOS BRUTOS'!$A$3:$A$500,$B13,'DADOS BRUTOS'!ES$3:ES$500)+IF($C13="",0,SUMIF('DADOS BRUTOS'!$A$3:$A$500,$C13,'DADOS BRUTOS'!ES$3:ES$500)))</f>
        <v/>
      </c>
      <c r="HT13" s="56">
        <f>IF(OR(HT$4="",$B13=""),0,SUMIF('DADOS BRUTOS'!$A$3:$A$500,$B13,'DADOS BRUTOS'!ET$3:ET$500)+IF($C13="",0,SUMIF('DADOS BRUTOS'!$A$3:$A$500,$C13,'DADOS BRUTOS'!ET$3:ET$500)))</f>
        <v/>
      </c>
      <c r="HU13" s="56">
        <f>IF(OR(HU$4="",$B13=""),0,SUMIF('DADOS BRUTOS'!$A$3:$A$500,$B13,'DADOS BRUTOS'!EU$3:EU$500)+IF($C13="",0,SUMIF('DADOS BRUTOS'!$A$3:$A$500,$C13,'DADOS BRUTOS'!EU$3:EU$500)))</f>
        <v/>
      </c>
      <c r="HV13" s="56">
        <f>IF(OR(HV$4="",$B13=""),0,SUMIF('DADOS BRUTOS'!$A$3:$A$500,$B13,'DADOS BRUTOS'!EV$3:EV$500)+IF($C13="",0,SUMIF('DADOS BRUTOS'!$A$3:$A$500,$C13,'DADOS BRUTOS'!EV$3:EV$500)))</f>
        <v/>
      </c>
      <c r="HW13" s="56">
        <f>IF(OR(HW$4="",$B13=""),0,SUMIF('DADOS BRUTOS'!$A$3:$A$500,$B13,'DADOS BRUTOS'!EW$3:EW$500)+IF($C13="",0,SUMIF('DADOS BRUTOS'!$A$3:$A$500,$C13,'DADOS BRUTOS'!EW$3:EW$500)))</f>
        <v/>
      </c>
      <c r="HX13" s="56">
        <f>IF(OR(HX$4="",$B13=""),0,SUMIF('DADOS BRUTOS'!$A$3:$A$500,$B13,'DADOS BRUTOS'!EX$3:EX$500)+IF($C13="",0,SUMIF('DADOS BRUTOS'!$A$3:$A$500,$C13,'DADOS BRUTOS'!EX$3:EX$500)))</f>
        <v/>
      </c>
      <c r="HY13" s="56">
        <f>IF(OR(HY$4="",$B13=""),0,SUMIF('DADOS BRUTOS'!$A$3:$A$500,$B13,'DADOS BRUTOS'!EY$3:EY$500)+IF($C13="",0,SUMIF('DADOS BRUTOS'!$A$3:$A$500,$C13,'DADOS BRUTOS'!EY$3:EY$500)))</f>
        <v/>
      </c>
      <c r="HZ13" s="56">
        <f>IF(OR(HZ$4="",$B13=""),0,SUMIF('DADOS BRUTOS'!$A$3:$A$500,$B13,'DADOS BRUTOS'!EZ$3:EZ$500)+IF($C13="",0,SUMIF('DADOS BRUTOS'!$A$3:$A$500,$C13,'DADOS BRUTOS'!EZ$3:EZ$500)))</f>
        <v/>
      </c>
      <c r="IA13" s="56">
        <f>IF(OR(IA$4="",$B13=""),0,SUMIF('DADOS BRUTOS'!$A$3:$A$500,$B13,'DADOS BRUTOS'!FA$3:FA$500)+IF($C13="",0,SUMIF('DADOS BRUTOS'!$A$3:$A$500,$C13,'DADOS BRUTOS'!FA$3:FA$500)))</f>
        <v/>
      </c>
      <c r="IB13" s="56">
        <f>IF(OR(IB$4="",$B13=""),0,SUMIF('DADOS BRUTOS'!$A$3:$A$500,$B13,'DADOS BRUTOS'!FB$3:FB$500)+IF($C13="",0,SUMIF('DADOS BRUTOS'!$A$3:$A$500,$C13,'DADOS BRUTOS'!FB$3:FB$500)))</f>
        <v/>
      </c>
      <c r="IC13" s="56">
        <f>IF(OR(IC$4="",$B13=""),0,SUMIF('DADOS BRUTOS'!$A$3:$A$500,$B13,'DADOS BRUTOS'!FC$3:FC$500)+IF($C13="",0,SUMIF('DADOS BRUTOS'!$A$3:$A$500,$C13,'DADOS BRUTOS'!FC$3:FC$500)))</f>
        <v/>
      </c>
      <c r="ID13" s="56">
        <f>IF(OR(ID$4="",$B13=""),0,SUMIF('DADOS BRUTOS'!$A$3:$A$500,$B13,'DADOS BRUTOS'!FD$3:FD$500)+IF($C13="",0,SUMIF('DADOS BRUTOS'!$A$3:$A$500,$C13,'DADOS BRUTOS'!FD$3:FD$500)))</f>
        <v/>
      </c>
      <c r="IE13" s="56">
        <f>IF(OR(IE$4="",$B13=""),0,SUMIF('DADOS BRUTOS'!$A$3:$A$500,$B13,'DADOS BRUTOS'!FE$3:FE$500)+IF($C13="",0,SUMIF('DADOS BRUTOS'!$A$3:$A$500,$C13,'DADOS BRUTOS'!FE$3:FE$500)))</f>
        <v/>
      </c>
      <c r="IF13" s="56">
        <f>IF(OR(IF$4="",$B13=""),0,SUMIF('DADOS BRUTOS'!$A$3:$A$500,$B13,'DADOS BRUTOS'!FF$3:FF$500)+IF($C13="",0,SUMIF('DADOS BRUTOS'!$A$3:$A$500,$C13,'DADOS BRUTOS'!FF$3:FF$500)))</f>
        <v/>
      </c>
      <c r="IG13" s="56">
        <f>IF(OR(IG$4="",$B13=""),0,SUMIF('DADOS BRUTOS'!$A$3:$A$500,$B13,'DADOS BRUTOS'!FG$3:FG$500)+IF($C13="",0,SUMIF('DADOS BRUTOS'!$A$3:$A$500,$C13,'DADOS BRUTOS'!FG$3:FG$500)))</f>
        <v/>
      </c>
      <c r="IH13" s="56">
        <f>IF(OR(IH$4="",$B13=""),0,SUMIF('DADOS BRUTOS'!$A$3:$A$500,$B13,'DADOS BRUTOS'!FH$3:FH$500)+IF($C13="",0,SUMIF('DADOS BRUTOS'!$A$3:$A$500,$C13,'DADOS BRUTOS'!FH$3:FH$500)))</f>
        <v/>
      </c>
      <c r="II13" s="56">
        <f>IF(OR(II$4="",$B13=""),0,SUMIF('DADOS BRUTOS'!$A$3:$A$500,$B13,'DADOS BRUTOS'!FI$3:FI$500)+IF($C13="",0,SUMIF('DADOS BRUTOS'!$A$3:$A$500,$C13,'DADOS BRUTOS'!FI$3:FI$500)))</f>
        <v/>
      </c>
      <c r="IJ13" s="56">
        <f>IF(OR(IJ$4="",$B13=""),0,SUMIF('DADOS BRUTOS'!$A$3:$A$500,$B13,'DADOS BRUTOS'!FJ$3:FJ$500)+IF($C13="",0,SUMIF('DADOS BRUTOS'!$A$3:$A$500,$C13,'DADOS BRUTOS'!FJ$3:FJ$500)))</f>
        <v/>
      </c>
      <c r="IK13" s="56">
        <f>IF(OR(IK$4="",$B13=""),0,SUMIF('DADOS BRUTOS'!$A$3:$A$500,$B13,'DADOS BRUTOS'!FK$3:FK$500)+IF($C13="",0,SUMIF('DADOS BRUTOS'!$A$3:$A$500,$C13,'DADOS BRUTOS'!FK$3:FK$500)))</f>
        <v/>
      </c>
      <c r="IL13" s="56">
        <f>IF(OR(IL$4="",$B13=""),0,SUMIF('DADOS BRUTOS'!$A$3:$A$500,$B13,'DADOS BRUTOS'!FL$3:FL$500)+IF($C13="",0,SUMIF('DADOS BRUTOS'!$A$3:$A$500,$C13,'DADOS BRUTOS'!FL$3:FL$500)))</f>
        <v/>
      </c>
      <c r="IM13" s="56">
        <f>IF(OR(IM$4="",$B13=""),0,SUMIF('DADOS BRUTOS'!$A$3:$A$500,$B13,'DADOS BRUTOS'!FM$3:FM$500)+IF($C13="",0,SUMIF('DADOS BRUTOS'!$A$3:$A$500,$C13,'DADOS BRUTOS'!FM$3:FM$500)))</f>
        <v/>
      </c>
      <c r="IN13" s="56">
        <f>IF(OR(IN$4="",$B13=""),0,SUMIF('DADOS BRUTOS'!$A$3:$A$500,$B13,'DADOS BRUTOS'!FN$3:FN$500)+IF($C13="",0,SUMIF('DADOS BRUTOS'!$A$3:$A$500,$C13,'DADOS BRUTOS'!FN$3:FN$500)))</f>
        <v/>
      </c>
      <c r="IO13" s="56">
        <f>IF(OR(IO$4="",$B13=""),0,SUMIF('DADOS BRUTOS'!$A$3:$A$500,$B13,'DADOS BRUTOS'!FO$3:FO$500)+IF($C13="",0,SUMIF('DADOS BRUTOS'!$A$3:$A$500,$C13,'DADOS BRUTOS'!FO$3:FO$500)))</f>
        <v/>
      </c>
      <c r="IP13" s="56">
        <f>IF(OR(IP$4="",$B13=""),0,SUMIF('DADOS BRUTOS'!$A$3:$A$500,$B13,'DADOS BRUTOS'!FP$3:FP$500)+IF($C13="",0,SUMIF('DADOS BRUTOS'!$A$3:$A$500,$C13,'DADOS BRUTOS'!FP$3:FP$500)))</f>
        <v/>
      </c>
      <c r="IQ13" s="56">
        <f>IF(OR(IQ$4="",$B13=""),0,SUMIF('DADOS BRUTOS'!$A$3:$A$500,$B13,'DADOS BRUTOS'!FQ$3:FQ$500)+IF($C13="",0,SUMIF('DADOS BRUTOS'!$A$3:$A$500,$C13,'DADOS BRUTOS'!FQ$3:FQ$500)))</f>
        <v/>
      </c>
      <c r="IR13" s="56">
        <f>IF(OR(IR$4="",$B13=""),0,SUMIF('DADOS BRUTOS'!$A$3:$A$500,$B13,'DADOS BRUTOS'!FR$3:FR$500)+IF($C13="",0,SUMIF('DADOS BRUTOS'!$A$3:$A$500,$C13,'DADOS BRUTOS'!FR$3:FR$500)))</f>
        <v/>
      </c>
      <c r="IS13" s="56">
        <f>IF(OR(IS$4="",$B13=""),0,SUMIF('DADOS BRUTOS'!$A$3:$A$500,$B13,'DADOS BRUTOS'!FS$3:FS$500)+IF($C13="",0,SUMIF('DADOS BRUTOS'!$A$3:$A$500,$C13,'DADOS BRUTOS'!FS$3:FS$500)))</f>
        <v/>
      </c>
      <c r="IT13" s="56">
        <f>IF(OR(IT$4="",$B13=""),0,SUMIF('DADOS BRUTOS'!$A$3:$A$500,$B13,'DADOS BRUTOS'!FT$3:FT$500)+IF($C13="",0,SUMIF('DADOS BRUTOS'!$A$3:$A$500,$C13,'DADOS BRUTOS'!FT$3:FT$500)))</f>
        <v/>
      </c>
      <c r="IU13" s="56">
        <f>IF(OR(IU$4="",$B13=""),0,SUMIF('DADOS BRUTOS'!$A$3:$A$500,$B13,'DADOS BRUTOS'!FU$3:FU$500)+IF($C13="",0,SUMIF('DADOS BRUTOS'!$A$3:$A$500,$C13,'DADOS BRUTOS'!FU$3:FU$500)))</f>
        <v/>
      </c>
      <c r="IV13" s="56">
        <f>IF(OR(IV$4="",$B13=""),0,SUMIF('DADOS BRUTOS'!$A$3:$A$500,$B13,'DADOS BRUTOS'!FV$3:FV$500)+IF($C13="",0,SUMIF('DADOS BRUTOS'!$A$3:$A$500,$C13,'DADOS BRUTOS'!FV$3:FV$500)))</f>
        <v/>
      </c>
      <c r="IW13" s="56">
        <f>IF(OR(IW$4="",$B13=""),0,SUMIF('DADOS BRUTOS'!$A$3:$A$500,$B13,'DADOS BRUTOS'!FW$3:FW$500)+IF($C13="",0,SUMIF('DADOS BRUTOS'!$A$3:$A$500,$C13,'DADOS BRUTOS'!FW$3:FW$500)))</f>
        <v/>
      </c>
      <c r="IX13" s="56">
        <f>IF(OR(IX$4="",$B13=""),0,SUMIF('DADOS BRUTOS'!$A$3:$A$500,$B13,'DADOS BRUTOS'!FX$3:FX$500)+IF($C13="",0,SUMIF('DADOS BRUTOS'!$A$3:$A$500,$C13,'DADOS BRUTOS'!FX$3:FX$500)))</f>
        <v/>
      </c>
      <c r="IY13" s="56">
        <f>IF(OR(IY$4="",$B13=""),0,SUMIF('DADOS BRUTOS'!$A$3:$A$500,$B13,'DADOS BRUTOS'!FY$3:FY$500)+IF($C13="",0,SUMIF('DADOS BRUTOS'!$A$3:$A$500,$C13,'DADOS BRUTOS'!FY$3:FY$500)))</f>
        <v/>
      </c>
      <c r="IZ13" s="56">
        <f>IF(OR(IZ$4="",$B13=""),0,SUMIF('DADOS BRUTOS'!$A$3:$A$500,$B13,'DADOS BRUTOS'!FZ$3:FZ$500)+IF($C13="",0,SUMIF('DADOS BRUTOS'!$A$3:$A$500,$C13,'DADOS BRUTOS'!FZ$3:FZ$500)))</f>
        <v/>
      </c>
      <c r="JA13" s="56">
        <f>IF(OR(JA$4="",$B13=""),0,SUMIF('DADOS BRUTOS'!$A$3:$A$500,$B13,'DADOS BRUTOS'!GA$3:GA$500)+IF($C13="",0,SUMIF('DADOS BRUTOS'!$A$3:$A$500,$C13,'DADOS BRUTOS'!GA$3:GA$500)))</f>
        <v/>
      </c>
      <c r="JB13" s="56">
        <f>IF(OR(JB$4="",$B13=""),0,SUMIF('DADOS BRUTOS'!$A$3:$A$500,$B13,'DADOS BRUTOS'!GB$3:GB$500)+IF($C13="",0,SUMIF('DADOS BRUTOS'!$A$3:$A$500,$C13,'DADOS BRUTOS'!GB$3:GB$500)))</f>
        <v/>
      </c>
      <c r="JC13" s="56">
        <f>IF(OR(JC$4="",$B13=""),0,SUMIF('DADOS BRUTOS'!$A$3:$A$500,$B13,'DADOS BRUTOS'!GC$3:GC$500)+IF($C13="",0,SUMIF('DADOS BRUTOS'!$A$3:$A$500,$C13,'DADOS BRUTOS'!GC$3:GC$500)))</f>
        <v/>
      </c>
      <c r="JD13" s="56">
        <f>IF(OR(JD$4="",$B13=""),0,SUMIF('DADOS BRUTOS'!$A$3:$A$500,$B13,'DADOS BRUTOS'!GD$3:GD$500)+IF($C13="",0,SUMIF('DADOS BRUTOS'!$A$3:$A$500,$C13,'DADOS BRUTOS'!GD$3:GD$500)))</f>
        <v/>
      </c>
      <c r="JE13" s="56">
        <f>IF(OR(JE$4="",$B13=""),0,SUMIF('DADOS BRUTOS'!$A$3:$A$500,$B13,'DADOS BRUTOS'!GE$3:GE$500)+IF($C13="",0,SUMIF('DADOS BRUTOS'!$A$3:$A$500,$C13,'DADOS BRUTOS'!GE$3:GE$500)))</f>
        <v/>
      </c>
      <c r="JF13" s="56">
        <f>IF(OR(JF$4="",$B13=""),0,SUMIF('DADOS BRUTOS'!$A$3:$A$500,$B13,'DADOS BRUTOS'!GF$3:GF$500)+IF($C13="",0,SUMIF('DADOS BRUTOS'!$A$3:$A$500,$C13,'DADOS BRUTOS'!GF$3:GF$500)))</f>
        <v/>
      </c>
      <c r="JG13" s="56">
        <f>IF(OR(JG$4="",$B13=""),0,SUMIF('DADOS BRUTOS'!$A$3:$A$500,$B13,'DADOS BRUTOS'!GG$3:GG$500)+IF($C13="",0,SUMIF('DADOS BRUTOS'!$A$3:$A$500,$C13,'DADOS BRUTOS'!GG$3:GG$500)))</f>
        <v/>
      </c>
      <c r="JH13" s="56">
        <f>IF(OR(JH$4="",$B13=""),0,SUMIF('DADOS BRUTOS'!$A$3:$A$500,$B13,'DADOS BRUTOS'!GH$3:GH$500)+IF($C13="",0,SUMIF('DADOS BRUTOS'!$A$3:$A$500,$C13,'DADOS BRUTOS'!GH$3:GH$500)))</f>
        <v/>
      </c>
      <c r="JI13" s="56">
        <f>IF(OR(JI$4="",$B13=""),0,SUMIF('DADOS BRUTOS'!$A$3:$A$500,$B13,'DADOS BRUTOS'!GI$3:GI$500)+IF($C13="",0,SUMIF('DADOS BRUTOS'!$A$3:$A$500,$C13,'DADOS BRUTOS'!GI$3:GI$500)))</f>
        <v/>
      </c>
      <c r="JJ13" s="56">
        <f>IF(OR(JJ$4="",$B13=""),0,SUMIF('DADOS BRUTOS'!$A$3:$A$500,$B13,'DADOS BRUTOS'!GJ$3:GJ$500)+IF($C13="",0,SUMIF('DADOS BRUTOS'!$A$3:$A$500,$C13,'DADOS BRUTOS'!GJ$3:GJ$500)))</f>
        <v/>
      </c>
      <c r="JK13" s="56">
        <f>IF(OR(JK$4="",$B13=""),0,SUMIF('DADOS BRUTOS'!$A$3:$A$500,$B13,'DADOS BRUTOS'!GK$3:GK$500)+IF($C13="",0,SUMIF('DADOS BRUTOS'!$A$3:$A$500,$C13,'DADOS BRUTOS'!GK$3:GK$500)))</f>
        <v/>
      </c>
      <c r="JL13" s="56">
        <f>IF(OR(JL$4="",$B13=""),0,SUMIF('DADOS BRUTOS'!$A$3:$A$500,$B13,'DADOS BRUTOS'!GL$3:GL$500)+IF($C13="",0,SUMIF('DADOS BRUTOS'!$A$3:$A$500,$C13,'DADOS BRUTOS'!GL$3:GL$500)))</f>
        <v/>
      </c>
      <c r="JM13" s="56">
        <f>IF(OR(JM$4="",$B13=""),0,SUMIF('DADOS BRUTOS'!$A$3:$A$500,$B13,'DADOS BRUTOS'!GM$3:GM$500)+IF($C13="",0,SUMIF('DADOS BRUTOS'!$A$3:$A$500,$C13,'DADOS BRUTOS'!GM$3:GM$500)))</f>
        <v/>
      </c>
      <c r="JN13" s="56">
        <f>IF(OR(JN$4="",$B13=""),0,SUMIF('DADOS BRUTOS'!$A$3:$A$500,$B13,'DADOS BRUTOS'!GN$3:GN$500)+IF($C13="",0,SUMIF('DADOS BRUTOS'!$A$3:$A$500,$C13,'DADOS BRUTOS'!GN$3:GN$500)))</f>
        <v/>
      </c>
      <c r="JO13" s="56">
        <f>IF(OR(JO$4="",$B13=""),0,SUMIF('DADOS BRUTOS'!$A$3:$A$500,$B13,'DADOS BRUTOS'!GO$3:GO$500)+IF($C13="",0,SUMIF('DADOS BRUTOS'!$A$3:$A$500,$C13,'DADOS BRUTOS'!GO$3:GO$500)))</f>
        <v/>
      </c>
      <c r="JP13" s="56">
        <f>IF(OR(JP$4="",$B13=""),0,SUMIF('DADOS BRUTOS'!$A$3:$A$500,$B13,'DADOS BRUTOS'!GP$3:GP$500)+IF($C13="",0,SUMIF('DADOS BRUTOS'!$A$3:$A$500,$C13,'DADOS BRUTOS'!GP$3:GP$500)))</f>
        <v/>
      </c>
      <c r="JQ13" s="56">
        <f>IF(OR(JQ$4="",$B13=""),0,SUMIF('DADOS BRUTOS'!$A$3:$A$500,$B13,'DADOS BRUTOS'!GQ$3:GQ$500)+IF($C13="",0,SUMIF('DADOS BRUTOS'!$A$3:$A$500,$C13,'DADOS BRUTOS'!GQ$3:GQ$500)))</f>
        <v/>
      </c>
      <c r="JR13" s="56">
        <f>IF(OR(JR$4="",$B13=""),0,SUMIF('DADOS BRUTOS'!$A$3:$A$500,$B13,'DADOS BRUTOS'!GR$3:GR$500)+IF($C13="",0,SUMIF('DADOS BRUTOS'!$A$3:$A$500,$C13,'DADOS BRUTOS'!GR$3:GR$500)))</f>
        <v/>
      </c>
      <c r="JS13" s="56">
        <f>IF(OR(JS$4="",$B13=""),0,SUMIF('DADOS BRUTOS'!$A$3:$A$500,$B13,'DADOS BRUTOS'!GS$3:GS$500)+IF($C13="",0,SUMIF('DADOS BRUTOS'!$A$3:$A$500,$C13,'DADOS BRUTOS'!GS$3:GS$500)))</f>
        <v/>
      </c>
    </row>
    <row r="14">
      <c r="A14" s="34">
        <f>'VALOR POR PL'!D20</f>
        <v/>
      </c>
      <c r="B14" s="21" t="inlineStr">
        <is>
          <t>MÃO DE OBRA PRÓPRIA</t>
        </is>
      </c>
      <c r="C14" s="21" t="n"/>
      <c r="D14" s="17">
        <f>SUMIF($CB$4:$JS$4,"&lt;="&amp;D$4,$CB14:$JS14)</f>
        <v/>
      </c>
      <c r="E14" s="17">
        <f>SUMIF($CB$4:$JS$4,E$4,$CB14:$JS14)</f>
        <v/>
      </c>
      <c r="F14" s="17">
        <f>SUMIF($CB$4:$JS$4,F$4,$CB14:$JS14)</f>
        <v/>
      </c>
      <c r="G14" s="17">
        <f>SUMIF($CB$4:$JS$4,G$4,$CB14:$JS14)</f>
        <v/>
      </c>
      <c r="H14" s="17">
        <f>SUMIF($CB$4:$JS$4,H$4,$CB14:$JS14)</f>
        <v/>
      </c>
      <c r="I14" s="17">
        <f>SUMIF($CB$4:$JS$4,I$4,$CB14:$JS14)</f>
        <v/>
      </c>
      <c r="J14" s="17">
        <f>SUMIF($CB$4:$JS$4,J$4,$CB14:$JS14)</f>
        <v/>
      </c>
      <c r="K14" s="17">
        <f>SUMIF($CB$4:$JS$4,K$4,$CB14:$JS14)</f>
        <v/>
      </c>
      <c r="L14" s="17">
        <f>SUMIF($CB$4:$JS$4,L$4,$CB14:$JS14)</f>
        <v/>
      </c>
      <c r="M14" s="17">
        <f>SUMIF($CB$4:$JS$4,M$4,$CB14:$JS14)</f>
        <v/>
      </c>
      <c r="N14" s="17">
        <f>SUMIF($CB$4:$JS$4,N$4,$CB14:$JS14)</f>
        <v/>
      </c>
      <c r="O14" s="17">
        <f>SUMIF($CB$4:$JS$4,O$4,$CB14:$JS14)</f>
        <v/>
      </c>
      <c r="P14" s="17">
        <f>SUMIF($CB$4:$JS$4,P$4,$CB14:$JS14)</f>
        <v/>
      </c>
      <c r="Q14" s="17">
        <f>SUMIF($CB$4:$JS$4,Q$4,$CB14:$JS14)</f>
        <v/>
      </c>
      <c r="R14" s="17">
        <f>SUMIF($CB$4:$JS$4,R$4,$CB14:$JS14)</f>
        <v/>
      </c>
      <c r="S14" s="17">
        <f>SUMIF($CB$4:$JS$4,S$4,$CB14:$JS14)</f>
        <v/>
      </c>
      <c r="T14" s="17">
        <f>SUMIF($CB$4:$JS$4,T$4,$CB14:$JS14)</f>
        <v/>
      </c>
      <c r="U14" s="17">
        <f>SUMIF($CB$4:$JS$4,U$4,$CB14:$JS14)</f>
        <v/>
      </c>
      <c r="V14" s="17">
        <f>SUMIF($CB$4:$JS$4,V$4,$CB14:$JS14)</f>
        <v/>
      </c>
      <c r="W14" s="17">
        <f>SUMIF($CB$4:$JS$4,W$4,$CB14:$JS14)</f>
        <v/>
      </c>
      <c r="X14" s="17">
        <f>SUMIF($CB$4:$JS$4,X$4,$CB14:$JS14)</f>
        <v/>
      </c>
      <c r="Y14" s="17">
        <f>SUMIF($CB$4:$JS$4,Y$4,$CB14:$JS14)</f>
        <v/>
      </c>
      <c r="Z14" s="17">
        <f>SUMIF($CB$4:$JS$4,Z$4,$CB14:$JS14)</f>
        <v/>
      </c>
      <c r="AA14" s="17">
        <f>SUMIF($CB$4:$JS$4,AA$4,$CB14:$JS14)</f>
        <v/>
      </c>
      <c r="AB14" s="17">
        <f>SUMIF($CB$4:$JS$4,AB$4,$CB14:$JS14)</f>
        <v/>
      </c>
      <c r="AC14" s="17">
        <f>SUMIF($CB$4:$JS$4,AC$4,$CB14:$JS14)</f>
        <v/>
      </c>
      <c r="AD14" s="17">
        <f>SUMIF($CB$4:$JS$4,AD$4,$CB14:$JS14)</f>
        <v/>
      </c>
      <c r="AE14" s="17">
        <f>SUMIF($CB$4:$JS$4,AE$4,$CB14:$JS14)</f>
        <v/>
      </c>
      <c r="AF14" s="17">
        <f>SUMIF($CB$4:$JS$4,AF$4,$CB14:$JS14)</f>
        <v/>
      </c>
      <c r="AG14" s="17">
        <f>SUMIF($CB$4:$JS$4,AG$4,$CB14:$JS14)</f>
        <v/>
      </c>
      <c r="AH14" s="17">
        <f>SUMIF($CB$4:$JS$4,AH$4,$CB14:$JS14)</f>
        <v/>
      </c>
      <c r="AI14" s="17">
        <f>SUMIF($CB$4:$JS$4,AI$4,$CB14:$JS14)</f>
        <v/>
      </c>
      <c r="AJ14" s="17">
        <f>SUMIF($CB$4:$JS$4,AJ$4,$CB14:$JS14)</f>
        <v/>
      </c>
      <c r="AK14" s="17">
        <f>SUMIF($CB$4:$JS$4,AK$4,$CB14:$JS14)</f>
        <v/>
      </c>
      <c r="AL14" s="17">
        <f>SUMIF($CB$4:$JS$4,AL$4,$CB14:$JS14)</f>
        <v/>
      </c>
      <c r="AM14" s="17">
        <f>SUMIF($CB$4:$JS$4,AM$4,$CB14:$JS14)</f>
        <v/>
      </c>
      <c r="AN14" s="17">
        <f>SUMIF($CB$4:$JS$4,AN$4,$CB14:$JS14)</f>
        <v/>
      </c>
      <c r="AO14" s="17">
        <f>SUMIF($CB$4:$JS$4,AO$4,$CB14:$JS14)</f>
        <v/>
      </c>
      <c r="AP14" s="17">
        <f>SUMIF($CB$4:$JS$4,AP$4,$CB14:$JS14)</f>
        <v/>
      </c>
      <c r="AQ14" s="17">
        <f>SUMIF($CB$4:$JS$4,AQ$4,$CB14:$JS14)</f>
        <v/>
      </c>
      <c r="AR14" s="17">
        <f>SUMIF($CB$4:$JS$4,AR$4,$CB14:$JS14)</f>
        <v/>
      </c>
      <c r="AS14" s="17">
        <f>SUMIF($CB$4:$JS$4,AS$4,$CB14:$JS14)</f>
        <v/>
      </c>
      <c r="AT14" s="17">
        <f>SUMIF($CB$4:$JS$4,AT$4,$CB14:$JS14)</f>
        <v/>
      </c>
      <c r="AU14" s="17">
        <f>SUMIF($CB$4:$JS$4,AU$4,$CB14:$JS14)</f>
        <v/>
      </c>
      <c r="AV14" s="17">
        <f>SUMIF($CB$4:$JS$4,AV$4,$CB14:$JS14)</f>
        <v/>
      </c>
      <c r="AW14" s="17">
        <f>SUMIF($CB$4:$JS$4,AW$4,$CB14:$JS14)</f>
        <v/>
      </c>
      <c r="AX14" s="17">
        <f>SUMIF($CB$4:$JS$4,AX$4,$CB14:$JS14)</f>
        <v/>
      </c>
      <c r="AY14" s="17">
        <f>SUMIF($CB$4:$JS$4,AY$4,$CB14:$JS14)</f>
        <v/>
      </c>
      <c r="AZ14" s="17">
        <f>SUMIF($CB$4:$JS$4,AZ$4,$CB14:$JS14)</f>
        <v/>
      </c>
      <c r="BA14" s="17">
        <f>SUMIF($CB$4:$JS$4,BA$4,$CB14:$JS14)</f>
        <v/>
      </c>
      <c r="BB14" s="17">
        <f>SUMIF($CB$4:$JS$4,BB$4,$CB14:$JS14)</f>
        <v/>
      </c>
      <c r="BC14" s="17">
        <f>SUMIF($CB$4:$JS$4,BC$4,$CB14:$JS14)</f>
        <v/>
      </c>
      <c r="BD14" s="17">
        <f>SUMIF($CB$4:$JS$4,BD$4,$CB14:$JS14)</f>
        <v/>
      </c>
      <c r="BE14" s="17">
        <f>SUMIF($CB$4:$JS$4,BE$4,$CB14:$JS14)</f>
        <v/>
      </c>
      <c r="BF14" s="17">
        <f>SUMIF($CB$4:$JS$4,BF$4,$CB14:$JS14)</f>
        <v/>
      </c>
      <c r="BG14" s="17">
        <f>SUMIF($CB$4:$JS$4,BG$4,$CB14:$JS14)</f>
        <v/>
      </c>
      <c r="BH14" s="17">
        <f>SUMIF($CB$4:$JS$4,BH$4,$CB14:$JS14)</f>
        <v/>
      </c>
      <c r="BI14" s="17">
        <f>SUMIF($CB$4:$JS$4,BI$4,$CB14:$JS14)</f>
        <v/>
      </c>
      <c r="BJ14" s="17">
        <f>SUMIF($CB$4:$JS$4,BJ$4,$CB14:$JS14)</f>
        <v/>
      </c>
      <c r="BK14" s="17">
        <f>SUMIF($CB$4:$JS$4,BK$4,$CB14:$JS14)</f>
        <v/>
      </c>
      <c r="BL14" s="17">
        <f>SUMIF($CB$4:$JS$4,BL$4,$CB14:$JS14)</f>
        <v/>
      </c>
      <c r="BM14" s="17">
        <f>SUMIF($CB$4:$JS$4,BM$4,$CB14:$JS14)</f>
        <v/>
      </c>
      <c r="BN14" s="17">
        <f>SUMIF($CB$4:$JS$4,BN$4,$CB14:$JS14)</f>
        <v/>
      </c>
      <c r="BO14" s="17">
        <f>SUMIF($CB$4:$JS$4,BO$4,$CB14:$JS14)</f>
        <v/>
      </c>
      <c r="BP14" s="17">
        <f>SUMIF($CB$4:$JS$4,BP$4,$CB14:$JS14)</f>
        <v/>
      </c>
      <c r="BQ14" s="17">
        <f>SUMIF($CB$4:$JS$4,BQ$4,$CB14:$JS14)</f>
        <v/>
      </c>
      <c r="BR14" s="17">
        <f>SUMIF($CB$4:$JS$4,BR$4,$CB14:$JS14)</f>
        <v/>
      </c>
      <c r="BS14" s="17">
        <f>SUMIF($CB$4:$JS$4,BS$4,$CB14:$JS14)</f>
        <v/>
      </c>
      <c r="BT14" s="17">
        <f>SUMIF($CB$4:$JS$4,BT$4,$CB14:$JS14)</f>
        <v/>
      </c>
      <c r="BU14" s="17">
        <f>SUMIF($CB$4:$JS$4,BU$4,$CB14:$JS14)</f>
        <v/>
      </c>
      <c r="BV14" s="17">
        <f>SUMIF($CB$4:$JS$4,BV$4,$CB14:$JS14)</f>
        <v/>
      </c>
      <c r="BW14" s="17">
        <f>SUMIF($CB$4:$JS$4,BW$4,$CB14:$JS14)</f>
        <v/>
      </c>
      <c r="BX14" s="17">
        <f>SUMIF($CB$4:$JS$4,"&gt;"&amp;'VALOR POR PL'!$P$8,$CB14:$JS14)</f>
        <v/>
      </c>
      <c r="BY14" s="17">
        <f>SUM($CB14:$JS14)</f>
        <v/>
      </c>
      <c r="CB14" s="56">
        <f>IF(OR(CB$4="",$B14=""),0,SUMIF('DADOS BRUTOS'!$A$3:$A$500,$B14,'DADOS BRUTOS'!B$3:B$500)+IF($C14="",0,SUMIF('DADOS BRUTOS'!$A$3:$A$500,$C14,'DADOS BRUTOS'!B$3:B$500)))</f>
        <v/>
      </c>
      <c r="CC14" s="56">
        <f>IF(OR(CC$4="",$B14=""),0,SUMIF('DADOS BRUTOS'!$A$3:$A$500,$B14,'DADOS BRUTOS'!C$3:C$500)+IF($C14="",0,SUMIF('DADOS BRUTOS'!$A$3:$A$500,$C14,'DADOS BRUTOS'!C$3:C$500)))</f>
        <v/>
      </c>
      <c r="CD14" s="56">
        <f>IF(OR(CD$4="",$B14=""),0,SUMIF('DADOS BRUTOS'!$A$3:$A$500,$B14,'DADOS BRUTOS'!D$3:D$500)+IF($C14="",0,SUMIF('DADOS BRUTOS'!$A$3:$A$500,$C14,'DADOS BRUTOS'!D$3:D$500)))</f>
        <v/>
      </c>
      <c r="CE14" s="56">
        <f>IF(OR(CE$4="",$B14=""),0,SUMIF('DADOS BRUTOS'!$A$3:$A$500,$B14,'DADOS BRUTOS'!E$3:E$500)+IF($C14="",0,SUMIF('DADOS BRUTOS'!$A$3:$A$500,$C14,'DADOS BRUTOS'!E$3:E$500)))</f>
        <v/>
      </c>
      <c r="CF14" s="56">
        <f>IF(OR(CF$4="",$B14=""),0,SUMIF('DADOS BRUTOS'!$A$3:$A$500,$B14,'DADOS BRUTOS'!F$3:F$500)+IF($C14="",0,SUMIF('DADOS BRUTOS'!$A$3:$A$500,$C14,'DADOS BRUTOS'!F$3:F$500)))</f>
        <v/>
      </c>
      <c r="CG14" s="56">
        <f>IF(OR(CG$4="",$B14=""),0,SUMIF('DADOS BRUTOS'!$A$3:$A$500,$B14,'DADOS BRUTOS'!G$3:G$500)+IF($C14="",0,SUMIF('DADOS BRUTOS'!$A$3:$A$500,$C14,'DADOS BRUTOS'!G$3:G$500)))</f>
        <v/>
      </c>
      <c r="CH14" s="56">
        <f>IF(OR(CH$4="",$B14=""),0,SUMIF('DADOS BRUTOS'!$A$3:$A$500,$B14,'DADOS BRUTOS'!H$3:H$500)+IF($C14="",0,SUMIF('DADOS BRUTOS'!$A$3:$A$500,$C14,'DADOS BRUTOS'!H$3:H$500)))</f>
        <v/>
      </c>
      <c r="CI14" s="56">
        <f>IF(OR(CI$4="",$B14=""),0,SUMIF('DADOS BRUTOS'!$A$3:$A$500,$B14,'DADOS BRUTOS'!I$3:I$500)+IF($C14="",0,SUMIF('DADOS BRUTOS'!$A$3:$A$500,$C14,'DADOS BRUTOS'!I$3:I$500)))</f>
        <v/>
      </c>
      <c r="CJ14" s="56">
        <f>IF(OR(CJ$4="",$B14=""),0,SUMIF('DADOS BRUTOS'!$A$3:$A$500,$B14,'DADOS BRUTOS'!J$3:J$500)+IF($C14="",0,SUMIF('DADOS BRUTOS'!$A$3:$A$500,$C14,'DADOS BRUTOS'!J$3:J$500)))</f>
        <v/>
      </c>
      <c r="CK14" s="56">
        <f>IF(OR(CK$4="",$B14=""),0,SUMIF('DADOS BRUTOS'!$A$3:$A$500,$B14,'DADOS BRUTOS'!K$3:K$500)+IF($C14="",0,SUMIF('DADOS BRUTOS'!$A$3:$A$500,$C14,'DADOS BRUTOS'!K$3:K$500)))</f>
        <v/>
      </c>
      <c r="CL14" s="56">
        <f>IF(OR(CL$4="",$B14=""),0,SUMIF('DADOS BRUTOS'!$A$3:$A$500,$B14,'DADOS BRUTOS'!L$3:L$500)+IF($C14="",0,SUMIF('DADOS BRUTOS'!$A$3:$A$500,$C14,'DADOS BRUTOS'!L$3:L$500)))</f>
        <v/>
      </c>
      <c r="CM14" s="56">
        <f>IF(OR(CM$4="",$B14=""),0,SUMIF('DADOS BRUTOS'!$A$3:$A$500,$B14,'DADOS BRUTOS'!M$3:M$500)+IF($C14="",0,SUMIF('DADOS BRUTOS'!$A$3:$A$500,$C14,'DADOS BRUTOS'!M$3:M$500)))</f>
        <v/>
      </c>
      <c r="CN14" s="56">
        <f>IF(OR(CN$4="",$B14=""),0,SUMIF('DADOS BRUTOS'!$A$3:$A$500,$B14,'DADOS BRUTOS'!N$3:N$500)+IF($C14="",0,SUMIF('DADOS BRUTOS'!$A$3:$A$500,$C14,'DADOS BRUTOS'!N$3:N$500)))</f>
        <v/>
      </c>
      <c r="CO14" s="56">
        <f>IF(OR(CO$4="",$B14=""),0,SUMIF('DADOS BRUTOS'!$A$3:$A$500,$B14,'DADOS BRUTOS'!O$3:O$500)+IF($C14="",0,SUMIF('DADOS BRUTOS'!$A$3:$A$500,$C14,'DADOS BRUTOS'!O$3:O$500)))</f>
        <v/>
      </c>
      <c r="CP14" s="56">
        <f>IF(OR(CP$4="",$B14=""),0,SUMIF('DADOS BRUTOS'!$A$3:$A$500,$B14,'DADOS BRUTOS'!P$3:P$500)+IF($C14="",0,SUMIF('DADOS BRUTOS'!$A$3:$A$500,$C14,'DADOS BRUTOS'!P$3:P$500)))</f>
        <v/>
      </c>
      <c r="CQ14" s="56">
        <f>IF(OR(CQ$4="",$B14=""),0,SUMIF('DADOS BRUTOS'!$A$3:$A$500,$B14,'DADOS BRUTOS'!Q$3:Q$500)+IF($C14="",0,SUMIF('DADOS BRUTOS'!$A$3:$A$500,$C14,'DADOS BRUTOS'!Q$3:Q$500)))</f>
        <v/>
      </c>
      <c r="CR14" s="56">
        <f>IF(OR(CR$4="",$B14=""),0,SUMIF('DADOS BRUTOS'!$A$3:$A$500,$B14,'DADOS BRUTOS'!R$3:R$500)+IF($C14="",0,SUMIF('DADOS BRUTOS'!$A$3:$A$500,$C14,'DADOS BRUTOS'!R$3:R$500)))</f>
        <v/>
      </c>
      <c r="CS14" s="56">
        <f>IF(OR(CS$4="",$B14=""),0,SUMIF('DADOS BRUTOS'!$A$3:$A$500,$B14,'DADOS BRUTOS'!S$3:S$500)+IF($C14="",0,SUMIF('DADOS BRUTOS'!$A$3:$A$500,$C14,'DADOS BRUTOS'!S$3:S$500)))</f>
        <v/>
      </c>
      <c r="CT14" s="56">
        <f>IF(OR(CT$4="",$B14=""),0,SUMIF('DADOS BRUTOS'!$A$3:$A$500,$B14,'DADOS BRUTOS'!T$3:T$500)+IF($C14="",0,SUMIF('DADOS BRUTOS'!$A$3:$A$500,$C14,'DADOS BRUTOS'!T$3:T$500)))</f>
        <v/>
      </c>
      <c r="CU14" s="56">
        <f>IF(OR(CU$4="",$B14=""),0,SUMIF('DADOS BRUTOS'!$A$3:$A$500,$B14,'DADOS BRUTOS'!U$3:U$500)+IF($C14="",0,SUMIF('DADOS BRUTOS'!$A$3:$A$500,$C14,'DADOS BRUTOS'!U$3:U$500)))</f>
        <v/>
      </c>
      <c r="CV14" s="56">
        <f>IF(OR(CV$4="",$B14=""),0,SUMIF('DADOS BRUTOS'!$A$3:$A$500,$B14,'DADOS BRUTOS'!V$3:V$500)+IF($C14="",0,SUMIF('DADOS BRUTOS'!$A$3:$A$500,$C14,'DADOS BRUTOS'!V$3:V$500)))</f>
        <v/>
      </c>
      <c r="CW14" s="56">
        <f>IF(OR(CW$4="",$B14=""),0,SUMIF('DADOS BRUTOS'!$A$3:$A$500,$B14,'DADOS BRUTOS'!W$3:W$500)+IF($C14="",0,SUMIF('DADOS BRUTOS'!$A$3:$A$500,$C14,'DADOS BRUTOS'!W$3:W$500)))</f>
        <v/>
      </c>
      <c r="CX14" s="56">
        <f>IF(OR(CX$4="",$B14=""),0,SUMIF('DADOS BRUTOS'!$A$3:$A$500,$B14,'DADOS BRUTOS'!X$3:X$500)+IF($C14="",0,SUMIF('DADOS BRUTOS'!$A$3:$A$500,$C14,'DADOS BRUTOS'!X$3:X$500)))</f>
        <v/>
      </c>
      <c r="CY14" s="56">
        <f>IF(OR(CY$4="",$B14=""),0,SUMIF('DADOS BRUTOS'!$A$3:$A$500,$B14,'DADOS BRUTOS'!Y$3:Y$500)+IF($C14="",0,SUMIF('DADOS BRUTOS'!$A$3:$A$500,$C14,'DADOS BRUTOS'!Y$3:Y$500)))</f>
        <v/>
      </c>
      <c r="CZ14" s="56">
        <f>IF(OR(CZ$4="",$B14=""),0,SUMIF('DADOS BRUTOS'!$A$3:$A$500,$B14,'DADOS BRUTOS'!Z$3:Z$500)+IF($C14="",0,SUMIF('DADOS BRUTOS'!$A$3:$A$500,$C14,'DADOS BRUTOS'!Z$3:Z$500)))</f>
        <v/>
      </c>
      <c r="DA14" s="56">
        <f>IF(OR(DA$4="",$B14=""),0,SUMIF('DADOS BRUTOS'!$A$3:$A$500,$B14,'DADOS BRUTOS'!AA$3:AA$500)+IF($C14="",0,SUMIF('DADOS BRUTOS'!$A$3:$A$500,$C14,'DADOS BRUTOS'!AA$3:AA$500)))</f>
        <v/>
      </c>
      <c r="DB14" s="56">
        <f>IF(OR(DB$4="",$B14=""),0,SUMIF('DADOS BRUTOS'!$A$3:$A$500,$B14,'DADOS BRUTOS'!AB$3:AB$500)+IF($C14="",0,SUMIF('DADOS BRUTOS'!$A$3:$A$500,$C14,'DADOS BRUTOS'!AB$3:AB$500)))</f>
        <v/>
      </c>
      <c r="DC14" s="56">
        <f>IF(OR(DC$4="",$B14=""),0,SUMIF('DADOS BRUTOS'!$A$3:$A$500,$B14,'DADOS BRUTOS'!AC$3:AC$500)+IF($C14="",0,SUMIF('DADOS BRUTOS'!$A$3:$A$500,$C14,'DADOS BRUTOS'!AC$3:AC$500)))</f>
        <v/>
      </c>
      <c r="DD14" s="56">
        <f>IF(OR(DD$4="",$B14=""),0,SUMIF('DADOS BRUTOS'!$A$3:$A$500,$B14,'DADOS BRUTOS'!AD$3:AD$500)+IF($C14="",0,SUMIF('DADOS BRUTOS'!$A$3:$A$500,$C14,'DADOS BRUTOS'!AD$3:AD$500)))</f>
        <v/>
      </c>
      <c r="DE14" s="56">
        <f>IF(OR(DE$4="",$B14=""),0,SUMIF('DADOS BRUTOS'!$A$3:$A$500,$B14,'DADOS BRUTOS'!AE$3:AE$500)+IF($C14="",0,SUMIF('DADOS BRUTOS'!$A$3:$A$500,$C14,'DADOS BRUTOS'!AE$3:AE$500)))</f>
        <v/>
      </c>
      <c r="DF14" s="56">
        <f>IF(OR(DF$4="",$B14=""),0,SUMIF('DADOS BRUTOS'!$A$3:$A$500,$B14,'DADOS BRUTOS'!AF$3:AF$500)+IF($C14="",0,SUMIF('DADOS BRUTOS'!$A$3:$A$500,$C14,'DADOS BRUTOS'!AF$3:AF$500)))</f>
        <v/>
      </c>
      <c r="DG14" s="56">
        <f>IF(OR(DG$4="",$B14=""),0,SUMIF('DADOS BRUTOS'!$A$3:$A$500,$B14,'DADOS BRUTOS'!AG$3:AG$500)+IF($C14="",0,SUMIF('DADOS BRUTOS'!$A$3:$A$500,$C14,'DADOS BRUTOS'!AG$3:AG$500)))</f>
        <v/>
      </c>
      <c r="DH14" s="56">
        <f>IF(OR(DH$4="",$B14=""),0,SUMIF('DADOS BRUTOS'!$A$3:$A$500,$B14,'DADOS BRUTOS'!AH$3:AH$500)+IF($C14="",0,SUMIF('DADOS BRUTOS'!$A$3:$A$500,$C14,'DADOS BRUTOS'!AH$3:AH$500)))</f>
        <v/>
      </c>
      <c r="DI14" s="56">
        <f>IF(OR(DI$4="",$B14=""),0,SUMIF('DADOS BRUTOS'!$A$3:$A$500,$B14,'DADOS BRUTOS'!AI$3:AI$500)+IF($C14="",0,SUMIF('DADOS BRUTOS'!$A$3:$A$500,$C14,'DADOS BRUTOS'!AI$3:AI$500)))</f>
        <v/>
      </c>
      <c r="DJ14" s="56">
        <f>IF(OR(DJ$4="",$B14=""),0,SUMIF('DADOS BRUTOS'!$A$3:$A$500,$B14,'DADOS BRUTOS'!AJ$3:AJ$500)+IF($C14="",0,SUMIF('DADOS BRUTOS'!$A$3:$A$500,$C14,'DADOS BRUTOS'!AJ$3:AJ$500)))</f>
        <v/>
      </c>
      <c r="DK14" s="56">
        <f>IF(OR(DK$4="",$B14=""),0,SUMIF('DADOS BRUTOS'!$A$3:$A$500,$B14,'DADOS BRUTOS'!AK$3:AK$500)+IF($C14="",0,SUMIF('DADOS BRUTOS'!$A$3:$A$500,$C14,'DADOS BRUTOS'!AK$3:AK$500)))</f>
        <v/>
      </c>
      <c r="DL14" s="56">
        <f>IF(OR(DL$4="",$B14=""),0,SUMIF('DADOS BRUTOS'!$A$3:$A$500,$B14,'DADOS BRUTOS'!AL$3:AL$500)+IF($C14="",0,SUMIF('DADOS BRUTOS'!$A$3:$A$500,$C14,'DADOS BRUTOS'!AL$3:AL$500)))</f>
        <v/>
      </c>
      <c r="DM14" s="56">
        <f>IF(OR(DM$4="",$B14=""),0,SUMIF('DADOS BRUTOS'!$A$3:$A$500,$B14,'DADOS BRUTOS'!AM$3:AM$500)+IF($C14="",0,SUMIF('DADOS BRUTOS'!$A$3:$A$500,$C14,'DADOS BRUTOS'!AM$3:AM$500)))</f>
        <v/>
      </c>
      <c r="DN14" s="56">
        <f>IF(OR(DN$4="",$B14=""),0,SUMIF('DADOS BRUTOS'!$A$3:$A$500,$B14,'DADOS BRUTOS'!AN$3:AN$500)+IF($C14="",0,SUMIF('DADOS BRUTOS'!$A$3:$A$500,$C14,'DADOS BRUTOS'!AN$3:AN$500)))</f>
        <v/>
      </c>
      <c r="DO14" s="56">
        <f>IF(OR(DO$4="",$B14=""),0,SUMIF('DADOS BRUTOS'!$A$3:$A$500,$B14,'DADOS BRUTOS'!AO$3:AO$500)+IF($C14="",0,SUMIF('DADOS BRUTOS'!$A$3:$A$500,$C14,'DADOS BRUTOS'!AO$3:AO$500)))</f>
        <v/>
      </c>
      <c r="DP14" s="56">
        <f>IF(OR(DP$4="",$B14=""),0,SUMIF('DADOS BRUTOS'!$A$3:$A$500,$B14,'DADOS BRUTOS'!AP$3:AP$500)+IF($C14="",0,SUMIF('DADOS BRUTOS'!$A$3:$A$500,$C14,'DADOS BRUTOS'!AP$3:AP$500)))</f>
        <v/>
      </c>
      <c r="DQ14" s="56">
        <f>IF(OR(DQ$4="",$B14=""),0,SUMIF('DADOS BRUTOS'!$A$3:$A$500,$B14,'DADOS BRUTOS'!AQ$3:AQ$500)+IF($C14="",0,SUMIF('DADOS BRUTOS'!$A$3:$A$500,$C14,'DADOS BRUTOS'!AQ$3:AQ$500)))</f>
        <v/>
      </c>
      <c r="DR14" s="56">
        <f>IF(OR(DR$4="",$B14=""),0,SUMIF('DADOS BRUTOS'!$A$3:$A$500,$B14,'DADOS BRUTOS'!AR$3:AR$500)+IF($C14="",0,SUMIF('DADOS BRUTOS'!$A$3:$A$500,$C14,'DADOS BRUTOS'!AR$3:AR$500)))</f>
        <v/>
      </c>
      <c r="DS14" s="56">
        <f>IF(OR(DS$4="",$B14=""),0,SUMIF('DADOS BRUTOS'!$A$3:$A$500,$B14,'DADOS BRUTOS'!AS$3:AS$500)+IF($C14="",0,SUMIF('DADOS BRUTOS'!$A$3:$A$500,$C14,'DADOS BRUTOS'!AS$3:AS$500)))</f>
        <v/>
      </c>
      <c r="DT14" s="56">
        <f>IF(OR(DT$4="",$B14=""),0,SUMIF('DADOS BRUTOS'!$A$3:$A$500,$B14,'DADOS BRUTOS'!AT$3:AT$500)+IF($C14="",0,SUMIF('DADOS BRUTOS'!$A$3:$A$500,$C14,'DADOS BRUTOS'!AT$3:AT$500)))</f>
        <v/>
      </c>
      <c r="DU14" s="56">
        <f>IF(OR(DU$4="",$B14=""),0,SUMIF('DADOS BRUTOS'!$A$3:$A$500,$B14,'DADOS BRUTOS'!AU$3:AU$500)+IF($C14="",0,SUMIF('DADOS BRUTOS'!$A$3:$A$500,$C14,'DADOS BRUTOS'!AU$3:AU$500)))</f>
        <v/>
      </c>
      <c r="DV14" s="56">
        <f>IF(OR(DV$4="",$B14=""),0,SUMIF('DADOS BRUTOS'!$A$3:$A$500,$B14,'DADOS BRUTOS'!AV$3:AV$500)+IF($C14="",0,SUMIF('DADOS BRUTOS'!$A$3:$A$500,$C14,'DADOS BRUTOS'!AV$3:AV$500)))</f>
        <v/>
      </c>
      <c r="DW14" s="56">
        <f>IF(OR(DW$4="",$B14=""),0,SUMIF('DADOS BRUTOS'!$A$3:$A$500,$B14,'DADOS BRUTOS'!AW$3:AW$500)+IF($C14="",0,SUMIF('DADOS BRUTOS'!$A$3:$A$500,$C14,'DADOS BRUTOS'!AW$3:AW$500)))</f>
        <v/>
      </c>
      <c r="DX14" s="56">
        <f>IF(OR(DX$4="",$B14=""),0,SUMIF('DADOS BRUTOS'!$A$3:$A$500,$B14,'DADOS BRUTOS'!AX$3:AX$500)+IF($C14="",0,SUMIF('DADOS BRUTOS'!$A$3:$A$500,$C14,'DADOS BRUTOS'!AX$3:AX$500)))</f>
        <v/>
      </c>
      <c r="DY14" s="56">
        <f>IF(OR(DY$4="",$B14=""),0,SUMIF('DADOS BRUTOS'!$A$3:$A$500,$B14,'DADOS BRUTOS'!AY$3:AY$500)+IF($C14="",0,SUMIF('DADOS BRUTOS'!$A$3:$A$500,$C14,'DADOS BRUTOS'!AY$3:AY$500)))</f>
        <v/>
      </c>
      <c r="DZ14" s="56">
        <f>IF(OR(DZ$4="",$B14=""),0,SUMIF('DADOS BRUTOS'!$A$3:$A$500,$B14,'DADOS BRUTOS'!AZ$3:AZ$500)+IF($C14="",0,SUMIF('DADOS BRUTOS'!$A$3:$A$500,$C14,'DADOS BRUTOS'!AZ$3:AZ$500)))</f>
        <v/>
      </c>
      <c r="EA14" s="56">
        <f>IF(OR(EA$4="",$B14=""),0,SUMIF('DADOS BRUTOS'!$A$3:$A$500,$B14,'DADOS BRUTOS'!BA$3:BA$500)+IF($C14="",0,SUMIF('DADOS BRUTOS'!$A$3:$A$500,$C14,'DADOS BRUTOS'!BA$3:BA$500)))</f>
        <v/>
      </c>
      <c r="EB14" s="56">
        <f>IF(OR(EB$4="",$B14=""),0,SUMIF('DADOS BRUTOS'!$A$3:$A$500,$B14,'DADOS BRUTOS'!BB$3:BB$500)+IF($C14="",0,SUMIF('DADOS BRUTOS'!$A$3:$A$500,$C14,'DADOS BRUTOS'!BB$3:BB$500)))</f>
        <v/>
      </c>
      <c r="EC14" s="56">
        <f>IF(OR(EC$4="",$B14=""),0,SUMIF('DADOS BRUTOS'!$A$3:$A$500,$B14,'DADOS BRUTOS'!BC$3:BC$500)+IF($C14="",0,SUMIF('DADOS BRUTOS'!$A$3:$A$500,$C14,'DADOS BRUTOS'!BC$3:BC$500)))</f>
        <v/>
      </c>
      <c r="ED14" s="56">
        <f>IF(OR(ED$4="",$B14=""),0,SUMIF('DADOS BRUTOS'!$A$3:$A$500,$B14,'DADOS BRUTOS'!BD$3:BD$500)+IF($C14="",0,SUMIF('DADOS BRUTOS'!$A$3:$A$500,$C14,'DADOS BRUTOS'!BD$3:BD$500)))</f>
        <v/>
      </c>
      <c r="EE14" s="56">
        <f>IF(OR(EE$4="",$B14=""),0,SUMIF('DADOS BRUTOS'!$A$3:$A$500,$B14,'DADOS BRUTOS'!BE$3:BE$500)+IF($C14="",0,SUMIF('DADOS BRUTOS'!$A$3:$A$500,$C14,'DADOS BRUTOS'!BE$3:BE$500)))</f>
        <v/>
      </c>
      <c r="EF14" s="56">
        <f>IF(OR(EF$4="",$B14=""),0,SUMIF('DADOS BRUTOS'!$A$3:$A$500,$B14,'DADOS BRUTOS'!BF$3:BF$500)+IF($C14="",0,SUMIF('DADOS BRUTOS'!$A$3:$A$500,$C14,'DADOS BRUTOS'!BF$3:BF$500)))</f>
        <v/>
      </c>
      <c r="EG14" s="56">
        <f>IF(OR(EG$4="",$B14=""),0,SUMIF('DADOS BRUTOS'!$A$3:$A$500,$B14,'DADOS BRUTOS'!BG$3:BG$500)+IF($C14="",0,SUMIF('DADOS BRUTOS'!$A$3:$A$500,$C14,'DADOS BRUTOS'!BG$3:BG$500)))</f>
        <v/>
      </c>
      <c r="EH14" s="56">
        <f>IF(OR(EH$4="",$B14=""),0,SUMIF('DADOS BRUTOS'!$A$3:$A$500,$B14,'DADOS BRUTOS'!BH$3:BH$500)+IF($C14="",0,SUMIF('DADOS BRUTOS'!$A$3:$A$500,$C14,'DADOS BRUTOS'!BH$3:BH$500)))</f>
        <v/>
      </c>
      <c r="EI14" s="56">
        <f>IF(OR(EI$4="",$B14=""),0,SUMIF('DADOS BRUTOS'!$A$3:$A$500,$B14,'DADOS BRUTOS'!BI$3:BI$500)+IF($C14="",0,SUMIF('DADOS BRUTOS'!$A$3:$A$500,$C14,'DADOS BRUTOS'!BI$3:BI$500)))</f>
        <v/>
      </c>
      <c r="EJ14" s="56">
        <f>IF(OR(EJ$4="",$B14=""),0,SUMIF('DADOS BRUTOS'!$A$3:$A$500,$B14,'DADOS BRUTOS'!BJ$3:BJ$500)+IF($C14="",0,SUMIF('DADOS BRUTOS'!$A$3:$A$500,$C14,'DADOS BRUTOS'!BJ$3:BJ$500)))</f>
        <v/>
      </c>
      <c r="EK14" s="56">
        <f>IF(OR(EK$4="",$B14=""),0,SUMIF('DADOS BRUTOS'!$A$3:$A$500,$B14,'DADOS BRUTOS'!BK$3:BK$500)+IF($C14="",0,SUMIF('DADOS BRUTOS'!$A$3:$A$500,$C14,'DADOS BRUTOS'!BK$3:BK$500)))</f>
        <v/>
      </c>
      <c r="EL14" s="56">
        <f>IF(OR(EL$4="",$B14=""),0,SUMIF('DADOS BRUTOS'!$A$3:$A$500,$B14,'DADOS BRUTOS'!BL$3:BL$500)+IF($C14="",0,SUMIF('DADOS BRUTOS'!$A$3:$A$500,$C14,'DADOS BRUTOS'!BL$3:BL$500)))</f>
        <v/>
      </c>
      <c r="EM14" s="56">
        <f>IF(OR(EM$4="",$B14=""),0,SUMIF('DADOS BRUTOS'!$A$3:$A$500,$B14,'DADOS BRUTOS'!BM$3:BM$500)+IF($C14="",0,SUMIF('DADOS BRUTOS'!$A$3:$A$500,$C14,'DADOS BRUTOS'!BM$3:BM$500)))</f>
        <v/>
      </c>
      <c r="EN14" s="56">
        <f>IF(OR(EN$4="",$B14=""),0,SUMIF('DADOS BRUTOS'!$A$3:$A$500,$B14,'DADOS BRUTOS'!BN$3:BN$500)+IF($C14="",0,SUMIF('DADOS BRUTOS'!$A$3:$A$500,$C14,'DADOS BRUTOS'!BN$3:BN$500)))</f>
        <v/>
      </c>
      <c r="EO14" s="56">
        <f>IF(OR(EO$4="",$B14=""),0,SUMIF('DADOS BRUTOS'!$A$3:$A$500,$B14,'DADOS BRUTOS'!BO$3:BO$500)+IF($C14="",0,SUMIF('DADOS BRUTOS'!$A$3:$A$500,$C14,'DADOS BRUTOS'!BO$3:BO$500)))</f>
        <v/>
      </c>
      <c r="EP14" s="56">
        <f>IF(OR(EP$4="",$B14=""),0,SUMIF('DADOS BRUTOS'!$A$3:$A$500,$B14,'DADOS BRUTOS'!BP$3:BP$500)+IF($C14="",0,SUMIF('DADOS BRUTOS'!$A$3:$A$500,$C14,'DADOS BRUTOS'!BP$3:BP$500)))</f>
        <v/>
      </c>
      <c r="EQ14" s="56">
        <f>IF(OR(EQ$4="",$B14=""),0,SUMIF('DADOS BRUTOS'!$A$3:$A$500,$B14,'DADOS BRUTOS'!BQ$3:BQ$500)+IF($C14="",0,SUMIF('DADOS BRUTOS'!$A$3:$A$500,$C14,'DADOS BRUTOS'!BQ$3:BQ$500)))</f>
        <v/>
      </c>
      <c r="ER14" s="56">
        <f>IF(OR(ER$4="",$B14=""),0,SUMIF('DADOS BRUTOS'!$A$3:$A$500,$B14,'DADOS BRUTOS'!BR$3:BR$500)+IF($C14="",0,SUMIF('DADOS BRUTOS'!$A$3:$A$500,$C14,'DADOS BRUTOS'!BR$3:BR$500)))</f>
        <v/>
      </c>
      <c r="ES14" s="56">
        <f>IF(OR(ES$4="",$B14=""),0,SUMIF('DADOS BRUTOS'!$A$3:$A$500,$B14,'DADOS BRUTOS'!BS$3:BS$500)+IF($C14="",0,SUMIF('DADOS BRUTOS'!$A$3:$A$500,$C14,'DADOS BRUTOS'!BS$3:BS$500)))</f>
        <v/>
      </c>
      <c r="ET14" s="56">
        <f>IF(OR(ET$4="",$B14=""),0,SUMIF('DADOS BRUTOS'!$A$3:$A$500,$B14,'DADOS BRUTOS'!BT$3:BT$500)+IF($C14="",0,SUMIF('DADOS BRUTOS'!$A$3:$A$500,$C14,'DADOS BRUTOS'!BT$3:BT$500)))</f>
        <v/>
      </c>
      <c r="EU14" s="56">
        <f>IF(OR(EU$4="",$B14=""),0,SUMIF('DADOS BRUTOS'!$A$3:$A$500,$B14,'DADOS BRUTOS'!BU$3:BU$500)+IF($C14="",0,SUMIF('DADOS BRUTOS'!$A$3:$A$500,$C14,'DADOS BRUTOS'!BU$3:BU$500)))</f>
        <v/>
      </c>
      <c r="EV14" s="56">
        <f>IF(OR(EV$4="",$B14=""),0,SUMIF('DADOS BRUTOS'!$A$3:$A$500,$B14,'DADOS BRUTOS'!BV$3:BV$500)+IF($C14="",0,SUMIF('DADOS BRUTOS'!$A$3:$A$500,$C14,'DADOS BRUTOS'!BV$3:BV$500)))</f>
        <v/>
      </c>
      <c r="EW14" s="56">
        <f>IF(OR(EW$4="",$B14=""),0,SUMIF('DADOS BRUTOS'!$A$3:$A$500,$B14,'DADOS BRUTOS'!BW$3:BW$500)+IF($C14="",0,SUMIF('DADOS BRUTOS'!$A$3:$A$500,$C14,'DADOS BRUTOS'!BW$3:BW$500)))</f>
        <v/>
      </c>
      <c r="EX14" s="56">
        <f>IF(OR(EX$4="",$B14=""),0,SUMIF('DADOS BRUTOS'!$A$3:$A$500,$B14,'DADOS BRUTOS'!BX$3:BX$500)+IF($C14="",0,SUMIF('DADOS BRUTOS'!$A$3:$A$500,$C14,'DADOS BRUTOS'!BX$3:BX$500)))</f>
        <v/>
      </c>
      <c r="EY14" s="56">
        <f>IF(OR(EY$4="",$B14=""),0,SUMIF('DADOS BRUTOS'!$A$3:$A$500,$B14,'DADOS BRUTOS'!BY$3:BY$500)+IF($C14="",0,SUMIF('DADOS BRUTOS'!$A$3:$A$500,$C14,'DADOS BRUTOS'!BY$3:BY$500)))</f>
        <v/>
      </c>
      <c r="EZ14" s="56">
        <f>IF(OR(EZ$4="",$B14=""),0,SUMIF('DADOS BRUTOS'!$A$3:$A$500,$B14,'DADOS BRUTOS'!BZ$3:BZ$500)+IF($C14="",0,SUMIF('DADOS BRUTOS'!$A$3:$A$500,$C14,'DADOS BRUTOS'!BZ$3:BZ$500)))</f>
        <v/>
      </c>
      <c r="FA14" s="56">
        <f>IF(OR(FA$4="",$B14=""),0,SUMIF('DADOS BRUTOS'!$A$3:$A$500,$B14,'DADOS BRUTOS'!CA$3:CA$500)+IF($C14="",0,SUMIF('DADOS BRUTOS'!$A$3:$A$500,$C14,'DADOS BRUTOS'!CA$3:CA$500)))</f>
        <v/>
      </c>
      <c r="FB14" s="56">
        <f>IF(OR(FB$4="",$B14=""),0,SUMIF('DADOS BRUTOS'!$A$3:$A$500,$B14,'DADOS BRUTOS'!CB$3:CB$500)+IF($C14="",0,SUMIF('DADOS BRUTOS'!$A$3:$A$500,$C14,'DADOS BRUTOS'!CB$3:CB$500)))</f>
        <v/>
      </c>
      <c r="FC14" s="56">
        <f>IF(OR(FC$4="",$B14=""),0,SUMIF('DADOS BRUTOS'!$A$3:$A$500,$B14,'DADOS BRUTOS'!CC$3:CC$500)+IF($C14="",0,SUMIF('DADOS BRUTOS'!$A$3:$A$500,$C14,'DADOS BRUTOS'!CC$3:CC$500)))</f>
        <v/>
      </c>
      <c r="FD14" s="56">
        <f>IF(OR(FD$4="",$B14=""),0,SUMIF('DADOS BRUTOS'!$A$3:$A$500,$B14,'DADOS BRUTOS'!CD$3:CD$500)+IF($C14="",0,SUMIF('DADOS BRUTOS'!$A$3:$A$500,$C14,'DADOS BRUTOS'!CD$3:CD$500)))</f>
        <v/>
      </c>
      <c r="FE14" s="56">
        <f>IF(OR(FE$4="",$B14=""),0,SUMIF('DADOS BRUTOS'!$A$3:$A$500,$B14,'DADOS BRUTOS'!CE$3:CE$500)+IF($C14="",0,SUMIF('DADOS BRUTOS'!$A$3:$A$500,$C14,'DADOS BRUTOS'!CE$3:CE$500)))</f>
        <v/>
      </c>
      <c r="FF14" s="56">
        <f>IF(OR(FF$4="",$B14=""),0,SUMIF('DADOS BRUTOS'!$A$3:$A$500,$B14,'DADOS BRUTOS'!CF$3:CF$500)+IF($C14="",0,SUMIF('DADOS BRUTOS'!$A$3:$A$500,$C14,'DADOS BRUTOS'!CF$3:CF$500)))</f>
        <v/>
      </c>
      <c r="FG14" s="56">
        <f>IF(OR(FG$4="",$B14=""),0,SUMIF('DADOS BRUTOS'!$A$3:$A$500,$B14,'DADOS BRUTOS'!CG$3:CG$500)+IF($C14="",0,SUMIF('DADOS BRUTOS'!$A$3:$A$500,$C14,'DADOS BRUTOS'!CG$3:CG$500)))</f>
        <v/>
      </c>
      <c r="FH14" s="56">
        <f>IF(OR(FH$4="",$B14=""),0,SUMIF('DADOS BRUTOS'!$A$3:$A$500,$B14,'DADOS BRUTOS'!CH$3:CH$500)+IF($C14="",0,SUMIF('DADOS BRUTOS'!$A$3:$A$500,$C14,'DADOS BRUTOS'!CH$3:CH$500)))</f>
        <v/>
      </c>
      <c r="FI14" s="56">
        <f>IF(OR(FI$4="",$B14=""),0,SUMIF('DADOS BRUTOS'!$A$3:$A$500,$B14,'DADOS BRUTOS'!CI$3:CI$500)+IF($C14="",0,SUMIF('DADOS BRUTOS'!$A$3:$A$500,$C14,'DADOS BRUTOS'!CI$3:CI$500)))</f>
        <v/>
      </c>
      <c r="FJ14" s="56">
        <f>IF(OR(FJ$4="",$B14=""),0,SUMIF('DADOS BRUTOS'!$A$3:$A$500,$B14,'DADOS BRUTOS'!CJ$3:CJ$500)+IF($C14="",0,SUMIF('DADOS BRUTOS'!$A$3:$A$500,$C14,'DADOS BRUTOS'!CJ$3:CJ$500)))</f>
        <v/>
      </c>
      <c r="FK14" s="56">
        <f>IF(OR(FK$4="",$B14=""),0,SUMIF('DADOS BRUTOS'!$A$3:$A$500,$B14,'DADOS BRUTOS'!CK$3:CK$500)+IF($C14="",0,SUMIF('DADOS BRUTOS'!$A$3:$A$500,$C14,'DADOS BRUTOS'!CK$3:CK$500)))</f>
        <v/>
      </c>
      <c r="FL14" s="56">
        <f>IF(OR(FL$4="",$B14=""),0,SUMIF('DADOS BRUTOS'!$A$3:$A$500,$B14,'DADOS BRUTOS'!CL$3:CL$500)+IF($C14="",0,SUMIF('DADOS BRUTOS'!$A$3:$A$500,$C14,'DADOS BRUTOS'!CL$3:CL$500)))</f>
        <v/>
      </c>
      <c r="FM14" s="56">
        <f>IF(OR(FM$4="",$B14=""),0,SUMIF('DADOS BRUTOS'!$A$3:$A$500,$B14,'DADOS BRUTOS'!CM$3:CM$500)+IF($C14="",0,SUMIF('DADOS BRUTOS'!$A$3:$A$500,$C14,'DADOS BRUTOS'!CM$3:CM$500)))</f>
        <v/>
      </c>
      <c r="FN14" s="56">
        <f>IF(OR(FN$4="",$B14=""),0,SUMIF('DADOS BRUTOS'!$A$3:$A$500,$B14,'DADOS BRUTOS'!CN$3:CN$500)+IF($C14="",0,SUMIF('DADOS BRUTOS'!$A$3:$A$500,$C14,'DADOS BRUTOS'!CN$3:CN$500)))</f>
        <v/>
      </c>
      <c r="FO14" s="56">
        <f>IF(OR(FO$4="",$B14=""),0,SUMIF('DADOS BRUTOS'!$A$3:$A$500,$B14,'DADOS BRUTOS'!CO$3:CO$500)+IF($C14="",0,SUMIF('DADOS BRUTOS'!$A$3:$A$500,$C14,'DADOS BRUTOS'!CO$3:CO$500)))</f>
        <v/>
      </c>
      <c r="FP14" s="56">
        <f>IF(OR(FP$4="",$B14=""),0,SUMIF('DADOS BRUTOS'!$A$3:$A$500,$B14,'DADOS BRUTOS'!CP$3:CP$500)+IF($C14="",0,SUMIF('DADOS BRUTOS'!$A$3:$A$500,$C14,'DADOS BRUTOS'!CP$3:CP$500)))</f>
        <v/>
      </c>
      <c r="FQ14" s="56">
        <f>IF(OR(FQ$4="",$B14=""),0,SUMIF('DADOS BRUTOS'!$A$3:$A$500,$B14,'DADOS BRUTOS'!CQ$3:CQ$500)+IF($C14="",0,SUMIF('DADOS BRUTOS'!$A$3:$A$500,$C14,'DADOS BRUTOS'!CQ$3:CQ$500)))</f>
        <v/>
      </c>
      <c r="FR14" s="56">
        <f>IF(OR(FR$4="",$B14=""),0,SUMIF('DADOS BRUTOS'!$A$3:$A$500,$B14,'DADOS BRUTOS'!CR$3:CR$500)+IF($C14="",0,SUMIF('DADOS BRUTOS'!$A$3:$A$500,$C14,'DADOS BRUTOS'!CR$3:CR$500)))</f>
        <v/>
      </c>
      <c r="FS14" s="56">
        <f>IF(OR(FS$4="",$B14=""),0,SUMIF('DADOS BRUTOS'!$A$3:$A$500,$B14,'DADOS BRUTOS'!CS$3:CS$500)+IF($C14="",0,SUMIF('DADOS BRUTOS'!$A$3:$A$500,$C14,'DADOS BRUTOS'!CS$3:CS$500)))</f>
        <v/>
      </c>
      <c r="FT14" s="56">
        <f>IF(OR(FT$4="",$B14=""),0,SUMIF('DADOS BRUTOS'!$A$3:$A$500,$B14,'DADOS BRUTOS'!CT$3:CT$500)+IF($C14="",0,SUMIF('DADOS BRUTOS'!$A$3:$A$500,$C14,'DADOS BRUTOS'!CT$3:CT$500)))</f>
        <v/>
      </c>
      <c r="FU14" s="56">
        <f>IF(OR(FU$4="",$B14=""),0,SUMIF('DADOS BRUTOS'!$A$3:$A$500,$B14,'DADOS BRUTOS'!CU$3:CU$500)+IF($C14="",0,SUMIF('DADOS BRUTOS'!$A$3:$A$500,$C14,'DADOS BRUTOS'!CU$3:CU$500)))</f>
        <v/>
      </c>
      <c r="FV14" s="56">
        <f>IF(OR(FV$4="",$B14=""),0,SUMIF('DADOS BRUTOS'!$A$3:$A$500,$B14,'DADOS BRUTOS'!CV$3:CV$500)+IF($C14="",0,SUMIF('DADOS BRUTOS'!$A$3:$A$500,$C14,'DADOS BRUTOS'!CV$3:CV$500)))</f>
        <v/>
      </c>
      <c r="FW14" s="56">
        <f>IF(OR(FW$4="",$B14=""),0,SUMIF('DADOS BRUTOS'!$A$3:$A$500,$B14,'DADOS BRUTOS'!CW$3:CW$500)+IF($C14="",0,SUMIF('DADOS BRUTOS'!$A$3:$A$500,$C14,'DADOS BRUTOS'!CW$3:CW$500)))</f>
        <v/>
      </c>
      <c r="FX14" s="56">
        <f>IF(OR(FX$4="",$B14=""),0,SUMIF('DADOS BRUTOS'!$A$3:$A$500,$B14,'DADOS BRUTOS'!CX$3:CX$500)+IF($C14="",0,SUMIF('DADOS BRUTOS'!$A$3:$A$500,$C14,'DADOS BRUTOS'!CX$3:CX$500)))</f>
        <v/>
      </c>
      <c r="FY14" s="56">
        <f>IF(OR(FY$4="",$B14=""),0,SUMIF('DADOS BRUTOS'!$A$3:$A$500,$B14,'DADOS BRUTOS'!CY$3:CY$500)+IF($C14="",0,SUMIF('DADOS BRUTOS'!$A$3:$A$500,$C14,'DADOS BRUTOS'!CY$3:CY$500)))</f>
        <v/>
      </c>
      <c r="FZ14" s="56">
        <f>IF(OR(FZ$4="",$B14=""),0,SUMIF('DADOS BRUTOS'!$A$3:$A$500,$B14,'DADOS BRUTOS'!CZ$3:CZ$500)+IF($C14="",0,SUMIF('DADOS BRUTOS'!$A$3:$A$500,$C14,'DADOS BRUTOS'!CZ$3:CZ$500)))</f>
        <v/>
      </c>
      <c r="GA14" s="56">
        <f>IF(OR(GA$4="",$B14=""),0,SUMIF('DADOS BRUTOS'!$A$3:$A$500,$B14,'DADOS BRUTOS'!DA$3:DA$500)+IF($C14="",0,SUMIF('DADOS BRUTOS'!$A$3:$A$500,$C14,'DADOS BRUTOS'!DA$3:DA$500)))</f>
        <v/>
      </c>
      <c r="GB14" s="56">
        <f>IF(OR(GB$4="",$B14=""),0,SUMIF('DADOS BRUTOS'!$A$3:$A$500,$B14,'DADOS BRUTOS'!DB$3:DB$500)+IF($C14="",0,SUMIF('DADOS BRUTOS'!$A$3:$A$500,$C14,'DADOS BRUTOS'!DB$3:DB$500)))</f>
        <v/>
      </c>
      <c r="GC14" s="56">
        <f>IF(OR(GC$4="",$B14=""),0,SUMIF('DADOS BRUTOS'!$A$3:$A$500,$B14,'DADOS BRUTOS'!DC$3:DC$500)+IF($C14="",0,SUMIF('DADOS BRUTOS'!$A$3:$A$500,$C14,'DADOS BRUTOS'!DC$3:DC$500)))</f>
        <v/>
      </c>
      <c r="GD14" s="56">
        <f>IF(OR(GD$4="",$B14=""),0,SUMIF('DADOS BRUTOS'!$A$3:$A$500,$B14,'DADOS BRUTOS'!DD$3:DD$500)+IF($C14="",0,SUMIF('DADOS BRUTOS'!$A$3:$A$500,$C14,'DADOS BRUTOS'!DD$3:DD$500)))</f>
        <v/>
      </c>
      <c r="GE14" s="56">
        <f>IF(OR(GE$4="",$B14=""),0,SUMIF('DADOS BRUTOS'!$A$3:$A$500,$B14,'DADOS BRUTOS'!DE$3:DE$500)+IF($C14="",0,SUMIF('DADOS BRUTOS'!$A$3:$A$500,$C14,'DADOS BRUTOS'!DE$3:DE$500)))</f>
        <v/>
      </c>
      <c r="GF14" s="56">
        <f>IF(OR(GF$4="",$B14=""),0,SUMIF('DADOS BRUTOS'!$A$3:$A$500,$B14,'DADOS BRUTOS'!DF$3:DF$500)+IF($C14="",0,SUMIF('DADOS BRUTOS'!$A$3:$A$500,$C14,'DADOS BRUTOS'!DF$3:DF$500)))</f>
        <v/>
      </c>
      <c r="GG14" s="56">
        <f>IF(OR(GG$4="",$B14=""),0,SUMIF('DADOS BRUTOS'!$A$3:$A$500,$B14,'DADOS BRUTOS'!DG$3:DG$500)+IF($C14="",0,SUMIF('DADOS BRUTOS'!$A$3:$A$500,$C14,'DADOS BRUTOS'!DG$3:DG$500)))</f>
        <v/>
      </c>
      <c r="GH14" s="56">
        <f>IF(OR(GH$4="",$B14=""),0,SUMIF('DADOS BRUTOS'!$A$3:$A$500,$B14,'DADOS BRUTOS'!DH$3:DH$500)+IF($C14="",0,SUMIF('DADOS BRUTOS'!$A$3:$A$500,$C14,'DADOS BRUTOS'!DH$3:DH$500)))</f>
        <v/>
      </c>
      <c r="GI14" s="56">
        <f>IF(OR(GI$4="",$B14=""),0,SUMIF('DADOS BRUTOS'!$A$3:$A$500,$B14,'DADOS BRUTOS'!DI$3:DI$500)+IF($C14="",0,SUMIF('DADOS BRUTOS'!$A$3:$A$500,$C14,'DADOS BRUTOS'!DI$3:DI$500)))</f>
        <v/>
      </c>
      <c r="GJ14" s="56">
        <f>IF(OR(GJ$4="",$B14=""),0,SUMIF('DADOS BRUTOS'!$A$3:$A$500,$B14,'DADOS BRUTOS'!DJ$3:DJ$500)+IF($C14="",0,SUMIF('DADOS BRUTOS'!$A$3:$A$500,$C14,'DADOS BRUTOS'!DJ$3:DJ$500)))</f>
        <v/>
      </c>
      <c r="GK14" s="56">
        <f>IF(OR(GK$4="",$B14=""),0,SUMIF('DADOS BRUTOS'!$A$3:$A$500,$B14,'DADOS BRUTOS'!DK$3:DK$500)+IF($C14="",0,SUMIF('DADOS BRUTOS'!$A$3:$A$500,$C14,'DADOS BRUTOS'!DK$3:DK$500)))</f>
        <v/>
      </c>
      <c r="GL14" s="56">
        <f>IF(OR(GL$4="",$B14=""),0,SUMIF('DADOS BRUTOS'!$A$3:$A$500,$B14,'DADOS BRUTOS'!DL$3:DL$500)+IF($C14="",0,SUMIF('DADOS BRUTOS'!$A$3:$A$500,$C14,'DADOS BRUTOS'!DL$3:DL$500)))</f>
        <v/>
      </c>
      <c r="GM14" s="56">
        <f>IF(OR(GM$4="",$B14=""),0,SUMIF('DADOS BRUTOS'!$A$3:$A$500,$B14,'DADOS BRUTOS'!DM$3:DM$500)+IF($C14="",0,SUMIF('DADOS BRUTOS'!$A$3:$A$500,$C14,'DADOS BRUTOS'!DM$3:DM$500)))</f>
        <v/>
      </c>
      <c r="GN14" s="56">
        <f>IF(OR(GN$4="",$B14=""),0,SUMIF('DADOS BRUTOS'!$A$3:$A$500,$B14,'DADOS BRUTOS'!DN$3:DN$500)+IF($C14="",0,SUMIF('DADOS BRUTOS'!$A$3:$A$500,$C14,'DADOS BRUTOS'!DN$3:DN$500)))</f>
        <v/>
      </c>
      <c r="GO14" s="56">
        <f>IF(OR(GO$4="",$B14=""),0,SUMIF('DADOS BRUTOS'!$A$3:$A$500,$B14,'DADOS BRUTOS'!DO$3:DO$500)+IF($C14="",0,SUMIF('DADOS BRUTOS'!$A$3:$A$500,$C14,'DADOS BRUTOS'!DO$3:DO$500)))</f>
        <v/>
      </c>
      <c r="GP14" s="56">
        <f>IF(OR(GP$4="",$B14=""),0,SUMIF('DADOS BRUTOS'!$A$3:$A$500,$B14,'DADOS BRUTOS'!DP$3:DP$500)+IF($C14="",0,SUMIF('DADOS BRUTOS'!$A$3:$A$500,$C14,'DADOS BRUTOS'!DP$3:DP$500)))</f>
        <v/>
      </c>
      <c r="GQ14" s="56">
        <f>IF(OR(GQ$4="",$B14=""),0,SUMIF('DADOS BRUTOS'!$A$3:$A$500,$B14,'DADOS BRUTOS'!DQ$3:DQ$500)+IF($C14="",0,SUMIF('DADOS BRUTOS'!$A$3:$A$500,$C14,'DADOS BRUTOS'!DQ$3:DQ$500)))</f>
        <v/>
      </c>
      <c r="GR14" s="56">
        <f>IF(OR(GR$4="",$B14=""),0,SUMIF('DADOS BRUTOS'!$A$3:$A$500,$B14,'DADOS BRUTOS'!DR$3:DR$500)+IF($C14="",0,SUMIF('DADOS BRUTOS'!$A$3:$A$500,$C14,'DADOS BRUTOS'!DR$3:DR$500)))</f>
        <v/>
      </c>
      <c r="GS14" s="56">
        <f>IF(OR(GS$4="",$B14=""),0,SUMIF('DADOS BRUTOS'!$A$3:$A$500,$B14,'DADOS BRUTOS'!DS$3:DS$500)+IF($C14="",0,SUMIF('DADOS BRUTOS'!$A$3:$A$500,$C14,'DADOS BRUTOS'!DS$3:DS$500)))</f>
        <v/>
      </c>
      <c r="GT14" s="56">
        <f>IF(OR(GT$4="",$B14=""),0,SUMIF('DADOS BRUTOS'!$A$3:$A$500,$B14,'DADOS BRUTOS'!DT$3:DT$500)+IF($C14="",0,SUMIF('DADOS BRUTOS'!$A$3:$A$500,$C14,'DADOS BRUTOS'!DT$3:DT$500)))</f>
        <v/>
      </c>
      <c r="GU14" s="56">
        <f>IF(OR(GU$4="",$B14=""),0,SUMIF('DADOS BRUTOS'!$A$3:$A$500,$B14,'DADOS BRUTOS'!DU$3:DU$500)+IF($C14="",0,SUMIF('DADOS BRUTOS'!$A$3:$A$500,$C14,'DADOS BRUTOS'!DU$3:DU$500)))</f>
        <v/>
      </c>
      <c r="GV14" s="56">
        <f>IF(OR(GV$4="",$B14=""),0,SUMIF('DADOS BRUTOS'!$A$3:$A$500,$B14,'DADOS BRUTOS'!DV$3:DV$500)+IF($C14="",0,SUMIF('DADOS BRUTOS'!$A$3:$A$500,$C14,'DADOS BRUTOS'!DV$3:DV$500)))</f>
        <v/>
      </c>
      <c r="GW14" s="56">
        <f>IF(OR(GW$4="",$B14=""),0,SUMIF('DADOS BRUTOS'!$A$3:$A$500,$B14,'DADOS BRUTOS'!DW$3:DW$500)+IF($C14="",0,SUMIF('DADOS BRUTOS'!$A$3:$A$500,$C14,'DADOS BRUTOS'!DW$3:DW$500)))</f>
        <v/>
      </c>
      <c r="GX14" s="56">
        <f>IF(OR(GX$4="",$B14=""),0,SUMIF('DADOS BRUTOS'!$A$3:$A$500,$B14,'DADOS BRUTOS'!DX$3:DX$500)+IF($C14="",0,SUMIF('DADOS BRUTOS'!$A$3:$A$500,$C14,'DADOS BRUTOS'!DX$3:DX$500)))</f>
        <v/>
      </c>
      <c r="GY14" s="56">
        <f>IF(OR(GY$4="",$B14=""),0,SUMIF('DADOS BRUTOS'!$A$3:$A$500,$B14,'DADOS BRUTOS'!DY$3:DY$500)+IF($C14="",0,SUMIF('DADOS BRUTOS'!$A$3:$A$500,$C14,'DADOS BRUTOS'!DY$3:DY$500)))</f>
        <v/>
      </c>
      <c r="GZ14" s="56">
        <f>IF(OR(GZ$4="",$B14=""),0,SUMIF('DADOS BRUTOS'!$A$3:$A$500,$B14,'DADOS BRUTOS'!DZ$3:DZ$500)+IF($C14="",0,SUMIF('DADOS BRUTOS'!$A$3:$A$500,$C14,'DADOS BRUTOS'!DZ$3:DZ$500)))</f>
        <v/>
      </c>
      <c r="HA14" s="56">
        <f>IF(OR(HA$4="",$B14=""),0,SUMIF('DADOS BRUTOS'!$A$3:$A$500,$B14,'DADOS BRUTOS'!EA$3:EA$500)+IF($C14="",0,SUMIF('DADOS BRUTOS'!$A$3:$A$500,$C14,'DADOS BRUTOS'!EA$3:EA$500)))</f>
        <v/>
      </c>
      <c r="HB14" s="56">
        <f>IF(OR(HB$4="",$B14=""),0,SUMIF('DADOS BRUTOS'!$A$3:$A$500,$B14,'DADOS BRUTOS'!EB$3:EB$500)+IF($C14="",0,SUMIF('DADOS BRUTOS'!$A$3:$A$500,$C14,'DADOS BRUTOS'!EB$3:EB$500)))</f>
        <v/>
      </c>
      <c r="HC14" s="56">
        <f>IF(OR(HC$4="",$B14=""),0,SUMIF('DADOS BRUTOS'!$A$3:$A$500,$B14,'DADOS BRUTOS'!EC$3:EC$500)+IF($C14="",0,SUMIF('DADOS BRUTOS'!$A$3:$A$500,$C14,'DADOS BRUTOS'!EC$3:EC$500)))</f>
        <v/>
      </c>
      <c r="HD14" s="56">
        <f>IF(OR(HD$4="",$B14=""),0,SUMIF('DADOS BRUTOS'!$A$3:$A$500,$B14,'DADOS BRUTOS'!ED$3:ED$500)+IF($C14="",0,SUMIF('DADOS BRUTOS'!$A$3:$A$500,$C14,'DADOS BRUTOS'!ED$3:ED$500)))</f>
        <v/>
      </c>
      <c r="HE14" s="56">
        <f>IF(OR(HE$4="",$B14=""),0,SUMIF('DADOS BRUTOS'!$A$3:$A$500,$B14,'DADOS BRUTOS'!EE$3:EE$500)+IF($C14="",0,SUMIF('DADOS BRUTOS'!$A$3:$A$500,$C14,'DADOS BRUTOS'!EE$3:EE$500)))</f>
        <v/>
      </c>
      <c r="HF14" s="56">
        <f>IF(OR(HF$4="",$B14=""),0,SUMIF('DADOS BRUTOS'!$A$3:$A$500,$B14,'DADOS BRUTOS'!EF$3:EF$500)+IF($C14="",0,SUMIF('DADOS BRUTOS'!$A$3:$A$500,$C14,'DADOS BRUTOS'!EF$3:EF$500)))</f>
        <v/>
      </c>
      <c r="HG14" s="56">
        <f>IF(OR(HG$4="",$B14=""),0,SUMIF('DADOS BRUTOS'!$A$3:$A$500,$B14,'DADOS BRUTOS'!EG$3:EG$500)+IF($C14="",0,SUMIF('DADOS BRUTOS'!$A$3:$A$500,$C14,'DADOS BRUTOS'!EG$3:EG$500)))</f>
        <v/>
      </c>
      <c r="HH14" s="56">
        <f>IF(OR(HH$4="",$B14=""),0,SUMIF('DADOS BRUTOS'!$A$3:$A$500,$B14,'DADOS BRUTOS'!EH$3:EH$500)+IF($C14="",0,SUMIF('DADOS BRUTOS'!$A$3:$A$500,$C14,'DADOS BRUTOS'!EH$3:EH$500)))</f>
        <v/>
      </c>
      <c r="HI14" s="56">
        <f>IF(OR(HI$4="",$B14=""),0,SUMIF('DADOS BRUTOS'!$A$3:$A$500,$B14,'DADOS BRUTOS'!EI$3:EI$500)+IF($C14="",0,SUMIF('DADOS BRUTOS'!$A$3:$A$500,$C14,'DADOS BRUTOS'!EI$3:EI$500)))</f>
        <v/>
      </c>
      <c r="HJ14" s="56">
        <f>IF(OR(HJ$4="",$B14=""),0,SUMIF('DADOS BRUTOS'!$A$3:$A$500,$B14,'DADOS BRUTOS'!EJ$3:EJ$500)+IF($C14="",0,SUMIF('DADOS BRUTOS'!$A$3:$A$500,$C14,'DADOS BRUTOS'!EJ$3:EJ$500)))</f>
        <v/>
      </c>
      <c r="HK14" s="56">
        <f>IF(OR(HK$4="",$B14=""),0,SUMIF('DADOS BRUTOS'!$A$3:$A$500,$B14,'DADOS BRUTOS'!EK$3:EK$500)+IF($C14="",0,SUMIF('DADOS BRUTOS'!$A$3:$A$500,$C14,'DADOS BRUTOS'!EK$3:EK$500)))</f>
        <v/>
      </c>
      <c r="HL14" s="56">
        <f>IF(OR(HL$4="",$B14=""),0,SUMIF('DADOS BRUTOS'!$A$3:$A$500,$B14,'DADOS BRUTOS'!EL$3:EL$500)+IF($C14="",0,SUMIF('DADOS BRUTOS'!$A$3:$A$500,$C14,'DADOS BRUTOS'!EL$3:EL$500)))</f>
        <v/>
      </c>
      <c r="HM14" s="56">
        <f>IF(OR(HM$4="",$B14=""),0,SUMIF('DADOS BRUTOS'!$A$3:$A$500,$B14,'DADOS BRUTOS'!EM$3:EM$500)+IF($C14="",0,SUMIF('DADOS BRUTOS'!$A$3:$A$500,$C14,'DADOS BRUTOS'!EM$3:EM$500)))</f>
        <v/>
      </c>
      <c r="HN14" s="56">
        <f>IF(OR(HN$4="",$B14=""),0,SUMIF('DADOS BRUTOS'!$A$3:$A$500,$B14,'DADOS BRUTOS'!EN$3:EN$500)+IF($C14="",0,SUMIF('DADOS BRUTOS'!$A$3:$A$500,$C14,'DADOS BRUTOS'!EN$3:EN$500)))</f>
        <v/>
      </c>
      <c r="HO14" s="56">
        <f>IF(OR(HO$4="",$B14=""),0,SUMIF('DADOS BRUTOS'!$A$3:$A$500,$B14,'DADOS BRUTOS'!EO$3:EO$500)+IF($C14="",0,SUMIF('DADOS BRUTOS'!$A$3:$A$500,$C14,'DADOS BRUTOS'!EO$3:EO$500)))</f>
        <v/>
      </c>
      <c r="HP14" s="56">
        <f>IF(OR(HP$4="",$B14=""),0,SUMIF('DADOS BRUTOS'!$A$3:$A$500,$B14,'DADOS BRUTOS'!EP$3:EP$500)+IF($C14="",0,SUMIF('DADOS BRUTOS'!$A$3:$A$500,$C14,'DADOS BRUTOS'!EP$3:EP$500)))</f>
        <v/>
      </c>
      <c r="HQ14" s="56">
        <f>IF(OR(HQ$4="",$B14=""),0,SUMIF('DADOS BRUTOS'!$A$3:$A$500,$B14,'DADOS BRUTOS'!EQ$3:EQ$500)+IF($C14="",0,SUMIF('DADOS BRUTOS'!$A$3:$A$500,$C14,'DADOS BRUTOS'!EQ$3:EQ$500)))</f>
        <v/>
      </c>
      <c r="HR14" s="56">
        <f>IF(OR(HR$4="",$B14=""),0,SUMIF('DADOS BRUTOS'!$A$3:$A$500,$B14,'DADOS BRUTOS'!ER$3:ER$500)+IF($C14="",0,SUMIF('DADOS BRUTOS'!$A$3:$A$500,$C14,'DADOS BRUTOS'!ER$3:ER$500)))</f>
        <v/>
      </c>
      <c r="HS14" s="56">
        <f>IF(OR(HS$4="",$B14=""),0,SUMIF('DADOS BRUTOS'!$A$3:$A$500,$B14,'DADOS BRUTOS'!ES$3:ES$500)+IF($C14="",0,SUMIF('DADOS BRUTOS'!$A$3:$A$500,$C14,'DADOS BRUTOS'!ES$3:ES$500)))</f>
        <v/>
      </c>
      <c r="HT14" s="56">
        <f>IF(OR(HT$4="",$B14=""),0,SUMIF('DADOS BRUTOS'!$A$3:$A$500,$B14,'DADOS BRUTOS'!ET$3:ET$500)+IF($C14="",0,SUMIF('DADOS BRUTOS'!$A$3:$A$500,$C14,'DADOS BRUTOS'!ET$3:ET$500)))</f>
        <v/>
      </c>
      <c r="HU14" s="56">
        <f>IF(OR(HU$4="",$B14=""),0,SUMIF('DADOS BRUTOS'!$A$3:$A$500,$B14,'DADOS BRUTOS'!EU$3:EU$500)+IF($C14="",0,SUMIF('DADOS BRUTOS'!$A$3:$A$500,$C14,'DADOS BRUTOS'!EU$3:EU$500)))</f>
        <v/>
      </c>
      <c r="HV14" s="56">
        <f>IF(OR(HV$4="",$B14=""),0,SUMIF('DADOS BRUTOS'!$A$3:$A$500,$B14,'DADOS BRUTOS'!EV$3:EV$500)+IF($C14="",0,SUMIF('DADOS BRUTOS'!$A$3:$A$500,$C14,'DADOS BRUTOS'!EV$3:EV$500)))</f>
        <v/>
      </c>
      <c r="HW14" s="56">
        <f>IF(OR(HW$4="",$B14=""),0,SUMIF('DADOS BRUTOS'!$A$3:$A$500,$B14,'DADOS BRUTOS'!EW$3:EW$500)+IF($C14="",0,SUMIF('DADOS BRUTOS'!$A$3:$A$500,$C14,'DADOS BRUTOS'!EW$3:EW$500)))</f>
        <v/>
      </c>
      <c r="HX14" s="56">
        <f>IF(OR(HX$4="",$B14=""),0,SUMIF('DADOS BRUTOS'!$A$3:$A$500,$B14,'DADOS BRUTOS'!EX$3:EX$500)+IF($C14="",0,SUMIF('DADOS BRUTOS'!$A$3:$A$500,$C14,'DADOS BRUTOS'!EX$3:EX$500)))</f>
        <v/>
      </c>
      <c r="HY14" s="56">
        <f>IF(OR(HY$4="",$B14=""),0,SUMIF('DADOS BRUTOS'!$A$3:$A$500,$B14,'DADOS BRUTOS'!EY$3:EY$500)+IF($C14="",0,SUMIF('DADOS BRUTOS'!$A$3:$A$500,$C14,'DADOS BRUTOS'!EY$3:EY$500)))</f>
        <v/>
      </c>
      <c r="HZ14" s="56">
        <f>IF(OR(HZ$4="",$B14=""),0,SUMIF('DADOS BRUTOS'!$A$3:$A$500,$B14,'DADOS BRUTOS'!EZ$3:EZ$500)+IF($C14="",0,SUMIF('DADOS BRUTOS'!$A$3:$A$500,$C14,'DADOS BRUTOS'!EZ$3:EZ$500)))</f>
        <v/>
      </c>
      <c r="IA14" s="56">
        <f>IF(OR(IA$4="",$B14=""),0,SUMIF('DADOS BRUTOS'!$A$3:$A$500,$B14,'DADOS BRUTOS'!FA$3:FA$500)+IF($C14="",0,SUMIF('DADOS BRUTOS'!$A$3:$A$500,$C14,'DADOS BRUTOS'!FA$3:FA$500)))</f>
        <v/>
      </c>
      <c r="IB14" s="56">
        <f>IF(OR(IB$4="",$B14=""),0,SUMIF('DADOS BRUTOS'!$A$3:$A$500,$B14,'DADOS BRUTOS'!FB$3:FB$500)+IF($C14="",0,SUMIF('DADOS BRUTOS'!$A$3:$A$500,$C14,'DADOS BRUTOS'!FB$3:FB$500)))</f>
        <v/>
      </c>
      <c r="IC14" s="56">
        <f>IF(OR(IC$4="",$B14=""),0,SUMIF('DADOS BRUTOS'!$A$3:$A$500,$B14,'DADOS BRUTOS'!FC$3:FC$500)+IF($C14="",0,SUMIF('DADOS BRUTOS'!$A$3:$A$500,$C14,'DADOS BRUTOS'!FC$3:FC$500)))</f>
        <v/>
      </c>
      <c r="ID14" s="56">
        <f>IF(OR(ID$4="",$B14=""),0,SUMIF('DADOS BRUTOS'!$A$3:$A$500,$B14,'DADOS BRUTOS'!FD$3:FD$500)+IF($C14="",0,SUMIF('DADOS BRUTOS'!$A$3:$A$500,$C14,'DADOS BRUTOS'!FD$3:FD$500)))</f>
        <v/>
      </c>
      <c r="IE14" s="56">
        <f>IF(OR(IE$4="",$B14=""),0,SUMIF('DADOS BRUTOS'!$A$3:$A$500,$B14,'DADOS BRUTOS'!FE$3:FE$500)+IF($C14="",0,SUMIF('DADOS BRUTOS'!$A$3:$A$500,$C14,'DADOS BRUTOS'!FE$3:FE$500)))</f>
        <v/>
      </c>
      <c r="IF14" s="56">
        <f>IF(OR(IF$4="",$B14=""),0,SUMIF('DADOS BRUTOS'!$A$3:$A$500,$B14,'DADOS BRUTOS'!FF$3:FF$500)+IF($C14="",0,SUMIF('DADOS BRUTOS'!$A$3:$A$500,$C14,'DADOS BRUTOS'!FF$3:FF$500)))</f>
        <v/>
      </c>
      <c r="IG14" s="56">
        <f>IF(OR(IG$4="",$B14=""),0,SUMIF('DADOS BRUTOS'!$A$3:$A$500,$B14,'DADOS BRUTOS'!FG$3:FG$500)+IF($C14="",0,SUMIF('DADOS BRUTOS'!$A$3:$A$500,$C14,'DADOS BRUTOS'!FG$3:FG$500)))</f>
        <v/>
      </c>
      <c r="IH14" s="56">
        <f>IF(OR(IH$4="",$B14=""),0,SUMIF('DADOS BRUTOS'!$A$3:$A$500,$B14,'DADOS BRUTOS'!FH$3:FH$500)+IF($C14="",0,SUMIF('DADOS BRUTOS'!$A$3:$A$500,$C14,'DADOS BRUTOS'!FH$3:FH$500)))</f>
        <v/>
      </c>
      <c r="II14" s="56">
        <f>IF(OR(II$4="",$B14=""),0,SUMIF('DADOS BRUTOS'!$A$3:$A$500,$B14,'DADOS BRUTOS'!FI$3:FI$500)+IF($C14="",0,SUMIF('DADOS BRUTOS'!$A$3:$A$500,$C14,'DADOS BRUTOS'!FI$3:FI$500)))</f>
        <v/>
      </c>
      <c r="IJ14" s="56">
        <f>IF(OR(IJ$4="",$B14=""),0,SUMIF('DADOS BRUTOS'!$A$3:$A$500,$B14,'DADOS BRUTOS'!FJ$3:FJ$500)+IF($C14="",0,SUMIF('DADOS BRUTOS'!$A$3:$A$500,$C14,'DADOS BRUTOS'!FJ$3:FJ$500)))</f>
        <v/>
      </c>
      <c r="IK14" s="56">
        <f>IF(OR(IK$4="",$B14=""),0,SUMIF('DADOS BRUTOS'!$A$3:$A$500,$B14,'DADOS BRUTOS'!FK$3:FK$500)+IF($C14="",0,SUMIF('DADOS BRUTOS'!$A$3:$A$500,$C14,'DADOS BRUTOS'!FK$3:FK$500)))</f>
        <v/>
      </c>
      <c r="IL14" s="56">
        <f>IF(OR(IL$4="",$B14=""),0,SUMIF('DADOS BRUTOS'!$A$3:$A$500,$B14,'DADOS BRUTOS'!FL$3:FL$500)+IF($C14="",0,SUMIF('DADOS BRUTOS'!$A$3:$A$500,$C14,'DADOS BRUTOS'!FL$3:FL$500)))</f>
        <v/>
      </c>
      <c r="IM14" s="56">
        <f>IF(OR(IM$4="",$B14=""),0,SUMIF('DADOS BRUTOS'!$A$3:$A$500,$B14,'DADOS BRUTOS'!FM$3:FM$500)+IF($C14="",0,SUMIF('DADOS BRUTOS'!$A$3:$A$500,$C14,'DADOS BRUTOS'!FM$3:FM$500)))</f>
        <v/>
      </c>
      <c r="IN14" s="56">
        <f>IF(OR(IN$4="",$B14=""),0,SUMIF('DADOS BRUTOS'!$A$3:$A$500,$B14,'DADOS BRUTOS'!FN$3:FN$500)+IF($C14="",0,SUMIF('DADOS BRUTOS'!$A$3:$A$500,$C14,'DADOS BRUTOS'!FN$3:FN$500)))</f>
        <v/>
      </c>
      <c r="IO14" s="56">
        <f>IF(OR(IO$4="",$B14=""),0,SUMIF('DADOS BRUTOS'!$A$3:$A$500,$B14,'DADOS BRUTOS'!FO$3:FO$500)+IF($C14="",0,SUMIF('DADOS BRUTOS'!$A$3:$A$500,$C14,'DADOS BRUTOS'!FO$3:FO$500)))</f>
        <v/>
      </c>
      <c r="IP14" s="56">
        <f>IF(OR(IP$4="",$B14=""),0,SUMIF('DADOS BRUTOS'!$A$3:$A$500,$B14,'DADOS BRUTOS'!FP$3:FP$500)+IF($C14="",0,SUMIF('DADOS BRUTOS'!$A$3:$A$500,$C14,'DADOS BRUTOS'!FP$3:FP$500)))</f>
        <v/>
      </c>
      <c r="IQ14" s="56">
        <f>IF(OR(IQ$4="",$B14=""),0,SUMIF('DADOS BRUTOS'!$A$3:$A$500,$B14,'DADOS BRUTOS'!FQ$3:FQ$500)+IF($C14="",0,SUMIF('DADOS BRUTOS'!$A$3:$A$500,$C14,'DADOS BRUTOS'!FQ$3:FQ$500)))</f>
        <v/>
      </c>
      <c r="IR14" s="56">
        <f>IF(OR(IR$4="",$B14=""),0,SUMIF('DADOS BRUTOS'!$A$3:$A$500,$B14,'DADOS BRUTOS'!FR$3:FR$500)+IF($C14="",0,SUMIF('DADOS BRUTOS'!$A$3:$A$500,$C14,'DADOS BRUTOS'!FR$3:FR$500)))</f>
        <v/>
      </c>
      <c r="IS14" s="56">
        <f>IF(OR(IS$4="",$B14=""),0,SUMIF('DADOS BRUTOS'!$A$3:$A$500,$B14,'DADOS BRUTOS'!FS$3:FS$500)+IF($C14="",0,SUMIF('DADOS BRUTOS'!$A$3:$A$500,$C14,'DADOS BRUTOS'!FS$3:FS$500)))</f>
        <v/>
      </c>
      <c r="IT14" s="56">
        <f>IF(OR(IT$4="",$B14=""),0,SUMIF('DADOS BRUTOS'!$A$3:$A$500,$B14,'DADOS BRUTOS'!FT$3:FT$500)+IF($C14="",0,SUMIF('DADOS BRUTOS'!$A$3:$A$500,$C14,'DADOS BRUTOS'!FT$3:FT$500)))</f>
        <v/>
      </c>
      <c r="IU14" s="56">
        <f>IF(OR(IU$4="",$B14=""),0,SUMIF('DADOS BRUTOS'!$A$3:$A$500,$B14,'DADOS BRUTOS'!FU$3:FU$500)+IF($C14="",0,SUMIF('DADOS BRUTOS'!$A$3:$A$500,$C14,'DADOS BRUTOS'!FU$3:FU$500)))</f>
        <v/>
      </c>
      <c r="IV14" s="56">
        <f>IF(OR(IV$4="",$B14=""),0,SUMIF('DADOS BRUTOS'!$A$3:$A$500,$B14,'DADOS BRUTOS'!FV$3:FV$500)+IF($C14="",0,SUMIF('DADOS BRUTOS'!$A$3:$A$500,$C14,'DADOS BRUTOS'!FV$3:FV$500)))</f>
        <v/>
      </c>
      <c r="IW14" s="56">
        <f>IF(OR(IW$4="",$B14=""),0,SUMIF('DADOS BRUTOS'!$A$3:$A$500,$B14,'DADOS BRUTOS'!FW$3:FW$500)+IF($C14="",0,SUMIF('DADOS BRUTOS'!$A$3:$A$500,$C14,'DADOS BRUTOS'!FW$3:FW$500)))</f>
        <v/>
      </c>
      <c r="IX14" s="56">
        <f>IF(OR(IX$4="",$B14=""),0,SUMIF('DADOS BRUTOS'!$A$3:$A$500,$B14,'DADOS BRUTOS'!FX$3:FX$500)+IF($C14="",0,SUMIF('DADOS BRUTOS'!$A$3:$A$500,$C14,'DADOS BRUTOS'!FX$3:FX$500)))</f>
        <v/>
      </c>
      <c r="IY14" s="56">
        <f>IF(OR(IY$4="",$B14=""),0,SUMIF('DADOS BRUTOS'!$A$3:$A$500,$B14,'DADOS BRUTOS'!FY$3:FY$500)+IF($C14="",0,SUMIF('DADOS BRUTOS'!$A$3:$A$500,$C14,'DADOS BRUTOS'!FY$3:FY$500)))</f>
        <v/>
      </c>
      <c r="IZ14" s="56">
        <f>IF(OR(IZ$4="",$B14=""),0,SUMIF('DADOS BRUTOS'!$A$3:$A$500,$B14,'DADOS BRUTOS'!FZ$3:FZ$500)+IF($C14="",0,SUMIF('DADOS BRUTOS'!$A$3:$A$500,$C14,'DADOS BRUTOS'!FZ$3:FZ$500)))</f>
        <v/>
      </c>
      <c r="JA14" s="56">
        <f>IF(OR(JA$4="",$B14=""),0,SUMIF('DADOS BRUTOS'!$A$3:$A$500,$B14,'DADOS BRUTOS'!GA$3:GA$500)+IF($C14="",0,SUMIF('DADOS BRUTOS'!$A$3:$A$500,$C14,'DADOS BRUTOS'!GA$3:GA$500)))</f>
        <v/>
      </c>
      <c r="JB14" s="56">
        <f>IF(OR(JB$4="",$B14=""),0,SUMIF('DADOS BRUTOS'!$A$3:$A$500,$B14,'DADOS BRUTOS'!GB$3:GB$500)+IF($C14="",0,SUMIF('DADOS BRUTOS'!$A$3:$A$500,$C14,'DADOS BRUTOS'!GB$3:GB$500)))</f>
        <v/>
      </c>
      <c r="JC14" s="56">
        <f>IF(OR(JC$4="",$B14=""),0,SUMIF('DADOS BRUTOS'!$A$3:$A$500,$B14,'DADOS BRUTOS'!GC$3:GC$500)+IF($C14="",0,SUMIF('DADOS BRUTOS'!$A$3:$A$500,$C14,'DADOS BRUTOS'!GC$3:GC$500)))</f>
        <v/>
      </c>
      <c r="JD14" s="56">
        <f>IF(OR(JD$4="",$B14=""),0,SUMIF('DADOS BRUTOS'!$A$3:$A$500,$B14,'DADOS BRUTOS'!GD$3:GD$500)+IF($C14="",0,SUMIF('DADOS BRUTOS'!$A$3:$A$500,$C14,'DADOS BRUTOS'!GD$3:GD$500)))</f>
        <v/>
      </c>
      <c r="JE14" s="56">
        <f>IF(OR(JE$4="",$B14=""),0,SUMIF('DADOS BRUTOS'!$A$3:$A$500,$B14,'DADOS BRUTOS'!GE$3:GE$500)+IF($C14="",0,SUMIF('DADOS BRUTOS'!$A$3:$A$500,$C14,'DADOS BRUTOS'!GE$3:GE$500)))</f>
        <v/>
      </c>
      <c r="JF14" s="56">
        <f>IF(OR(JF$4="",$B14=""),0,SUMIF('DADOS BRUTOS'!$A$3:$A$500,$B14,'DADOS BRUTOS'!GF$3:GF$500)+IF($C14="",0,SUMIF('DADOS BRUTOS'!$A$3:$A$500,$C14,'DADOS BRUTOS'!GF$3:GF$500)))</f>
        <v/>
      </c>
      <c r="JG14" s="56">
        <f>IF(OR(JG$4="",$B14=""),0,SUMIF('DADOS BRUTOS'!$A$3:$A$500,$B14,'DADOS BRUTOS'!GG$3:GG$500)+IF($C14="",0,SUMIF('DADOS BRUTOS'!$A$3:$A$500,$C14,'DADOS BRUTOS'!GG$3:GG$500)))</f>
        <v/>
      </c>
      <c r="JH14" s="56">
        <f>IF(OR(JH$4="",$B14=""),0,SUMIF('DADOS BRUTOS'!$A$3:$A$500,$B14,'DADOS BRUTOS'!GH$3:GH$500)+IF($C14="",0,SUMIF('DADOS BRUTOS'!$A$3:$A$500,$C14,'DADOS BRUTOS'!GH$3:GH$500)))</f>
        <v/>
      </c>
      <c r="JI14" s="56">
        <f>IF(OR(JI$4="",$B14=""),0,SUMIF('DADOS BRUTOS'!$A$3:$A$500,$B14,'DADOS BRUTOS'!GI$3:GI$500)+IF($C14="",0,SUMIF('DADOS BRUTOS'!$A$3:$A$500,$C14,'DADOS BRUTOS'!GI$3:GI$500)))</f>
        <v/>
      </c>
      <c r="JJ14" s="56">
        <f>IF(OR(JJ$4="",$B14=""),0,SUMIF('DADOS BRUTOS'!$A$3:$A$500,$B14,'DADOS BRUTOS'!GJ$3:GJ$500)+IF($C14="",0,SUMIF('DADOS BRUTOS'!$A$3:$A$500,$C14,'DADOS BRUTOS'!GJ$3:GJ$500)))</f>
        <v/>
      </c>
      <c r="JK14" s="56">
        <f>IF(OR(JK$4="",$B14=""),0,SUMIF('DADOS BRUTOS'!$A$3:$A$500,$B14,'DADOS BRUTOS'!GK$3:GK$500)+IF($C14="",0,SUMIF('DADOS BRUTOS'!$A$3:$A$500,$C14,'DADOS BRUTOS'!GK$3:GK$500)))</f>
        <v/>
      </c>
      <c r="JL14" s="56">
        <f>IF(OR(JL$4="",$B14=""),0,SUMIF('DADOS BRUTOS'!$A$3:$A$500,$B14,'DADOS BRUTOS'!GL$3:GL$500)+IF($C14="",0,SUMIF('DADOS BRUTOS'!$A$3:$A$500,$C14,'DADOS BRUTOS'!GL$3:GL$500)))</f>
        <v/>
      </c>
      <c r="JM14" s="56">
        <f>IF(OR(JM$4="",$B14=""),0,SUMIF('DADOS BRUTOS'!$A$3:$A$500,$B14,'DADOS BRUTOS'!GM$3:GM$500)+IF($C14="",0,SUMIF('DADOS BRUTOS'!$A$3:$A$500,$C14,'DADOS BRUTOS'!GM$3:GM$500)))</f>
        <v/>
      </c>
      <c r="JN14" s="56">
        <f>IF(OR(JN$4="",$B14=""),0,SUMIF('DADOS BRUTOS'!$A$3:$A$500,$B14,'DADOS BRUTOS'!GN$3:GN$500)+IF($C14="",0,SUMIF('DADOS BRUTOS'!$A$3:$A$500,$C14,'DADOS BRUTOS'!GN$3:GN$500)))</f>
        <v/>
      </c>
      <c r="JO14" s="56">
        <f>IF(OR(JO$4="",$B14=""),0,SUMIF('DADOS BRUTOS'!$A$3:$A$500,$B14,'DADOS BRUTOS'!GO$3:GO$500)+IF($C14="",0,SUMIF('DADOS BRUTOS'!$A$3:$A$500,$C14,'DADOS BRUTOS'!GO$3:GO$500)))</f>
        <v/>
      </c>
      <c r="JP14" s="56">
        <f>IF(OR(JP$4="",$B14=""),0,SUMIF('DADOS BRUTOS'!$A$3:$A$500,$B14,'DADOS BRUTOS'!GP$3:GP$500)+IF($C14="",0,SUMIF('DADOS BRUTOS'!$A$3:$A$500,$C14,'DADOS BRUTOS'!GP$3:GP$500)))</f>
        <v/>
      </c>
      <c r="JQ14" s="56">
        <f>IF(OR(JQ$4="",$B14=""),0,SUMIF('DADOS BRUTOS'!$A$3:$A$500,$B14,'DADOS BRUTOS'!GQ$3:GQ$500)+IF($C14="",0,SUMIF('DADOS BRUTOS'!$A$3:$A$500,$C14,'DADOS BRUTOS'!GQ$3:GQ$500)))</f>
        <v/>
      </c>
      <c r="JR14" s="56">
        <f>IF(OR(JR$4="",$B14=""),0,SUMIF('DADOS BRUTOS'!$A$3:$A$500,$B14,'DADOS BRUTOS'!GR$3:GR$500)+IF($C14="",0,SUMIF('DADOS BRUTOS'!$A$3:$A$500,$C14,'DADOS BRUTOS'!GR$3:GR$500)))</f>
        <v/>
      </c>
      <c r="JS14" s="56">
        <f>IF(OR(JS$4="",$B14=""),0,SUMIF('DADOS BRUTOS'!$A$3:$A$500,$B14,'DADOS BRUTOS'!GS$3:GS$500)+IF($C14="",0,SUMIF('DADOS BRUTOS'!$A$3:$A$500,$C14,'DADOS BRUTOS'!GS$3:GS$500)))</f>
        <v/>
      </c>
    </row>
    <row r="15">
      <c r="A15" s="34">
        <f>'VALOR POR PL'!D21</f>
        <v/>
      </c>
      <c r="B15" s="21" t="inlineStr">
        <is>
          <t>EQUIPAMENTOS E FERRAMENTAS</t>
        </is>
      </c>
      <c r="C15" s="21" t="n"/>
      <c r="D15" s="17">
        <f>SUMIF($CB$4:$JS$4,"&lt;="&amp;D$4,$CB15:$JS15)</f>
        <v/>
      </c>
      <c r="E15" s="17">
        <f>SUMIF($CB$4:$JS$4,E$4,$CB15:$JS15)</f>
        <v/>
      </c>
      <c r="F15" s="17">
        <f>SUMIF($CB$4:$JS$4,F$4,$CB15:$JS15)</f>
        <v/>
      </c>
      <c r="G15" s="17">
        <f>SUMIF($CB$4:$JS$4,G$4,$CB15:$JS15)</f>
        <v/>
      </c>
      <c r="H15" s="17">
        <f>SUMIF($CB$4:$JS$4,H$4,$CB15:$JS15)</f>
        <v/>
      </c>
      <c r="I15" s="17">
        <f>SUMIF($CB$4:$JS$4,I$4,$CB15:$JS15)</f>
        <v/>
      </c>
      <c r="J15" s="17">
        <f>SUMIF($CB$4:$JS$4,J$4,$CB15:$JS15)</f>
        <v/>
      </c>
      <c r="K15" s="17">
        <f>SUMIF($CB$4:$JS$4,K$4,$CB15:$JS15)</f>
        <v/>
      </c>
      <c r="L15" s="17">
        <f>SUMIF($CB$4:$JS$4,L$4,$CB15:$JS15)</f>
        <v/>
      </c>
      <c r="M15" s="17">
        <f>SUMIF($CB$4:$JS$4,M$4,$CB15:$JS15)</f>
        <v/>
      </c>
      <c r="N15" s="17">
        <f>SUMIF($CB$4:$JS$4,N$4,$CB15:$JS15)</f>
        <v/>
      </c>
      <c r="O15" s="17">
        <f>SUMIF($CB$4:$JS$4,O$4,$CB15:$JS15)</f>
        <v/>
      </c>
      <c r="P15" s="17">
        <f>SUMIF($CB$4:$JS$4,P$4,$CB15:$JS15)</f>
        <v/>
      </c>
      <c r="Q15" s="17">
        <f>SUMIF($CB$4:$JS$4,Q$4,$CB15:$JS15)</f>
        <v/>
      </c>
      <c r="R15" s="17">
        <f>SUMIF($CB$4:$JS$4,R$4,$CB15:$JS15)</f>
        <v/>
      </c>
      <c r="S15" s="17">
        <f>SUMIF($CB$4:$JS$4,S$4,$CB15:$JS15)</f>
        <v/>
      </c>
      <c r="T15" s="17">
        <f>SUMIF($CB$4:$JS$4,T$4,$CB15:$JS15)</f>
        <v/>
      </c>
      <c r="U15" s="17">
        <f>SUMIF($CB$4:$JS$4,U$4,$CB15:$JS15)</f>
        <v/>
      </c>
      <c r="V15" s="17">
        <f>SUMIF($CB$4:$JS$4,V$4,$CB15:$JS15)</f>
        <v/>
      </c>
      <c r="W15" s="17">
        <f>SUMIF($CB$4:$JS$4,W$4,$CB15:$JS15)</f>
        <v/>
      </c>
      <c r="X15" s="17">
        <f>SUMIF($CB$4:$JS$4,X$4,$CB15:$JS15)</f>
        <v/>
      </c>
      <c r="Y15" s="17">
        <f>SUMIF($CB$4:$JS$4,Y$4,$CB15:$JS15)</f>
        <v/>
      </c>
      <c r="Z15" s="17">
        <f>SUMIF($CB$4:$JS$4,Z$4,$CB15:$JS15)</f>
        <v/>
      </c>
      <c r="AA15" s="17">
        <f>SUMIF($CB$4:$JS$4,AA$4,$CB15:$JS15)</f>
        <v/>
      </c>
      <c r="AB15" s="17">
        <f>SUMIF($CB$4:$JS$4,AB$4,$CB15:$JS15)</f>
        <v/>
      </c>
      <c r="AC15" s="17">
        <f>SUMIF($CB$4:$JS$4,AC$4,$CB15:$JS15)</f>
        <v/>
      </c>
      <c r="AD15" s="17">
        <f>SUMIF($CB$4:$JS$4,AD$4,$CB15:$JS15)</f>
        <v/>
      </c>
      <c r="AE15" s="17">
        <f>SUMIF($CB$4:$JS$4,AE$4,$CB15:$JS15)</f>
        <v/>
      </c>
      <c r="AF15" s="17">
        <f>SUMIF($CB$4:$JS$4,AF$4,$CB15:$JS15)</f>
        <v/>
      </c>
      <c r="AG15" s="17">
        <f>SUMIF($CB$4:$JS$4,AG$4,$CB15:$JS15)</f>
        <v/>
      </c>
      <c r="AH15" s="17">
        <f>SUMIF($CB$4:$JS$4,AH$4,$CB15:$JS15)</f>
        <v/>
      </c>
      <c r="AI15" s="17">
        <f>SUMIF($CB$4:$JS$4,AI$4,$CB15:$JS15)</f>
        <v/>
      </c>
      <c r="AJ15" s="17">
        <f>SUMIF($CB$4:$JS$4,AJ$4,$CB15:$JS15)</f>
        <v/>
      </c>
      <c r="AK15" s="17">
        <f>SUMIF($CB$4:$JS$4,AK$4,$CB15:$JS15)</f>
        <v/>
      </c>
      <c r="AL15" s="17">
        <f>SUMIF($CB$4:$JS$4,AL$4,$CB15:$JS15)</f>
        <v/>
      </c>
      <c r="AM15" s="17">
        <f>SUMIF($CB$4:$JS$4,AM$4,$CB15:$JS15)</f>
        <v/>
      </c>
      <c r="AN15" s="17">
        <f>SUMIF($CB$4:$JS$4,AN$4,$CB15:$JS15)</f>
        <v/>
      </c>
      <c r="AO15" s="17">
        <f>SUMIF($CB$4:$JS$4,AO$4,$CB15:$JS15)</f>
        <v/>
      </c>
      <c r="AP15" s="17">
        <f>SUMIF($CB$4:$JS$4,AP$4,$CB15:$JS15)</f>
        <v/>
      </c>
      <c r="AQ15" s="17">
        <f>SUMIF($CB$4:$JS$4,AQ$4,$CB15:$JS15)</f>
        <v/>
      </c>
      <c r="AR15" s="17">
        <f>SUMIF($CB$4:$JS$4,AR$4,$CB15:$JS15)</f>
        <v/>
      </c>
      <c r="AS15" s="17">
        <f>SUMIF($CB$4:$JS$4,AS$4,$CB15:$JS15)</f>
        <v/>
      </c>
      <c r="AT15" s="17">
        <f>SUMIF($CB$4:$JS$4,AT$4,$CB15:$JS15)</f>
        <v/>
      </c>
      <c r="AU15" s="17">
        <f>SUMIF($CB$4:$JS$4,AU$4,$CB15:$JS15)</f>
        <v/>
      </c>
      <c r="AV15" s="17">
        <f>SUMIF($CB$4:$JS$4,AV$4,$CB15:$JS15)</f>
        <v/>
      </c>
      <c r="AW15" s="17">
        <f>SUMIF($CB$4:$JS$4,AW$4,$CB15:$JS15)</f>
        <v/>
      </c>
      <c r="AX15" s="17">
        <f>SUMIF($CB$4:$JS$4,AX$4,$CB15:$JS15)</f>
        <v/>
      </c>
      <c r="AY15" s="17">
        <f>SUMIF($CB$4:$JS$4,AY$4,$CB15:$JS15)</f>
        <v/>
      </c>
      <c r="AZ15" s="17">
        <f>SUMIF($CB$4:$JS$4,AZ$4,$CB15:$JS15)</f>
        <v/>
      </c>
      <c r="BA15" s="17">
        <f>SUMIF($CB$4:$JS$4,BA$4,$CB15:$JS15)</f>
        <v/>
      </c>
      <c r="BB15" s="17">
        <f>SUMIF($CB$4:$JS$4,BB$4,$CB15:$JS15)</f>
        <v/>
      </c>
      <c r="BC15" s="17">
        <f>SUMIF($CB$4:$JS$4,BC$4,$CB15:$JS15)</f>
        <v/>
      </c>
      <c r="BD15" s="17">
        <f>SUMIF($CB$4:$JS$4,BD$4,$CB15:$JS15)</f>
        <v/>
      </c>
      <c r="BE15" s="17">
        <f>SUMIF($CB$4:$JS$4,BE$4,$CB15:$JS15)</f>
        <v/>
      </c>
      <c r="BF15" s="17">
        <f>SUMIF($CB$4:$JS$4,BF$4,$CB15:$JS15)</f>
        <v/>
      </c>
      <c r="BG15" s="17">
        <f>SUMIF($CB$4:$JS$4,BG$4,$CB15:$JS15)</f>
        <v/>
      </c>
      <c r="BH15" s="17">
        <f>SUMIF($CB$4:$JS$4,BH$4,$CB15:$JS15)</f>
        <v/>
      </c>
      <c r="BI15" s="17">
        <f>SUMIF($CB$4:$JS$4,BI$4,$CB15:$JS15)</f>
        <v/>
      </c>
      <c r="BJ15" s="17">
        <f>SUMIF($CB$4:$JS$4,BJ$4,$CB15:$JS15)</f>
        <v/>
      </c>
      <c r="BK15" s="17">
        <f>SUMIF($CB$4:$JS$4,BK$4,$CB15:$JS15)</f>
        <v/>
      </c>
      <c r="BL15" s="17">
        <f>SUMIF($CB$4:$JS$4,BL$4,$CB15:$JS15)</f>
        <v/>
      </c>
      <c r="BM15" s="17">
        <f>SUMIF($CB$4:$JS$4,BM$4,$CB15:$JS15)</f>
        <v/>
      </c>
      <c r="BN15" s="17">
        <f>SUMIF($CB$4:$JS$4,BN$4,$CB15:$JS15)</f>
        <v/>
      </c>
      <c r="BO15" s="17">
        <f>SUMIF($CB$4:$JS$4,BO$4,$CB15:$JS15)</f>
        <v/>
      </c>
      <c r="BP15" s="17">
        <f>SUMIF($CB$4:$JS$4,BP$4,$CB15:$JS15)</f>
        <v/>
      </c>
      <c r="BQ15" s="17">
        <f>SUMIF($CB$4:$JS$4,BQ$4,$CB15:$JS15)</f>
        <v/>
      </c>
      <c r="BR15" s="17">
        <f>SUMIF($CB$4:$JS$4,BR$4,$CB15:$JS15)</f>
        <v/>
      </c>
      <c r="BS15" s="17">
        <f>SUMIF($CB$4:$JS$4,BS$4,$CB15:$JS15)</f>
        <v/>
      </c>
      <c r="BT15" s="17">
        <f>SUMIF($CB$4:$JS$4,BT$4,$CB15:$JS15)</f>
        <v/>
      </c>
      <c r="BU15" s="17">
        <f>SUMIF($CB$4:$JS$4,BU$4,$CB15:$JS15)</f>
        <v/>
      </c>
      <c r="BV15" s="17">
        <f>SUMIF($CB$4:$JS$4,BV$4,$CB15:$JS15)</f>
        <v/>
      </c>
      <c r="BW15" s="17">
        <f>SUMIF($CB$4:$JS$4,BW$4,$CB15:$JS15)</f>
        <v/>
      </c>
      <c r="BX15" s="17">
        <f>SUMIF($CB$4:$JS$4,"&gt;"&amp;'VALOR POR PL'!$P$8,$CB15:$JS15)</f>
        <v/>
      </c>
      <c r="BY15" s="17">
        <f>SUM($CB15:$JS15)</f>
        <v/>
      </c>
      <c r="CB15" s="56">
        <f>IF(OR(CB$4="",$B15=""),0,SUMIF('DADOS BRUTOS'!$A$3:$A$500,$B15,'DADOS BRUTOS'!B$3:B$500)+IF($C15="",0,SUMIF('DADOS BRUTOS'!$A$3:$A$500,$C15,'DADOS BRUTOS'!B$3:B$500)))</f>
        <v/>
      </c>
      <c r="CC15" s="56">
        <f>IF(OR(CC$4="",$B15=""),0,SUMIF('DADOS BRUTOS'!$A$3:$A$500,$B15,'DADOS BRUTOS'!C$3:C$500)+IF($C15="",0,SUMIF('DADOS BRUTOS'!$A$3:$A$500,$C15,'DADOS BRUTOS'!C$3:C$500)))</f>
        <v/>
      </c>
      <c r="CD15" s="56">
        <f>IF(OR(CD$4="",$B15=""),0,SUMIF('DADOS BRUTOS'!$A$3:$A$500,$B15,'DADOS BRUTOS'!D$3:D$500)+IF($C15="",0,SUMIF('DADOS BRUTOS'!$A$3:$A$500,$C15,'DADOS BRUTOS'!D$3:D$500)))</f>
        <v/>
      </c>
      <c r="CE15" s="56">
        <f>IF(OR(CE$4="",$B15=""),0,SUMIF('DADOS BRUTOS'!$A$3:$A$500,$B15,'DADOS BRUTOS'!E$3:E$500)+IF($C15="",0,SUMIF('DADOS BRUTOS'!$A$3:$A$500,$C15,'DADOS BRUTOS'!E$3:E$500)))</f>
        <v/>
      </c>
      <c r="CF15" s="56">
        <f>IF(OR(CF$4="",$B15=""),0,SUMIF('DADOS BRUTOS'!$A$3:$A$500,$B15,'DADOS BRUTOS'!F$3:F$500)+IF($C15="",0,SUMIF('DADOS BRUTOS'!$A$3:$A$500,$C15,'DADOS BRUTOS'!F$3:F$500)))</f>
        <v/>
      </c>
      <c r="CG15" s="56">
        <f>IF(OR(CG$4="",$B15=""),0,SUMIF('DADOS BRUTOS'!$A$3:$A$500,$B15,'DADOS BRUTOS'!G$3:G$500)+IF($C15="",0,SUMIF('DADOS BRUTOS'!$A$3:$A$500,$C15,'DADOS BRUTOS'!G$3:G$500)))</f>
        <v/>
      </c>
      <c r="CH15" s="56">
        <f>IF(OR(CH$4="",$B15=""),0,SUMIF('DADOS BRUTOS'!$A$3:$A$500,$B15,'DADOS BRUTOS'!H$3:H$500)+IF($C15="",0,SUMIF('DADOS BRUTOS'!$A$3:$A$500,$C15,'DADOS BRUTOS'!H$3:H$500)))</f>
        <v/>
      </c>
      <c r="CI15" s="56">
        <f>IF(OR(CI$4="",$B15=""),0,SUMIF('DADOS BRUTOS'!$A$3:$A$500,$B15,'DADOS BRUTOS'!I$3:I$500)+IF($C15="",0,SUMIF('DADOS BRUTOS'!$A$3:$A$500,$C15,'DADOS BRUTOS'!I$3:I$500)))</f>
        <v/>
      </c>
      <c r="CJ15" s="56">
        <f>IF(OR(CJ$4="",$B15=""),0,SUMIF('DADOS BRUTOS'!$A$3:$A$500,$B15,'DADOS BRUTOS'!J$3:J$500)+IF($C15="",0,SUMIF('DADOS BRUTOS'!$A$3:$A$500,$C15,'DADOS BRUTOS'!J$3:J$500)))</f>
        <v/>
      </c>
      <c r="CK15" s="56">
        <f>IF(OR(CK$4="",$B15=""),0,SUMIF('DADOS BRUTOS'!$A$3:$A$500,$B15,'DADOS BRUTOS'!K$3:K$500)+IF($C15="",0,SUMIF('DADOS BRUTOS'!$A$3:$A$500,$C15,'DADOS BRUTOS'!K$3:K$500)))</f>
        <v/>
      </c>
      <c r="CL15" s="56">
        <f>IF(OR(CL$4="",$B15=""),0,SUMIF('DADOS BRUTOS'!$A$3:$A$500,$B15,'DADOS BRUTOS'!L$3:L$500)+IF($C15="",0,SUMIF('DADOS BRUTOS'!$A$3:$A$500,$C15,'DADOS BRUTOS'!L$3:L$500)))</f>
        <v/>
      </c>
      <c r="CM15" s="56">
        <f>IF(OR(CM$4="",$B15=""),0,SUMIF('DADOS BRUTOS'!$A$3:$A$500,$B15,'DADOS BRUTOS'!M$3:M$500)+IF($C15="",0,SUMIF('DADOS BRUTOS'!$A$3:$A$500,$C15,'DADOS BRUTOS'!M$3:M$500)))</f>
        <v/>
      </c>
      <c r="CN15" s="56">
        <f>IF(OR(CN$4="",$B15=""),0,SUMIF('DADOS BRUTOS'!$A$3:$A$500,$B15,'DADOS BRUTOS'!N$3:N$500)+IF($C15="",0,SUMIF('DADOS BRUTOS'!$A$3:$A$500,$C15,'DADOS BRUTOS'!N$3:N$500)))</f>
        <v/>
      </c>
      <c r="CO15" s="56">
        <f>IF(OR(CO$4="",$B15=""),0,SUMIF('DADOS BRUTOS'!$A$3:$A$500,$B15,'DADOS BRUTOS'!O$3:O$500)+IF($C15="",0,SUMIF('DADOS BRUTOS'!$A$3:$A$500,$C15,'DADOS BRUTOS'!O$3:O$500)))</f>
        <v/>
      </c>
      <c r="CP15" s="56">
        <f>IF(OR(CP$4="",$B15=""),0,SUMIF('DADOS BRUTOS'!$A$3:$A$500,$B15,'DADOS BRUTOS'!P$3:P$500)+IF($C15="",0,SUMIF('DADOS BRUTOS'!$A$3:$A$500,$C15,'DADOS BRUTOS'!P$3:P$500)))</f>
        <v/>
      </c>
      <c r="CQ15" s="56">
        <f>IF(OR(CQ$4="",$B15=""),0,SUMIF('DADOS BRUTOS'!$A$3:$A$500,$B15,'DADOS BRUTOS'!Q$3:Q$500)+IF($C15="",0,SUMIF('DADOS BRUTOS'!$A$3:$A$500,$C15,'DADOS BRUTOS'!Q$3:Q$500)))</f>
        <v/>
      </c>
      <c r="CR15" s="56">
        <f>IF(OR(CR$4="",$B15=""),0,SUMIF('DADOS BRUTOS'!$A$3:$A$500,$B15,'DADOS BRUTOS'!R$3:R$500)+IF($C15="",0,SUMIF('DADOS BRUTOS'!$A$3:$A$500,$C15,'DADOS BRUTOS'!R$3:R$500)))</f>
        <v/>
      </c>
      <c r="CS15" s="56">
        <f>IF(OR(CS$4="",$B15=""),0,SUMIF('DADOS BRUTOS'!$A$3:$A$500,$B15,'DADOS BRUTOS'!S$3:S$500)+IF($C15="",0,SUMIF('DADOS BRUTOS'!$A$3:$A$500,$C15,'DADOS BRUTOS'!S$3:S$500)))</f>
        <v/>
      </c>
      <c r="CT15" s="56">
        <f>IF(OR(CT$4="",$B15=""),0,SUMIF('DADOS BRUTOS'!$A$3:$A$500,$B15,'DADOS BRUTOS'!T$3:T$500)+IF($C15="",0,SUMIF('DADOS BRUTOS'!$A$3:$A$500,$C15,'DADOS BRUTOS'!T$3:T$500)))</f>
        <v/>
      </c>
      <c r="CU15" s="56">
        <f>IF(OR(CU$4="",$B15=""),0,SUMIF('DADOS BRUTOS'!$A$3:$A$500,$B15,'DADOS BRUTOS'!U$3:U$500)+IF($C15="",0,SUMIF('DADOS BRUTOS'!$A$3:$A$500,$C15,'DADOS BRUTOS'!U$3:U$500)))</f>
        <v/>
      </c>
      <c r="CV15" s="56">
        <f>IF(OR(CV$4="",$B15=""),0,SUMIF('DADOS BRUTOS'!$A$3:$A$500,$B15,'DADOS BRUTOS'!V$3:V$500)+IF($C15="",0,SUMIF('DADOS BRUTOS'!$A$3:$A$500,$C15,'DADOS BRUTOS'!V$3:V$500)))</f>
        <v/>
      </c>
      <c r="CW15" s="56">
        <f>IF(OR(CW$4="",$B15=""),0,SUMIF('DADOS BRUTOS'!$A$3:$A$500,$B15,'DADOS BRUTOS'!W$3:W$500)+IF($C15="",0,SUMIF('DADOS BRUTOS'!$A$3:$A$500,$C15,'DADOS BRUTOS'!W$3:W$500)))</f>
        <v/>
      </c>
      <c r="CX15" s="56">
        <f>IF(OR(CX$4="",$B15=""),0,SUMIF('DADOS BRUTOS'!$A$3:$A$500,$B15,'DADOS BRUTOS'!X$3:X$500)+IF($C15="",0,SUMIF('DADOS BRUTOS'!$A$3:$A$500,$C15,'DADOS BRUTOS'!X$3:X$500)))</f>
        <v/>
      </c>
      <c r="CY15" s="56">
        <f>IF(OR(CY$4="",$B15=""),0,SUMIF('DADOS BRUTOS'!$A$3:$A$500,$B15,'DADOS BRUTOS'!Y$3:Y$500)+IF($C15="",0,SUMIF('DADOS BRUTOS'!$A$3:$A$500,$C15,'DADOS BRUTOS'!Y$3:Y$500)))</f>
        <v/>
      </c>
      <c r="CZ15" s="56">
        <f>IF(OR(CZ$4="",$B15=""),0,SUMIF('DADOS BRUTOS'!$A$3:$A$500,$B15,'DADOS BRUTOS'!Z$3:Z$500)+IF($C15="",0,SUMIF('DADOS BRUTOS'!$A$3:$A$500,$C15,'DADOS BRUTOS'!Z$3:Z$500)))</f>
        <v/>
      </c>
      <c r="DA15" s="56">
        <f>IF(OR(DA$4="",$B15=""),0,SUMIF('DADOS BRUTOS'!$A$3:$A$500,$B15,'DADOS BRUTOS'!AA$3:AA$500)+IF($C15="",0,SUMIF('DADOS BRUTOS'!$A$3:$A$500,$C15,'DADOS BRUTOS'!AA$3:AA$500)))</f>
        <v/>
      </c>
      <c r="DB15" s="56">
        <f>IF(OR(DB$4="",$B15=""),0,SUMIF('DADOS BRUTOS'!$A$3:$A$500,$B15,'DADOS BRUTOS'!AB$3:AB$500)+IF($C15="",0,SUMIF('DADOS BRUTOS'!$A$3:$A$500,$C15,'DADOS BRUTOS'!AB$3:AB$500)))</f>
        <v/>
      </c>
      <c r="DC15" s="56">
        <f>IF(OR(DC$4="",$B15=""),0,SUMIF('DADOS BRUTOS'!$A$3:$A$500,$B15,'DADOS BRUTOS'!AC$3:AC$500)+IF($C15="",0,SUMIF('DADOS BRUTOS'!$A$3:$A$500,$C15,'DADOS BRUTOS'!AC$3:AC$500)))</f>
        <v/>
      </c>
      <c r="DD15" s="56">
        <f>IF(OR(DD$4="",$B15=""),0,SUMIF('DADOS BRUTOS'!$A$3:$A$500,$B15,'DADOS BRUTOS'!AD$3:AD$500)+IF($C15="",0,SUMIF('DADOS BRUTOS'!$A$3:$A$500,$C15,'DADOS BRUTOS'!AD$3:AD$500)))</f>
        <v/>
      </c>
      <c r="DE15" s="56">
        <f>IF(OR(DE$4="",$B15=""),0,SUMIF('DADOS BRUTOS'!$A$3:$A$500,$B15,'DADOS BRUTOS'!AE$3:AE$500)+IF($C15="",0,SUMIF('DADOS BRUTOS'!$A$3:$A$500,$C15,'DADOS BRUTOS'!AE$3:AE$500)))</f>
        <v/>
      </c>
      <c r="DF15" s="56">
        <f>IF(OR(DF$4="",$B15=""),0,SUMIF('DADOS BRUTOS'!$A$3:$A$500,$B15,'DADOS BRUTOS'!AF$3:AF$500)+IF($C15="",0,SUMIF('DADOS BRUTOS'!$A$3:$A$500,$C15,'DADOS BRUTOS'!AF$3:AF$500)))</f>
        <v/>
      </c>
      <c r="DG15" s="56">
        <f>IF(OR(DG$4="",$B15=""),0,SUMIF('DADOS BRUTOS'!$A$3:$A$500,$B15,'DADOS BRUTOS'!AG$3:AG$500)+IF($C15="",0,SUMIF('DADOS BRUTOS'!$A$3:$A$500,$C15,'DADOS BRUTOS'!AG$3:AG$500)))</f>
        <v/>
      </c>
      <c r="DH15" s="56">
        <f>IF(OR(DH$4="",$B15=""),0,SUMIF('DADOS BRUTOS'!$A$3:$A$500,$B15,'DADOS BRUTOS'!AH$3:AH$500)+IF($C15="",0,SUMIF('DADOS BRUTOS'!$A$3:$A$500,$C15,'DADOS BRUTOS'!AH$3:AH$500)))</f>
        <v/>
      </c>
      <c r="DI15" s="56">
        <f>IF(OR(DI$4="",$B15=""),0,SUMIF('DADOS BRUTOS'!$A$3:$A$500,$B15,'DADOS BRUTOS'!AI$3:AI$500)+IF($C15="",0,SUMIF('DADOS BRUTOS'!$A$3:$A$500,$C15,'DADOS BRUTOS'!AI$3:AI$500)))</f>
        <v/>
      </c>
      <c r="DJ15" s="56">
        <f>IF(OR(DJ$4="",$B15=""),0,SUMIF('DADOS BRUTOS'!$A$3:$A$500,$B15,'DADOS BRUTOS'!AJ$3:AJ$500)+IF($C15="",0,SUMIF('DADOS BRUTOS'!$A$3:$A$500,$C15,'DADOS BRUTOS'!AJ$3:AJ$500)))</f>
        <v/>
      </c>
      <c r="DK15" s="56">
        <f>IF(OR(DK$4="",$B15=""),0,SUMIF('DADOS BRUTOS'!$A$3:$A$500,$B15,'DADOS BRUTOS'!AK$3:AK$500)+IF($C15="",0,SUMIF('DADOS BRUTOS'!$A$3:$A$500,$C15,'DADOS BRUTOS'!AK$3:AK$500)))</f>
        <v/>
      </c>
      <c r="DL15" s="56">
        <f>IF(OR(DL$4="",$B15=""),0,SUMIF('DADOS BRUTOS'!$A$3:$A$500,$B15,'DADOS BRUTOS'!AL$3:AL$500)+IF($C15="",0,SUMIF('DADOS BRUTOS'!$A$3:$A$500,$C15,'DADOS BRUTOS'!AL$3:AL$500)))</f>
        <v/>
      </c>
      <c r="DM15" s="56">
        <f>IF(OR(DM$4="",$B15=""),0,SUMIF('DADOS BRUTOS'!$A$3:$A$500,$B15,'DADOS BRUTOS'!AM$3:AM$500)+IF($C15="",0,SUMIF('DADOS BRUTOS'!$A$3:$A$500,$C15,'DADOS BRUTOS'!AM$3:AM$500)))</f>
        <v/>
      </c>
      <c r="DN15" s="56">
        <f>IF(OR(DN$4="",$B15=""),0,SUMIF('DADOS BRUTOS'!$A$3:$A$500,$B15,'DADOS BRUTOS'!AN$3:AN$500)+IF($C15="",0,SUMIF('DADOS BRUTOS'!$A$3:$A$500,$C15,'DADOS BRUTOS'!AN$3:AN$500)))</f>
        <v/>
      </c>
      <c r="DO15" s="56">
        <f>IF(OR(DO$4="",$B15=""),0,SUMIF('DADOS BRUTOS'!$A$3:$A$500,$B15,'DADOS BRUTOS'!AO$3:AO$500)+IF($C15="",0,SUMIF('DADOS BRUTOS'!$A$3:$A$500,$C15,'DADOS BRUTOS'!AO$3:AO$500)))</f>
        <v/>
      </c>
      <c r="DP15" s="56">
        <f>IF(OR(DP$4="",$B15=""),0,SUMIF('DADOS BRUTOS'!$A$3:$A$500,$B15,'DADOS BRUTOS'!AP$3:AP$500)+IF($C15="",0,SUMIF('DADOS BRUTOS'!$A$3:$A$500,$C15,'DADOS BRUTOS'!AP$3:AP$500)))</f>
        <v/>
      </c>
      <c r="DQ15" s="56">
        <f>IF(OR(DQ$4="",$B15=""),0,SUMIF('DADOS BRUTOS'!$A$3:$A$500,$B15,'DADOS BRUTOS'!AQ$3:AQ$500)+IF($C15="",0,SUMIF('DADOS BRUTOS'!$A$3:$A$500,$C15,'DADOS BRUTOS'!AQ$3:AQ$500)))</f>
        <v/>
      </c>
      <c r="DR15" s="56">
        <f>IF(OR(DR$4="",$B15=""),0,SUMIF('DADOS BRUTOS'!$A$3:$A$500,$B15,'DADOS BRUTOS'!AR$3:AR$500)+IF($C15="",0,SUMIF('DADOS BRUTOS'!$A$3:$A$500,$C15,'DADOS BRUTOS'!AR$3:AR$500)))</f>
        <v/>
      </c>
      <c r="DS15" s="56">
        <f>IF(OR(DS$4="",$B15=""),0,SUMIF('DADOS BRUTOS'!$A$3:$A$500,$B15,'DADOS BRUTOS'!AS$3:AS$500)+IF($C15="",0,SUMIF('DADOS BRUTOS'!$A$3:$A$500,$C15,'DADOS BRUTOS'!AS$3:AS$500)))</f>
        <v/>
      </c>
      <c r="DT15" s="56">
        <f>IF(OR(DT$4="",$B15=""),0,SUMIF('DADOS BRUTOS'!$A$3:$A$500,$B15,'DADOS BRUTOS'!AT$3:AT$500)+IF($C15="",0,SUMIF('DADOS BRUTOS'!$A$3:$A$500,$C15,'DADOS BRUTOS'!AT$3:AT$500)))</f>
        <v/>
      </c>
      <c r="DU15" s="56">
        <f>IF(OR(DU$4="",$B15=""),0,SUMIF('DADOS BRUTOS'!$A$3:$A$500,$B15,'DADOS BRUTOS'!AU$3:AU$500)+IF($C15="",0,SUMIF('DADOS BRUTOS'!$A$3:$A$500,$C15,'DADOS BRUTOS'!AU$3:AU$500)))</f>
        <v/>
      </c>
      <c r="DV15" s="56">
        <f>IF(OR(DV$4="",$B15=""),0,SUMIF('DADOS BRUTOS'!$A$3:$A$500,$B15,'DADOS BRUTOS'!AV$3:AV$500)+IF($C15="",0,SUMIF('DADOS BRUTOS'!$A$3:$A$500,$C15,'DADOS BRUTOS'!AV$3:AV$500)))</f>
        <v/>
      </c>
      <c r="DW15" s="56">
        <f>IF(OR(DW$4="",$B15=""),0,SUMIF('DADOS BRUTOS'!$A$3:$A$500,$B15,'DADOS BRUTOS'!AW$3:AW$500)+IF($C15="",0,SUMIF('DADOS BRUTOS'!$A$3:$A$500,$C15,'DADOS BRUTOS'!AW$3:AW$500)))</f>
        <v/>
      </c>
      <c r="DX15" s="56">
        <f>IF(OR(DX$4="",$B15=""),0,SUMIF('DADOS BRUTOS'!$A$3:$A$500,$B15,'DADOS BRUTOS'!AX$3:AX$500)+IF($C15="",0,SUMIF('DADOS BRUTOS'!$A$3:$A$500,$C15,'DADOS BRUTOS'!AX$3:AX$500)))</f>
        <v/>
      </c>
      <c r="DY15" s="56">
        <f>IF(OR(DY$4="",$B15=""),0,SUMIF('DADOS BRUTOS'!$A$3:$A$500,$B15,'DADOS BRUTOS'!AY$3:AY$500)+IF($C15="",0,SUMIF('DADOS BRUTOS'!$A$3:$A$500,$C15,'DADOS BRUTOS'!AY$3:AY$500)))</f>
        <v/>
      </c>
      <c r="DZ15" s="56">
        <f>IF(OR(DZ$4="",$B15=""),0,SUMIF('DADOS BRUTOS'!$A$3:$A$500,$B15,'DADOS BRUTOS'!AZ$3:AZ$500)+IF($C15="",0,SUMIF('DADOS BRUTOS'!$A$3:$A$500,$C15,'DADOS BRUTOS'!AZ$3:AZ$500)))</f>
        <v/>
      </c>
      <c r="EA15" s="56">
        <f>IF(OR(EA$4="",$B15=""),0,SUMIF('DADOS BRUTOS'!$A$3:$A$500,$B15,'DADOS BRUTOS'!BA$3:BA$500)+IF($C15="",0,SUMIF('DADOS BRUTOS'!$A$3:$A$500,$C15,'DADOS BRUTOS'!BA$3:BA$500)))</f>
        <v/>
      </c>
      <c r="EB15" s="56">
        <f>IF(OR(EB$4="",$B15=""),0,SUMIF('DADOS BRUTOS'!$A$3:$A$500,$B15,'DADOS BRUTOS'!BB$3:BB$500)+IF($C15="",0,SUMIF('DADOS BRUTOS'!$A$3:$A$500,$C15,'DADOS BRUTOS'!BB$3:BB$500)))</f>
        <v/>
      </c>
      <c r="EC15" s="56">
        <f>IF(OR(EC$4="",$B15=""),0,SUMIF('DADOS BRUTOS'!$A$3:$A$500,$B15,'DADOS BRUTOS'!BC$3:BC$500)+IF($C15="",0,SUMIF('DADOS BRUTOS'!$A$3:$A$500,$C15,'DADOS BRUTOS'!BC$3:BC$500)))</f>
        <v/>
      </c>
      <c r="ED15" s="56">
        <f>IF(OR(ED$4="",$B15=""),0,SUMIF('DADOS BRUTOS'!$A$3:$A$500,$B15,'DADOS BRUTOS'!BD$3:BD$500)+IF($C15="",0,SUMIF('DADOS BRUTOS'!$A$3:$A$500,$C15,'DADOS BRUTOS'!BD$3:BD$500)))</f>
        <v/>
      </c>
      <c r="EE15" s="56">
        <f>IF(OR(EE$4="",$B15=""),0,SUMIF('DADOS BRUTOS'!$A$3:$A$500,$B15,'DADOS BRUTOS'!BE$3:BE$500)+IF($C15="",0,SUMIF('DADOS BRUTOS'!$A$3:$A$500,$C15,'DADOS BRUTOS'!BE$3:BE$500)))</f>
        <v/>
      </c>
      <c r="EF15" s="56">
        <f>IF(OR(EF$4="",$B15=""),0,SUMIF('DADOS BRUTOS'!$A$3:$A$500,$B15,'DADOS BRUTOS'!BF$3:BF$500)+IF($C15="",0,SUMIF('DADOS BRUTOS'!$A$3:$A$500,$C15,'DADOS BRUTOS'!BF$3:BF$500)))</f>
        <v/>
      </c>
      <c r="EG15" s="56">
        <f>IF(OR(EG$4="",$B15=""),0,SUMIF('DADOS BRUTOS'!$A$3:$A$500,$B15,'DADOS BRUTOS'!BG$3:BG$500)+IF($C15="",0,SUMIF('DADOS BRUTOS'!$A$3:$A$500,$C15,'DADOS BRUTOS'!BG$3:BG$500)))</f>
        <v/>
      </c>
      <c r="EH15" s="56">
        <f>IF(OR(EH$4="",$B15=""),0,SUMIF('DADOS BRUTOS'!$A$3:$A$500,$B15,'DADOS BRUTOS'!BH$3:BH$500)+IF($C15="",0,SUMIF('DADOS BRUTOS'!$A$3:$A$500,$C15,'DADOS BRUTOS'!BH$3:BH$500)))</f>
        <v/>
      </c>
      <c r="EI15" s="56">
        <f>IF(OR(EI$4="",$B15=""),0,SUMIF('DADOS BRUTOS'!$A$3:$A$500,$B15,'DADOS BRUTOS'!BI$3:BI$500)+IF($C15="",0,SUMIF('DADOS BRUTOS'!$A$3:$A$500,$C15,'DADOS BRUTOS'!BI$3:BI$500)))</f>
        <v/>
      </c>
      <c r="EJ15" s="56">
        <f>IF(OR(EJ$4="",$B15=""),0,SUMIF('DADOS BRUTOS'!$A$3:$A$500,$B15,'DADOS BRUTOS'!BJ$3:BJ$500)+IF($C15="",0,SUMIF('DADOS BRUTOS'!$A$3:$A$500,$C15,'DADOS BRUTOS'!BJ$3:BJ$500)))</f>
        <v/>
      </c>
      <c r="EK15" s="56">
        <f>IF(OR(EK$4="",$B15=""),0,SUMIF('DADOS BRUTOS'!$A$3:$A$500,$B15,'DADOS BRUTOS'!BK$3:BK$500)+IF($C15="",0,SUMIF('DADOS BRUTOS'!$A$3:$A$500,$C15,'DADOS BRUTOS'!BK$3:BK$500)))</f>
        <v/>
      </c>
      <c r="EL15" s="56">
        <f>IF(OR(EL$4="",$B15=""),0,SUMIF('DADOS BRUTOS'!$A$3:$A$500,$B15,'DADOS BRUTOS'!BL$3:BL$500)+IF($C15="",0,SUMIF('DADOS BRUTOS'!$A$3:$A$500,$C15,'DADOS BRUTOS'!BL$3:BL$500)))</f>
        <v/>
      </c>
      <c r="EM15" s="56">
        <f>IF(OR(EM$4="",$B15=""),0,SUMIF('DADOS BRUTOS'!$A$3:$A$500,$B15,'DADOS BRUTOS'!BM$3:BM$500)+IF($C15="",0,SUMIF('DADOS BRUTOS'!$A$3:$A$500,$C15,'DADOS BRUTOS'!BM$3:BM$500)))</f>
        <v/>
      </c>
      <c r="EN15" s="56">
        <f>IF(OR(EN$4="",$B15=""),0,SUMIF('DADOS BRUTOS'!$A$3:$A$500,$B15,'DADOS BRUTOS'!BN$3:BN$500)+IF($C15="",0,SUMIF('DADOS BRUTOS'!$A$3:$A$500,$C15,'DADOS BRUTOS'!BN$3:BN$500)))</f>
        <v/>
      </c>
      <c r="EO15" s="56">
        <f>IF(OR(EO$4="",$B15=""),0,SUMIF('DADOS BRUTOS'!$A$3:$A$500,$B15,'DADOS BRUTOS'!BO$3:BO$500)+IF($C15="",0,SUMIF('DADOS BRUTOS'!$A$3:$A$500,$C15,'DADOS BRUTOS'!BO$3:BO$500)))</f>
        <v/>
      </c>
      <c r="EP15" s="56">
        <f>IF(OR(EP$4="",$B15=""),0,SUMIF('DADOS BRUTOS'!$A$3:$A$500,$B15,'DADOS BRUTOS'!BP$3:BP$500)+IF($C15="",0,SUMIF('DADOS BRUTOS'!$A$3:$A$500,$C15,'DADOS BRUTOS'!BP$3:BP$500)))</f>
        <v/>
      </c>
      <c r="EQ15" s="56">
        <f>IF(OR(EQ$4="",$B15=""),0,SUMIF('DADOS BRUTOS'!$A$3:$A$500,$B15,'DADOS BRUTOS'!BQ$3:BQ$500)+IF($C15="",0,SUMIF('DADOS BRUTOS'!$A$3:$A$500,$C15,'DADOS BRUTOS'!BQ$3:BQ$500)))</f>
        <v/>
      </c>
      <c r="ER15" s="56">
        <f>IF(OR(ER$4="",$B15=""),0,SUMIF('DADOS BRUTOS'!$A$3:$A$500,$B15,'DADOS BRUTOS'!BR$3:BR$500)+IF($C15="",0,SUMIF('DADOS BRUTOS'!$A$3:$A$500,$C15,'DADOS BRUTOS'!BR$3:BR$500)))</f>
        <v/>
      </c>
      <c r="ES15" s="56">
        <f>IF(OR(ES$4="",$B15=""),0,SUMIF('DADOS BRUTOS'!$A$3:$A$500,$B15,'DADOS BRUTOS'!BS$3:BS$500)+IF($C15="",0,SUMIF('DADOS BRUTOS'!$A$3:$A$500,$C15,'DADOS BRUTOS'!BS$3:BS$500)))</f>
        <v/>
      </c>
      <c r="ET15" s="56">
        <f>IF(OR(ET$4="",$B15=""),0,SUMIF('DADOS BRUTOS'!$A$3:$A$500,$B15,'DADOS BRUTOS'!BT$3:BT$500)+IF($C15="",0,SUMIF('DADOS BRUTOS'!$A$3:$A$500,$C15,'DADOS BRUTOS'!BT$3:BT$500)))</f>
        <v/>
      </c>
      <c r="EU15" s="56">
        <f>IF(OR(EU$4="",$B15=""),0,SUMIF('DADOS BRUTOS'!$A$3:$A$500,$B15,'DADOS BRUTOS'!BU$3:BU$500)+IF($C15="",0,SUMIF('DADOS BRUTOS'!$A$3:$A$500,$C15,'DADOS BRUTOS'!BU$3:BU$500)))</f>
        <v/>
      </c>
      <c r="EV15" s="56">
        <f>IF(OR(EV$4="",$B15=""),0,SUMIF('DADOS BRUTOS'!$A$3:$A$500,$B15,'DADOS BRUTOS'!BV$3:BV$500)+IF($C15="",0,SUMIF('DADOS BRUTOS'!$A$3:$A$500,$C15,'DADOS BRUTOS'!BV$3:BV$500)))</f>
        <v/>
      </c>
      <c r="EW15" s="56">
        <f>IF(OR(EW$4="",$B15=""),0,SUMIF('DADOS BRUTOS'!$A$3:$A$500,$B15,'DADOS BRUTOS'!BW$3:BW$500)+IF($C15="",0,SUMIF('DADOS BRUTOS'!$A$3:$A$500,$C15,'DADOS BRUTOS'!BW$3:BW$500)))</f>
        <v/>
      </c>
      <c r="EX15" s="56">
        <f>IF(OR(EX$4="",$B15=""),0,SUMIF('DADOS BRUTOS'!$A$3:$A$500,$B15,'DADOS BRUTOS'!BX$3:BX$500)+IF($C15="",0,SUMIF('DADOS BRUTOS'!$A$3:$A$500,$C15,'DADOS BRUTOS'!BX$3:BX$500)))</f>
        <v/>
      </c>
      <c r="EY15" s="56">
        <f>IF(OR(EY$4="",$B15=""),0,SUMIF('DADOS BRUTOS'!$A$3:$A$500,$B15,'DADOS BRUTOS'!BY$3:BY$500)+IF($C15="",0,SUMIF('DADOS BRUTOS'!$A$3:$A$500,$C15,'DADOS BRUTOS'!BY$3:BY$500)))</f>
        <v/>
      </c>
      <c r="EZ15" s="56">
        <f>IF(OR(EZ$4="",$B15=""),0,SUMIF('DADOS BRUTOS'!$A$3:$A$500,$B15,'DADOS BRUTOS'!BZ$3:BZ$500)+IF($C15="",0,SUMIF('DADOS BRUTOS'!$A$3:$A$500,$C15,'DADOS BRUTOS'!BZ$3:BZ$500)))</f>
        <v/>
      </c>
      <c r="FA15" s="56">
        <f>IF(OR(FA$4="",$B15=""),0,SUMIF('DADOS BRUTOS'!$A$3:$A$500,$B15,'DADOS BRUTOS'!CA$3:CA$500)+IF($C15="",0,SUMIF('DADOS BRUTOS'!$A$3:$A$500,$C15,'DADOS BRUTOS'!CA$3:CA$500)))</f>
        <v/>
      </c>
      <c r="FB15" s="56">
        <f>IF(OR(FB$4="",$B15=""),0,SUMIF('DADOS BRUTOS'!$A$3:$A$500,$B15,'DADOS BRUTOS'!CB$3:CB$500)+IF($C15="",0,SUMIF('DADOS BRUTOS'!$A$3:$A$500,$C15,'DADOS BRUTOS'!CB$3:CB$500)))</f>
        <v/>
      </c>
      <c r="FC15" s="56">
        <f>IF(OR(FC$4="",$B15=""),0,SUMIF('DADOS BRUTOS'!$A$3:$A$500,$B15,'DADOS BRUTOS'!CC$3:CC$500)+IF($C15="",0,SUMIF('DADOS BRUTOS'!$A$3:$A$500,$C15,'DADOS BRUTOS'!CC$3:CC$500)))</f>
        <v/>
      </c>
      <c r="FD15" s="56">
        <f>IF(OR(FD$4="",$B15=""),0,SUMIF('DADOS BRUTOS'!$A$3:$A$500,$B15,'DADOS BRUTOS'!CD$3:CD$500)+IF($C15="",0,SUMIF('DADOS BRUTOS'!$A$3:$A$500,$C15,'DADOS BRUTOS'!CD$3:CD$500)))</f>
        <v/>
      </c>
      <c r="FE15" s="56">
        <f>IF(OR(FE$4="",$B15=""),0,SUMIF('DADOS BRUTOS'!$A$3:$A$500,$B15,'DADOS BRUTOS'!CE$3:CE$500)+IF($C15="",0,SUMIF('DADOS BRUTOS'!$A$3:$A$500,$C15,'DADOS BRUTOS'!CE$3:CE$500)))</f>
        <v/>
      </c>
      <c r="FF15" s="56">
        <f>IF(OR(FF$4="",$B15=""),0,SUMIF('DADOS BRUTOS'!$A$3:$A$500,$B15,'DADOS BRUTOS'!CF$3:CF$500)+IF($C15="",0,SUMIF('DADOS BRUTOS'!$A$3:$A$500,$C15,'DADOS BRUTOS'!CF$3:CF$500)))</f>
        <v/>
      </c>
      <c r="FG15" s="56">
        <f>IF(OR(FG$4="",$B15=""),0,SUMIF('DADOS BRUTOS'!$A$3:$A$500,$B15,'DADOS BRUTOS'!CG$3:CG$500)+IF($C15="",0,SUMIF('DADOS BRUTOS'!$A$3:$A$500,$C15,'DADOS BRUTOS'!CG$3:CG$500)))</f>
        <v/>
      </c>
      <c r="FH15" s="56">
        <f>IF(OR(FH$4="",$B15=""),0,SUMIF('DADOS BRUTOS'!$A$3:$A$500,$B15,'DADOS BRUTOS'!CH$3:CH$500)+IF($C15="",0,SUMIF('DADOS BRUTOS'!$A$3:$A$500,$C15,'DADOS BRUTOS'!CH$3:CH$500)))</f>
        <v/>
      </c>
      <c r="FI15" s="56">
        <f>IF(OR(FI$4="",$B15=""),0,SUMIF('DADOS BRUTOS'!$A$3:$A$500,$B15,'DADOS BRUTOS'!CI$3:CI$500)+IF($C15="",0,SUMIF('DADOS BRUTOS'!$A$3:$A$500,$C15,'DADOS BRUTOS'!CI$3:CI$500)))</f>
        <v/>
      </c>
      <c r="FJ15" s="56">
        <f>IF(OR(FJ$4="",$B15=""),0,SUMIF('DADOS BRUTOS'!$A$3:$A$500,$B15,'DADOS BRUTOS'!CJ$3:CJ$500)+IF($C15="",0,SUMIF('DADOS BRUTOS'!$A$3:$A$500,$C15,'DADOS BRUTOS'!CJ$3:CJ$500)))</f>
        <v/>
      </c>
      <c r="FK15" s="56">
        <f>IF(OR(FK$4="",$B15=""),0,SUMIF('DADOS BRUTOS'!$A$3:$A$500,$B15,'DADOS BRUTOS'!CK$3:CK$500)+IF($C15="",0,SUMIF('DADOS BRUTOS'!$A$3:$A$500,$C15,'DADOS BRUTOS'!CK$3:CK$500)))</f>
        <v/>
      </c>
      <c r="FL15" s="56">
        <f>IF(OR(FL$4="",$B15=""),0,SUMIF('DADOS BRUTOS'!$A$3:$A$500,$B15,'DADOS BRUTOS'!CL$3:CL$500)+IF($C15="",0,SUMIF('DADOS BRUTOS'!$A$3:$A$500,$C15,'DADOS BRUTOS'!CL$3:CL$500)))</f>
        <v/>
      </c>
      <c r="FM15" s="56">
        <f>IF(OR(FM$4="",$B15=""),0,SUMIF('DADOS BRUTOS'!$A$3:$A$500,$B15,'DADOS BRUTOS'!CM$3:CM$500)+IF($C15="",0,SUMIF('DADOS BRUTOS'!$A$3:$A$500,$C15,'DADOS BRUTOS'!CM$3:CM$500)))</f>
        <v/>
      </c>
      <c r="FN15" s="56">
        <f>IF(OR(FN$4="",$B15=""),0,SUMIF('DADOS BRUTOS'!$A$3:$A$500,$B15,'DADOS BRUTOS'!CN$3:CN$500)+IF($C15="",0,SUMIF('DADOS BRUTOS'!$A$3:$A$500,$C15,'DADOS BRUTOS'!CN$3:CN$500)))</f>
        <v/>
      </c>
      <c r="FO15" s="56">
        <f>IF(OR(FO$4="",$B15=""),0,SUMIF('DADOS BRUTOS'!$A$3:$A$500,$B15,'DADOS BRUTOS'!CO$3:CO$500)+IF($C15="",0,SUMIF('DADOS BRUTOS'!$A$3:$A$500,$C15,'DADOS BRUTOS'!CO$3:CO$500)))</f>
        <v/>
      </c>
      <c r="FP15" s="56">
        <f>IF(OR(FP$4="",$B15=""),0,SUMIF('DADOS BRUTOS'!$A$3:$A$500,$B15,'DADOS BRUTOS'!CP$3:CP$500)+IF($C15="",0,SUMIF('DADOS BRUTOS'!$A$3:$A$500,$C15,'DADOS BRUTOS'!CP$3:CP$500)))</f>
        <v/>
      </c>
      <c r="FQ15" s="56">
        <f>IF(OR(FQ$4="",$B15=""),0,SUMIF('DADOS BRUTOS'!$A$3:$A$500,$B15,'DADOS BRUTOS'!CQ$3:CQ$500)+IF($C15="",0,SUMIF('DADOS BRUTOS'!$A$3:$A$500,$C15,'DADOS BRUTOS'!CQ$3:CQ$500)))</f>
        <v/>
      </c>
      <c r="FR15" s="56">
        <f>IF(OR(FR$4="",$B15=""),0,SUMIF('DADOS BRUTOS'!$A$3:$A$500,$B15,'DADOS BRUTOS'!CR$3:CR$500)+IF($C15="",0,SUMIF('DADOS BRUTOS'!$A$3:$A$500,$C15,'DADOS BRUTOS'!CR$3:CR$500)))</f>
        <v/>
      </c>
      <c r="FS15" s="56">
        <f>IF(OR(FS$4="",$B15=""),0,SUMIF('DADOS BRUTOS'!$A$3:$A$500,$B15,'DADOS BRUTOS'!CS$3:CS$500)+IF($C15="",0,SUMIF('DADOS BRUTOS'!$A$3:$A$500,$C15,'DADOS BRUTOS'!CS$3:CS$500)))</f>
        <v/>
      </c>
      <c r="FT15" s="56">
        <f>IF(OR(FT$4="",$B15=""),0,SUMIF('DADOS BRUTOS'!$A$3:$A$500,$B15,'DADOS BRUTOS'!CT$3:CT$500)+IF($C15="",0,SUMIF('DADOS BRUTOS'!$A$3:$A$500,$C15,'DADOS BRUTOS'!CT$3:CT$500)))</f>
        <v/>
      </c>
      <c r="FU15" s="56">
        <f>IF(OR(FU$4="",$B15=""),0,SUMIF('DADOS BRUTOS'!$A$3:$A$500,$B15,'DADOS BRUTOS'!CU$3:CU$500)+IF($C15="",0,SUMIF('DADOS BRUTOS'!$A$3:$A$500,$C15,'DADOS BRUTOS'!CU$3:CU$500)))</f>
        <v/>
      </c>
      <c r="FV15" s="56">
        <f>IF(OR(FV$4="",$B15=""),0,SUMIF('DADOS BRUTOS'!$A$3:$A$500,$B15,'DADOS BRUTOS'!CV$3:CV$500)+IF($C15="",0,SUMIF('DADOS BRUTOS'!$A$3:$A$500,$C15,'DADOS BRUTOS'!CV$3:CV$500)))</f>
        <v/>
      </c>
      <c r="FW15" s="56">
        <f>IF(OR(FW$4="",$B15=""),0,SUMIF('DADOS BRUTOS'!$A$3:$A$500,$B15,'DADOS BRUTOS'!CW$3:CW$500)+IF($C15="",0,SUMIF('DADOS BRUTOS'!$A$3:$A$500,$C15,'DADOS BRUTOS'!CW$3:CW$500)))</f>
        <v/>
      </c>
      <c r="FX15" s="56">
        <f>IF(OR(FX$4="",$B15=""),0,SUMIF('DADOS BRUTOS'!$A$3:$A$500,$B15,'DADOS BRUTOS'!CX$3:CX$500)+IF($C15="",0,SUMIF('DADOS BRUTOS'!$A$3:$A$500,$C15,'DADOS BRUTOS'!CX$3:CX$500)))</f>
        <v/>
      </c>
      <c r="FY15" s="56">
        <f>IF(OR(FY$4="",$B15=""),0,SUMIF('DADOS BRUTOS'!$A$3:$A$500,$B15,'DADOS BRUTOS'!CY$3:CY$500)+IF($C15="",0,SUMIF('DADOS BRUTOS'!$A$3:$A$500,$C15,'DADOS BRUTOS'!CY$3:CY$500)))</f>
        <v/>
      </c>
      <c r="FZ15" s="56">
        <f>IF(OR(FZ$4="",$B15=""),0,SUMIF('DADOS BRUTOS'!$A$3:$A$500,$B15,'DADOS BRUTOS'!CZ$3:CZ$500)+IF($C15="",0,SUMIF('DADOS BRUTOS'!$A$3:$A$500,$C15,'DADOS BRUTOS'!CZ$3:CZ$500)))</f>
        <v/>
      </c>
      <c r="GA15" s="56">
        <f>IF(OR(GA$4="",$B15=""),0,SUMIF('DADOS BRUTOS'!$A$3:$A$500,$B15,'DADOS BRUTOS'!DA$3:DA$500)+IF($C15="",0,SUMIF('DADOS BRUTOS'!$A$3:$A$500,$C15,'DADOS BRUTOS'!DA$3:DA$500)))</f>
        <v/>
      </c>
      <c r="GB15" s="56">
        <f>IF(OR(GB$4="",$B15=""),0,SUMIF('DADOS BRUTOS'!$A$3:$A$500,$B15,'DADOS BRUTOS'!DB$3:DB$500)+IF($C15="",0,SUMIF('DADOS BRUTOS'!$A$3:$A$500,$C15,'DADOS BRUTOS'!DB$3:DB$500)))</f>
        <v/>
      </c>
      <c r="GC15" s="56">
        <f>IF(OR(GC$4="",$B15=""),0,SUMIF('DADOS BRUTOS'!$A$3:$A$500,$B15,'DADOS BRUTOS'!DC$3:DC$500)+IF($C15="",0,SUMIF('DADOS BRUTOS'!$A$3:$A$500,$C15,'DADOS BRUTOS'!DC$3:DC$500)))</f>
        <v/>
      </c>
      <c r="GD15" s="56">
        <f>IF(OR(GD$4="",$B15=""),0,SUMIF('DADOS BRUTOS'!$A$3:$A$500,$B15,'DADOS BRUTOS'!DD$3:DD$500)+IF($C15="",0,SUMIF('DADOS BRUTOS'!$A$3:$A$500,$C15,'DADOS BRUTOS'!DD$3:DD$500)))</f>
        <v/>
      </c>
      <c r="GE15" s="56">
        <f>IF(OR(GE$4="",$B15=""),0,SUMIF('DADOS BRUTOS'!$A$3:$A$500,$B15,'DADOS BRUTOS'!DE$3:DE$500)+IF($C15="",0,SUMIF('DADOS BRUTOS'!$A$3:$A$500,$C15,'DADOS BRUTOS'!DE$3:DE$500)))</f>
        <v/>
      </c>
      <c r="GF15" s="56">
        <f>IF(OR(GF$4="",$B15=""),0,SUMIF('DADOS BRUTOS'!$A$3:$A$500,$B15,'DADOS BRUTOS'!DF$3:DF$500)+IF($C15="",0,SUMIF('DADOS BRUTOS'!$A$3:$A$500,$C15,'DADOS BRUTOS'!DF$3:DF$500)))</f>
        <v/>
      </c>
      <c r="GG15" s="56">
        <f>IF(OR(GG$4="",$B15=""),0,SUMIF('DADOS BRUTOS'!$A$3:$A$500,$B15,'DADOS BRUTOS'!DG$3:DG$500)+IF($C15="",0,SUMIF('DADOS BRUTOS'!$A$3:$A$500,$C15,'DADOS BRUTOS'!DG$3:DG$500)))</f>
        <v/>
      </c>
      <c r="GH15" s="56">
        <f>IF(OR(GH$4="",$B15=""),0,SUMIF('DADOS BRUTOS'!$A$3:$A$500,$B15,'DADOS BRUTOS'!DH$3:DH$500)+IF($C15="",0,SUMIF('DADOS BRUTOS'!$A$3:$A$500,$C15,'DADOS BRUTOS'!DH$3:DH$500)))</f>
        <v/>
      </c>
      <c r="GI15" s="56">
        <f>IF(OR(GI$4="",$B15=""),0,SUMIF('DADOS BRUTOS'!$A$3:$A$500,$B15,'DADOS BRUTOS'!DI$3:DI$500)+IF($C15="",0,SUMIF('DADOS BRUTOS'!$A$3:$A$500,$C15,'DADOS BRUTOS'!DI$3:DI$500)))</f>
        <v/>
      </c>
      <c r="GJ15" s="56">
        <f>IF(OR(GJ$4="",$B15=""),0,SUMIF('DADOS BRUTOS'!$A$3:$A$500,$B15,'DADOS BRUTOS'!DJ$3:DJ$500)+IF($C15="",0,SUMIF('DADOS BRUTOS'!$A$3:$A$500,$C15,'DADOS BRUTOS'!DJ$3:DJ$500)))</f>
        <v/>
      </c>
      <c r="GK15" s="56">
        <f>IF(OR(GK$4="",$B15=""),0,SUMIF('DADOS BRUTOS'!$A$3:$A$500,$B15,'DADOS BRUTOS'!DK$3:DK$500)+IF($C15="",0,SUMIF('DADOS BRUTOS'!$A$3:$A$500,$C15,'DADOS BRUTOS'!DK$3:DK$500)))</f>
        <v/>
      </c>
      <c r="GL15" s="56">
        <f>IF(OR(GL$4="",$B15=""),0,SUMIF('DADOS BRUTOS'!$A$3:$A$500,$B15,'DADOS BRUTOS'!DL$3:DL$500)+IF($C15="",0,SUMIF('DADOS BRUTOS'!$A$3:$A$500,$C15,'DADOS BRUTOS'!DL$3:DL$500)))</f>
        <v/>
      </c>
      <c r="GM15" s="56">
        <f>IF(OR(GM$4="",$B15=""),0,SUMIF('DADOS BRUTOS'!$A$3:$A$500,$B15,'DADOS BRUTOS'!DM$3:DM$500)+IF($C15="",0,SUMIF('DADOS BRUTOS'!$A$3:$A$500,$C15,'DADOS BRUTOS'!DM$3:DM$500)))</f>
        <v/>
      </c>
      <c r="GN15" s="56">
        <f>IF(OR(GN$4="",$B15=""),0,SUMIF('DADOS BRUTOS'!$A$3:$A$500,$B15,'DADOS BRUTOS'!DN$3:DN$500)+IF($C15="",0,SUMIF('DADOS BRUTOS'!$A$3:$A$500,$C15,'DADOS BRUTOS'!DN$3:DN$500)))</f>
        <v/>
      </c>
      <c r="GO15" s="56">
        <f>IF(OR(GO$4="",$B15=""),0,SUMIF('DADOS BRUTOS'!$A$3:$A$500,$B15,'DADOS BRUTOS'!DO$3:DO$500)+IF($C15="",0,SUMIF('DADOS BRUTOS'!$A$3:$A$500,$C15,'DADOS BRUTOS'!DO$3:DO$500)))</f>
        <v/>
      </c>
      <c r="GP15" s="56">
        <f>IF(OR(GP$4="",$B15=""),0,SUMIF('DADOS BRUTOS'!$A$3:$A$500,$B15,'DADOS BRUTOS'!DP$3:DP$500)+IF($C15="",0,SUMIF('DADOS BRUTOS'!$A$3:$A$500,$C15,'DADOS BRUTOS'!DP$3:DP$500)))</f>
        <v/>
      </c>
      <c r="GQ15" s="56">
        <f>IF(OR(GQ$4="",$B15=""),0,SUMIF('DADOS BRUTOS'!$A$3:$A$500,$B15,'DADOS BRUTOS'!DQ$3:DQ$500)+IF($C15="",0,SUMIF('DADOS BRUTOS'!$A$3:$A$500,$C15,'DADOS BRUTOS'!DQ$3:DQ$500)))</f>
        <v/>
      </c>
      <c r="GR15" s="56">
        <f>IF(OR(GR$4="",$B15=""),0,SUMIF('DADOS BRUTOS'!$A$3:$A$500,$B15,'DADOS BRUTOS'!DR$3:DR$500)+IF($C15="",0,SUMIF('DADOS BRUTOS'!$A$3:$A$500,$C15,'DADOS BRUTOS'!DR$3:DR$500)))</f>
        <v/>
      </c>
      <c r="GS15" s="56">
        <f>IF(OR(GS$4="",$B15=""),0,SUMIF('DADOS BRUTOS'!$A$3:$A$500,$B15,'DADOS BRUTOS'!DS$3:DS$500)+IF($C15="",0,SUMIF('DADOS BRUTOS'!$A$3:$A$500,$C15,'DADOS BRUTOS'!DS$3:DS$500)))</f>
        <v/>
      </c>
      <c r="GT15" s="56">
        <f>IF(OR(GT$4="",$B15=""),0,SUMIF('DADOS BRUTOS'!$A$3:$A$500,$B15,'DADOS BRUTOS'!DT$3:DT$500)+IF($C15="",0,SUMIF('DADOS BRUTOS'!$A$3:$A$500,$C15,'DADOS BRUTOS'!DT$3:DT$500)))</f>
        <v/>
      </c>
      <c r="GU15" s="56">
        <f>IF(OR(GU$4="",$B15=""),0,SUMIF('DADOS BRUTOS'!$A$3:$A$500,$B15,'DADOS BRUTOS'!DU$3:DU$500)+IF($C15="",0,SUMIF('DADOS BRUTOS'!$A$3:$A$500,$C15,'DADOS BRUTOS'!DU$3:DU$500)))</f>
        <v/>
      </c>
      <c r="GV15" s="56">
        <f>IF(OR(GV$4="",$B15=""),0,SUMIF('DADOS BRUTOS'!$A$3:$A$500,$B15,'DADOS BRUTOS'!DV$3:DV$500)+IF($C15="",0,SUMIF('DADOS BRUTOS'!$A$3:$A$500,$C15,'DADOS BRUTOS'!DV$3:DV$500)))</f>
        <v/>
      </c>
      <c r="GW15" s="56">
        <f>IF(OR(GW$4="",$B15=""),0,SUMIF('DADOS BRUTOS'!$A$3:$A$500,$B15,'DADOS BRUTOS'!DW$3:DW$500)+IF($C15="",0,SUMIF('DADOS BRUTOS'!$A$3:$A$500,$C15,'DADOS BRUTOS'!DW$3:DW$500)))</f>
        <v/>
      </c>
      <c r="GX15" s="56">
        <f>IF(OR(GX$4="",$B15=""),0,SUMIF('DADOS BRUTOS'!$A$3:$A$500,$B15,'DADOS BRUTOS'!DX$3:DX$500)+IF($C15="",0,SUMIF('DADOS BRUTOS'!$A$3:$A$500,$C15,'DADOS BRUTOS'!DX$3:DX$500)))</f>
        <v/>
      </c>
      <c r="GY15" s="56">
        <f>IF(OR(GY$4="",$B15=""),0,SUMIF('DADOS BRUTOS'!$A$3:$A$500,$B15,'DADOS BRUTOS'!DY$3:DY$500)+IF($C15="",0,SUMIF('DADOS BRUTOS'!$A$3:$A$500,$C15,'DADOS BRUTOS'!DY$3:DY$500)))</f>
        <v/>
      </c>
      <c r="GZ15" s="56">
        <f>IF(OR(GZ$4="",$B15=""),0,SUMIF('DADOS BRUTOS'!$A$3:$A$500,$B15,'DADOS BRUTOS'!DZ$3:DZ$500)+IF($C15="",0,SUMIF('DADOS BRUTOS'!$A$3:$A$500,$C15,'DADOS BRUTOS'!DZ$3:DZ$500)))</f>
        <v/>
      </c>
      <c r="HA15" s="56">
        <f>IF(OR(HA$4="",$B15=""),0,SUMIF('DADOS BRUTOS'!$A$3:$A$500,$B15,'DADOS BRUTOS'!EA$3:EA$500)+IF($C15="",0,SUMIF('DADOS BRUTOS'!$A$3:$A$500,$C15,'DADOS BRUTOS'!EA$3:EA$500)))</f>
        <v/>
      </c>
      <c r="HB15" s="56">
        <f>IF(OR(HB$4="",$B15=""),0,SUMIF('DADOS BRUTOS'!$A$3:$A$500,$B15,'DADOS BRUTOS'!EB$3:EB$500)+IF($C15="",0,SUMIF('DADOS BRUTOS'!$A$3:$A$500,$C15,'DADOS BRUTOS'!EB$3:EB$500)))</f>
        <v/>
      </c>
      <c r="HC15" s="56">
        <f>IF(OR(HC$4="",$B15=""),0,SUMIF('DADOS BRUTOS'!$A$3:$A$500,$B15,'DADOS BRUTOS'!EC$3:EC$500)+IF($C15="",0,SUMIF('DADOS BRUTOS'!$A$3:$A$500,$C15,'DADOS BRUTOS'!EC$3:EC$500)))</f>
        <v/>
      </c>
      <c r="HD15" s="56">
        <f>IF(OR(HD$4="",$B15=""),0,SUMIF('DADOS BRUTOS'!$A$3:$A$500,$B15,'DADOS BRUTOS'!ED$3:ED$500)+IF($C15="",0,SUMIF('DADOS BRUTOS'!$A$3:$A$500,$C15,'DADOS BRUTOS'!ED$3:ED$500)))</f>
        <v/>
      </c>
      <c r="HE15" s="56">
        <f>IF(OR(HE$4="",$B15=""),0,SUMIF('DADOS BRUTOS'!$A$3:$A$500,$B15,'DADOS BRUTOS'!EE$3:EE$500)+IF($C15="",0,SUMIF('DADOS BRUTOS'!$A$3:$A$500,$C15,'DADOS BRUTOS'!EE$3:EE$500)))</f>
        <v/>
      </c>
      <c r="HF15" s="56">
        <f>IF(OR(HF$4="",$B15=""),0,SUMIF('DADOS BRUTOS'!$A$3:$A$500,$B15,'DADOS BRUTOS'!EF$3:EF$500)+IF($C15="",0,SUMIF('DADOS BRUTOS'!$A$3:$A$500,$C15,'DADOS BRUTOS'!EF$3:EF$500)))</f>
        <v/>
      </c>
      <c r="HG15" s="56">
        <f>IF(OR(HG$4="",$B15=""),0,SUMIF('DADOS BRUTOS'!$A$3:$A$500,$B15,'DADOS BRUTOS'!EG$3:EG$500)+IF($C15="",0,SUMIF('DADOS BRUTOS'!$A$3:$A$500,$C15,'DADOS BRUTOS'!EG$3:EG$500)))</f>
        <v/>
      </c>
      <c r="HH15" s="56">
        <f>IF(OR(HH$4="",$B15=""),0,SUMIF('DADOS BRUTOS'!$A$3:$A$500,$B15,'DADOS BRUTOS'!EH$3:EH$500)+IF($C15="",0,SUMIF('DADOS BRUTOS'!$A$3:$A$500,$C15,'DADOS BRUTOS'!EH$3:EH$500)))</f>
        <v/>
      </c>
      <c r="HI15" s="56">
        <f>IF(OR(HI$4="",$B15=""),0,SUMIF('DADOS BRUTOS'!$A$3:$A$500,$B15,'DADOS BRUTOS'!EI$3:EI$500)+IF($C15="",0,SUMIF('DADOS BRUTOS'!$A$3:$A$500,$C15,'DADOS BRUTOS'!EI$3:EI$500)))</f>
        <v/>
      </c>
      <c r="HJ15" s="56">
        <f>IF(OR(HJ$4="",$B15=""),0,SUMIF('DADOS BRUTOS'!$A$3:$A$500,$B15,'DADOS BRUTOS'!EJ$3:EJ$500)+IF($C15="",0,SUMIF('DADOS BRUTOS'!$A$3:$A$500,$C15,'DADOS BRUTOS'!EJ$3:EJ$500)))</f>
        <v/>
      </c>
      <c r="HK15" s="56">
        <f>IF(OR(HK$4="",$B15=""),0,SUMIF('DADOS BRUTOS'!$A$3:$A$500,$B15,'DADOS BRUTOS'!EK$3:EK$500)+IF($C15="",0,SUMIF('DADOS BRUTOS'!$A$3:$A$500,$C15,'DADOS BRUTOS'!EK$3:EK$500)))</f>
        <v/>
      </c>
      <c r="HL15" s="56">
        <f>IF(OR(HL$4="",$B15=""),0,SUMIF('DADOS BRUTOS'!$A$3:$A$500,$B15,'DADOS BRUTOS'!EL$3:EL$500)+IF($C15="",0,SUMIF('DADOS BRUTOS'!$A$3:$A$500,$C15,'DADOS BRUTOS'!EL$3:EL$500)))</f>
        <v/>
      </c>
      <c r="HM15" s="56">
        <f>IF(OR(HM$4="",$B15=""),0,SUMIF('DADOS BRUTOS'!$A$3:$A$500,$B15,'DADOS BRUTOS'!EM$3:EM$500)+IF($C15="",0,SUMIF('DADOS BRUTOS'!$A$3:$A$500,$C15,'DADOS BRUTOS'!EM$3:EM$500)))</f>
        <v/>
      </c>
      <c r="HN15" s="56">
        <f>IF(OR(HN$4="",$B15=""),0,SUMIF('DADOS BRUTOS'!$A$3:$A$500,$B15,'DADOS BRUTOS'!EN$3:EN$500)+IF($C15="",0,SUMIF('DADOS BRUTOS'!$A$3:$A$500,$C15,'DADOS BRUTOS'!EN$3:EN$500)))</f>
        <v/>
      </c>
      <c r="HO15" s="56">
        <f>IF(OR(HO$4="",$B15=""),0,SUMIF('DADOS BRUTOS'!$A$3:$A$500,$B15,'DADOS BRUTOS'!EO$3:EO$500)+IF($C15="",0,SUMIF('DADOS BRUTOS'!$A$3:$A$500,$C15,'DADOS BRUTOS'!EO$3:EO$500)))</f>
        <v/>
      </c>
      <c r="HP15" s="56">
        <f>IF(OR(HP$4="",$B15=""),0,SUMIF('DADOS BRUTOS'!$A$3:$A$500,$B15,'DADOS BRUTOS'!EP$3:EP$500)+IF($C15="",0,SUMIF('DADOS BRUTOS'!$A$3:$A$500,$C15,'DADOS BRUTOS'!EP$3:EP$500)))</f>
        <v/>
      </c>
      <c r="HQ15" s="56">
        <f>IF(OR(HQ$4="",$B15=""),0,SUMIF('DADOS BRUTOS'!$A$3:$A$500,$B15,'DADOS BRUTOS'!EQ$3:EQ$500)+IF($C15="",0,SUMIF('DADOS BRUTOS'!$A$3:$A$500,$C15,'DADOS BRUTOS'!EQ$3:EQ$500)))</f>
        <v/>
      </c>
      <c r="HR15" s="56">
        <f>IF(OR(HR$4="",$B15=""),0,SUMIF('DADOS BRUTOS'!$A$3:$A$500,$B15,'DADOS BRUTOS'!ER$3:ER$500)+IF($C15="",0,SUMIF('DADOS BRUTOS'!$A$3:$A$500,$C15,'DADOS BRUTOS'!ER$3:ER$500)))</f>
        <v/>
      </c>
      <c r="HS15" s="56">
        <f>IF(OR(HS$4="",$B15=""),0,SUMIF('DADOS BRUTOS'!$A$3:$A$500,$B15,'DADOS BRUTOS'!ES$3:ES$500)+IF($C15="",0,SUMIF('DADOS BRUTOS'!$A$3:$A$500,$C15,'DADOS BRUTOS'!ES$3:ES$500)))</f>
        <v/>
      </c>
      <c r="HT15" s="56">
        <f>IF(OR(HT$4="",$B15=""),0,SUMIF('DADOS BRUTOS'!$A$3:$A$500,$B15,'DADOS BRUTOS'!ET$3:ET$500)+IF($C15="",0,SUMIF('DADOS BRUTOS'!$A$3:$A$500,$C15,'DADOS BRUTOS'!ET$3:ET$500)))</f>
        <v/>
      </c>
      <c r="HU15" s="56">
        <f>IF(OR(HU$4="",$B15=""),0,SUMIF('DADOS BRUTOS'!$A$3:$A$500,$B15,'DADOS BRUTOS'!EU$3:EU$500)+IF($C15="",0,SUMIF('DADOS BRUTOS'!$A$3:$A$500,$C15,'DADOS BRUTOS'!EU$3:EU$500)))</f>
        <v/>
      </c>
      <c r="HV15" s="56">
        <f>IF(OR(HV$4="",$B15=""),0,SUMIF('DADOS BRUTOS'!$A$3:$A$500,$B15,'DADOS BRUTOS'!EV$3:EV$500)+IF($C15="",0,SUMIF('DADOS BRUTOS'!$A$3:$A$500,$C15,'DADOS BRUTOS'!EV$3:EV$500)))</f>
        <v/>
      </c>
      <c r="HW15" s="56">
        <f>IF(OR(HW$4="",$B15=""),0,SUMIF('DADOS BRUTOS'!$A$3:$A$500,$B15,'DADOS BRUTOS'!EW$3:EW$500)+IF($C15="",0,SUMIF('DADOS BRUTOS'!$A$3:$A$500,$C15,'DADOS BRUTOS'!EW$3:EW$500)))</f>
        <v/>
      </c>
      <c r="HX15" s="56">
        <f>IF(OR(HX$4="",$B15=""),0,SUMIF('DADOS BRUTOS'!$A$3:$A$500,$B15,'DADOS BRUTOS'!EX$3:EX$500)+IF($C15="",0,SUMIF('DADOS BRUTOS'!$A$3:$A$500,$C15,'DADOS BRUTOS'!EX$3:EX$500)))</f>
        <v/>
      </c>
      <c r="HY15" s="56">
        <f>IF(OR(HY$4="",$B15=""),0,SUMIF('DADOS BRUTOS'!$A$3:$A$500,$B15,'DADOS BRUTOS'!EY$3:EY$500)+IF($C15="",0,SUMIF('DADOS BRUTOS'!$A$3:$A$500,$C15,'DADOS BRUTOS'!EY$3:EY$500)))</f>
        <v/>
      </c>
      <c r="HZ15" s="56">
        <f>IF(OR(HZ$4="",$B15=""),0,SUMIF('DADOS BRUTOS'!$A$3:$A$500,$B15,'DADOS BRUTOS'!EZ$3:EZ$500)+IF($C15="",0,SUMIF('DADOS BRUTOS'!$A$3:$A$500,$C15,'DADOS BRUTOS'!EZ$3:EZ$500)))</f>
        <v/>
      </c>
      <c r="IA15" s="56">
        <f>IF(OR(IA$4="",$B15=""),0,SUMIF('DADOS BRUTOS'!$A$3:$A$500,$B15,'DADOS BRUTOS'!FA$3:FA$500)+IF($C15="",0,SUMIF('DADOS BRUTOS'!$A$3:$A$500,$C15,'DADOS BRUTOS'!FA$3:FA$500)))</f>
        <v/>
      </c>
      <c r="IB15" s="56">
        <f>IF(OR(IB$4="",$B15=""),0,SUMIF('DADOS BRUTOS'!$A$3:$A$500,$B15,'DADOS BRUTOS'!FB$3:FB$500)+IF($C15="",0,SUMIF('DADOS BRUTOS'!$A$3:$A$500,$C15,'DADOS BRUTOS'!FB$3:FB$500)))</f>
        <v/>
      </c>
      <c r="IC15" s="56">
        <f>IF(OR(IC$4="",$B15=""),0,SUMIF('DADOS BRUTOS'!$A$3:$A$500,$B15,'DADOS BRUTOS'!FC$3:FC$500)+IF($C15="",0,SUMIF('DADOS BRUTOS'!$A$3:$A$500,$C15,'DADOS BRUTOS'!FC$3:FC$500)))</f>
        <v/>
      </c>
      <c r="ID15" s="56">
        <f>IF(OR(ID$4="",$B15=""),0,SUMIF('DADOS BRUTOS'!$A$3:$A$500,$B15,'DADOS BRUTOS'!FD$3:FD$500)+IF($C15="",0,SUMIF('DADOS BRUTOS'!$A$3:$A$500,$C15,'DADOS BRUTOS'!FD$3:FD$500)))</f>
        <v/>
      </c>
      <c r="IE15" s="56">
        <f>IF(OR(IE$4="",$B15=""),0,SUMIF('DADOS BRUTOS'!$A$3:$A$500,$B15,'DADOS BRUTOS'!FE$3:FE$500)+IF($C15="",0,SUMIF('DADOS BRUTOS'!$A$3:$A$500,$C15,'DADOS BRUTOS'!FE$3:FE$500)))</f>
        <v/>
      </c>
      <c r="IF15" s="56">
        <f>IF(OR(IF$4="",$B15=""),0,SUMIF('DADOS BRUTOS'!$A$3:$A$500,$B15,'DADOS BRUTOS'!FF$3:FF$500)+IF($C15="",0,SUMIF('DADOS BRUTOS'!$A$3:$A$500,$C15,'DADOS BRUTOS'!FF$3:FF$500)))</f>
        <v/>
      </c>
      <c r="IG15" s="56">
        <f>IF(OR(IG$4="",$B15=""),0,SUMIF('DADOS BRUTOS'!$A$3:$A$500,$B15,'DADOS BRUTOS'!FG$3:FG$500)+IF($C15="",0,SUMIF('DADOS BRUTOS'!$A$3:$A$500,$C15,'DADOS BRUTOS'!FG$3:FG$500)))</f>
        <v/>
      </c>
      <c r="IH15" s="56">
        <f>IF(OR(IH$4="",$B15=""),0,SUMIF('DADOS BRUTOS'!$A$3:$A$500,$B15,'DADOS BRUTOS'!FH$3:FH$500)+IF($C15="",0,SUMIF('DADOS BRUTOS'!$A$3:$A$500,$C15,'DADOS BRUTOS'!FH$3:FH$500)))</f>
        <v/>
      </c>
      <c r="II15" s="56">
        <f>IF(OR(II$4="",$B15=""),0,SUMIF('DADOS BRUTOS'!$A$3:$A$500,$B15,'DADOS BRUTOS'!FI$3:FI$500)+IF($C15="",0,SUMIF('DADOS BRUTOS'!$A$3:$A$500,$C15,'DADOS BRUTOS'!FI$3:FI$500)))</f>
        <v/>
      </c>
      <c r="IJ15" s="56">
        <f>IF(OR(IJ$4="",$B15=""),0,SUMIF('DADOS BRUTOS'!$A$3:$A$500,$B15,'DADOS BRUTOS'!FJ$3:FJ$500)+IF($C15="",0,SUMIF('DADOS BRUTOS'!$A$3:$A$500,$C15,'DADOS BRUTOS'!FJ$3:FJ$500)))</f>
        <v/>
      </c>
      <c r="IK15" s="56">
        <f>IF(OR(IK$4="",$B15=""),0,SUMIF('DADOS BRUTOS'!$A$3:$A$500,$B15,'DADOS BRUTOS'!FK$3:FK$500)+IF($C15="",0,SUMIF('DADOS BRUTOS'!$A$3:$A$500,$C15,'DADOS BRUTOS'!FK$3:FK$500)))</f>
        <v/>
      </c>
      <c r="IL15" s="56">
        <f>IF(OR(IL$4="",$B15=""),0,SUMIF('DADOS BRUTOS'!$A$3:$A$500,$B15,'DADOS BRUTOS'!FL$3:FL$500)+IF($C15="",0,SUMIF('DADOS BRUTOS'!$A$3:$A$500,$C15,'DADOS BRUTOS'!FL$3:FL$500)))</f>
        <v/>
      </c>
      <c r="IM15" s="56">
        <f>IF(OR(IM$4="",$B15=""),0,SUMIF('DADOS BRUTOS'!$A$3:$A$500,$B15,'DADOS BRUTOS'!FM$3:FM$500)+IF($C15="",0,SUMIF('DADOS BRUTOS'!$A$3:$A$500,$C15,'DADOS BRUTOS'!FM$3:FM$500)))</f>
        <v/>
      </c>
      <c r="IN15" s="56">
        <f>IF(OR(IN$4="",$B15=""),0,SUMIF('DADOS BRUTOS'!$A$3:$A$500,$B15,'DADOS BRUTOS'!FN$3:FN$500)+IF($C15="",0,SUMIF('DADOS BRUTOS'!$A$3:$A$500,$C15,'DADOS BRUTOS'!FN$3:FN$500)))</f>
        <v/>
      </c>
      <c r="IO15" s="56">
        <f>IF(OR(IO$4="",$B15=""),0,SUMIF('DADOS BRUTOS'!$A$3:$A$500,$B15,'DADOS BRUTOS'!FO$3:FO$500)+IF($C15="",0,SUMIF('DADOS BRUTOS'!$A$3:$A$500,$C15,'DADOS BRUTOS'!FO$3:FO$500)))</f>
        <v/>
      </c>
      <c r="IP15" s="56">
        <f>IF(OR(IP$4="",$B15=""),0,SUMIF('DADOS BRUTOS'!$A$3:$A$500,$B15,'DADOS BRUTOS'!FP$3:FP$500)+IF($C15="",0,SUMIF('DADOS BRUTOS'!$A$3:$A$500,$C15,'DADOS BRUTOS'!FP$3:FP$500)))</f>
        <v/>
      </c>
      <c r="IQ15" s="56">
        <f>IF(OR(IQ$4="",$B15=""),0,SUMIF('DADOS BRUTOS'!$A$3:$A$500,$B15,'DADOS BRUTOS'!FQ$3:FQ$500)+IF($C15="",0,SUMIF('DADOS BRUTOS'!$A$3:$A$500,$C15,'DADOS BRUTOS'!FQ$3:FQ$500)))</f>
        <v/>
      </c>
      <c r="IR15" s="56">
        <f>IF(OR(IR$4="",$B15=""),0,SUMIF('DADOS BRUTOS'!$A$3:$A$500,$B15,'DADOS BRUTOS'!FR$3:FR$500)+IF($C15="",0,SUMIF('DADOS BRUTOS'!$A$3:$A$500,$C15,'DADOS BRUTOS'!FR$3:FR$500)))</f>
        <v/>
      </c>
      <c r="IS15" s="56">
        <f>IF(OR(IS$4="",$B15=""),0,SUMIF('DADOS BRUTOS'!$A$3:$A$500,$B15,'DADOS BRUTOS'!FS$3:FS$500)+IF($C15="",0,SUMIF('DADOS BRUTOS'!$A$3:$A$500,$C15,'DADOS BRUTOS'!FS$3:FS$500)))</f>
        <v/>
      </c>
      <c r="IT15" s="56">
        <f>IF(OR(IT$4="",$B15=""),0,SUMIF('DADOS BRUTOS'!$A$3:$A$500,$B15,'DADOS BRUTOS'!FT$3:FT$500)+IF($C15="",0,SUMIF('DADOS BRUTOS'!$A$3:$A$500,$C15,'DADOS BRUTOS'!FT$3:FT$500)))</f>
        <v/>
      </c>
      <c r="IU15" s="56">
        <f>IF(OR(IU$4="",$B15=""),0,SUMIF('DADOS BRUTOS'!$A$3:$A$500,$B15,'DADOS BRUTOS'!FU$3:FU$500)+IF($C15="",0,SUMIF('DADOS BRUTOS'!$A$3:$A$500,$C15,'DADOS BRUTOS'!FU$3:FU$500)))</f>
        <v/>
      </c>
      <c r="IV15" s="56">
        <f>IF(OR(IV$4="",$B15=""),0,SUMIF('DADOS BRUTOS'!$A$3:$A$500,$B15,'DADOS BRUTOS'!FV$3:FV$500)+IF($C15="",0,SUMIF('DADOS BRUTOS'!$A$3:$A$500,$C15,'DADOS BRUTOS'!FV$3:FV$500)))</f>
        <v/>
      </c>
      <c r="IW15" s="56">
        <f>IF(OR(IW$4="",$B15=""),0,SUMIF('DADOS BRUTOS'!$A$3:$A$500,$B15,'DADOS BRUTOS'!FW$3:FW$500)+IF($C15="",0,SUMIF('DADOS BRUTOS'!$A$3:$A$500,$C15,'DADOS BRUTOS'!FW$3:FW$500)))</f>
        <v/>
      </c>
      <c r="IX15" s="56">
        <f>IF(OR(IX$4="",$B15=""),0,SUMIF('DADOS BRUTOS'!$A$3:$A$500,$B15,'DADOS BRUTOS'!FX$3:FX$500)+IF($C15="",0,SUMIF('DADOS BRUTOS'!$A$3:$A$500,$C15,'DADOS BRUTOS'!FX$3:FX$500)))</f>
        <v/>
      </c>
      <c r="IY15" s="56">
        <f>IF(OR(IY$4="",$B15=""),0,SUMIF('DADOS BRUTOS'!$A$3:$A$500,$B15,'DADOS BRUTOS'!FY$3:FY$500)+IF($C15="",0,SUMIF('DADOS BRUTOS'!$A$3:$A$500,$C15,'DADOS BRUTOS'!FY$3:FY$500)))</f>
        <v/>
      </c>
      <c r="IZ15" s="56">
        <f>IF(OR(IZ$4="",$B15=""),0,SUMIF('DADOS BRUTOS'!$A$3:$A$500,$B15,'DADOS BRUTOS'!FZ$3:FZ$500)+IF($C15="",0,SUMIF('DADOS BRUTOS'!$A$3:$A$500,$C15,'DADOS BRUTOS'!FZ$3:FZ$500)))</f>
        <v/>
      </c>
      <c r="JA15" s="56">
        <f>IF(OR(JA$4="",$B15=""),0,SUMIF('DADOS BRUTOS'!$A$3:$A$500,$B15,'DADOS BRUTOS'!GA$3:GA$500)+IF($C15="",0,SUMIF('DADOS BRUTOS'!$A$3:$A$500,$C15,'DADOS BRUTOS'!GA$3:GA$500)))</f>
        <v/>
      </c>
      <c r="JB15" s="56">
        <f>IF(OR(JB$4="",$B15=""),0,SUMIF('DADOS BRUTOS'!$A$3:$A$500,$B15,'DADOS BRUTOS'!GB$3:GB$500)+IF($C15="",0,SUMIF('DADOS BRUTOS'!$A$3:$A$500,$C15,'DADOS BRUTOS'!GB$3:GB$500)))</f>
        <v/>
      </c>
      <c r="JC15" s="56">
        <f>IF(OR(JC$4="",$B15=""),0,SUMIF('DADOS BRUTOS'!$A$3:$A$500,$B15,'DADOS BRUTOS'!GC$3:GC$500)+IF($C15="",0,SUMIF('DADOS BRUTOS'!$A$3:$A$500,$C15,'DADOS BRUTOS'!GC$3:GC$500)))</f>
        <v/>
      </c>
      <c r="JD15" s="56">
        <f>IF(OR(JD$4="",$B15=""),0,SUMIF('DADOS BRUTOS'!$A$3:$A$500,$B15,'DADOS BRUTOS'!GD$3:GD$500)+IF($C15="",0,SUMIF('DADOS BRUTOS'!$A$3:$A$500,$C15,'DADOS BRUTOS'!GD$3:GD$500)))</f>
        <v/>
      </c>
      <c r="JE15" s="56">
        <f>IF(OR(JE$4="",$B15=""),0,SUMIF('DADOS BRUTOS'!$A$3:$A$500,$B15,'DADOS BRUTOS'!GE$3:GE$500)+IF($C15="",0,SUMIF('DADOS BRUTOS'!$A$3:$A$500,$C15,'DADOS BRUTOS'!GE$3:GE$500)))</f>
        <v/>
      </c>
      <c r="JF15" s="56">
        <f>IF(OR(JF$4="",$B15=""),0,SUMIF('DADOS BRUTOS'!$A$3:$A$500,$B15,'DADOS BRUTOS'!GF$3:GF$500)+IF($C15="",0,SUMIF('DADOS BRUTOS'!$A$3:$A$500,$C15,'DADOS BRUTOS'!GF$3:GF$500)))</f>
        <v/>
      </c>
      <c r="JG15" s="56">
        <f>IF(OR(JG$4="",$B15=""),0,SUMIF('DADOS BRUTOS'!$A$3:$A$500,$B15,'DADOS BRUTOS'!GG$3:GG$500)+IF($C15="",0,SUMIF('DADOS BRUTOS'!$A$3:$A$500,$C15,'DADOS BRUTOS'!GG$3:GG$500)))</f>
        <v/>
      </c>
      <c r="JH15" s="56">
        <f>IF(OR(JH$4="",$B15=""),0,SUMIF('DADOS BRUTOS'!$A$3:$A$500,$B15,'DADOS BRUTOS'!GH$3:GH$500)+IF($C15="",0,SUMIF('DADOS BRUTOS'!$A$3:$A$500,$C15,'DADOS BRUTOS'!GH$3:GH$500)))</f>
        <v/>
      </c>
      <c r="JI15" s="56">
        <f>IF(OR(JI$4="",$B15=""),0,SUMIF('DADOS BRUTOS'!$A$3:$A$500,$B15,'DADOS BRUTOS'!GI$3:GI$500)+IF($C15="",0,SUMIF('DADOS BRUTOS'!$A$3:$A$500,$C15,'DADOS BRUTOS'!GI$3:GI$500)))</f>
        <v/>
      </c>
      <c r="JJ15" s="56">
        <f>IF(OR(JJ$4="",$B15=""),0,SUMIF('DADOS BRUTOS'!$A$3:$A$500,$B15,'DADOS BRUTOS'!GJ$3:GJ$500)+IF($C15="",0,SUMIF('DADOS BRUTOS'!$A$3:$A$500,$C15,'DADOS BRUTOS'!GJ$3:GJ$500)))</f>
        <v/>
      </c>
      <c r="JK15" s="56">
        <f>IF(OR(JK$4="",$B15=""),0,SUMIF('DADOS BRUTOS'!$A$3:$A$500,$B15,'DADOS BRUTOS'!GK$3:GK$500)+IF($C15="",0,SUMIF('DADOS BRUTOS'!$A$3:$A$500,$C15,'DADOS BRUTOS'!GK$3:GK$500)))</f>
        <v/>
      </c>
      <c r="JL15" s="56">
        <f>IF(OR(JL$4="",$B15=""),0,SUMIF('DADOS BRUTOS'!$A$3:$A$500,$B15,'DADOS BRUTOS'!GL$3:GL$500)+IF($C15="",0,SUMIF('DADOS BRUTOS'!$A$3:$A$500,$C15,'DADOS BRUTOS'!GL$3:GL$500)))</f>
        <v/>
      </c>
      <c r="JM15" s="56">
        <f>IF(OR(JM$4="",$B15=""),0,SUMIF('DADOS BRUTOS'!$A$3:$A$500,$B15,'DADOS BRUTOS'!GM$3:GM$500)+IF($C15="",0,SUMIF('DADOS BRUTOS'!$A$3:$A$500,$C15,'DADOS BRUTOS'!GM$3:GM$500)))</f>
        <v/>
      </c>
      <c r="JN15" s="56">
        <f>IF(OR(JN$4="",$B15=""),0,SUMIF('DADOS BRUTOS'!$A$3:$A$500,$B15,'DADOS BRUTOS'!GN$3:GN$500)+IF($C15="",0,SUMIF('DADOS BRUTOS'!$A$3:$A$500,$C15,'DADOS BRUTOS'!GN$3:GN$500)))</f>
        <v/>
      </c>
      <c r="JO15" s="56">
        <f>IF(OR(JO$4="",$B15=""),0,SUMIF('DADOS BRUTOS'!$A$3:$A$500,$B15,'DADOS BRUTOS'!GO$3:GO$500)+IF($C15="",0,SUMIF('DADOS BRUTOS'!$A$3:$A$500,$C15,'DADOS BRUTOS'!GO$3:GO$500)))</f>
        <v/>
      </c>
      <c r="JP15" s="56">
        <f>IF(OR(JP$4="",$B15=""),0,SUMIF('DADOS BRUTOS'!$A$3:$A$500,$B15,'DADOS BRUTOS'!GP$3:GP$500)+IF($C15="",0,SUMIF('DADOS BRUTOS'!$A$3:$A$500,$C15,'DADOS BRUTOS'!GP$3:GP$500)))</f>
        <v/>
      </c>
      <c r="JQ15" s="56">
        <f>IF(OR(JQ$4="",$B15=""),0,SUMIF('DADOS BRUTOS'!$A$3:$A$500,$B15,'DADOS BRUTOS'!GQ$3:GQ$500)+IF($C15="",0,SUMIF('DADOS BRUTOS'!$A$3:$A$500,$C15,'DADOS BRUTOS'!GQ$3:GQ$500)))</f>
        <v/>
      </c>
      <c r="JR15" s="56">
        <f>IF(OR(JR$4="",$B15=""),0,SUMIF('DADOS BRUTOS'!$A$3:$A$500,$B15,'DADOS BRUTOS'!GR$3:GR$500)+IF($C15="",0,SUMIF('DADOS BRUTOS'!$A$3:$A$500,$C15,'DADOS BRUTOS'!GR$3:GR$500)))</f>
        <v/>
      </c>
      <c r="JS15" s="56">
        <f>IF(OR(JS$4="",$B15=""),0,SUMIF('DADOS BRUTOS'!$A$3:$A$500,$B15,'DADOS BRUTOS'!GS$3:GS$500)+IF($C15="",0,SUMIF('DADOS BRUTOS'!$A$3:$A$500,$C15,'DADOS BRUTOS'!GS$3:GS$500)))</f>
        <v/>
      </c>
    </row>
    <row r="16">
      <c r="A16" s="34">
        <f>'VALOR POR PL'!D22</f>
        <v/>
      </c>
      <c r="B16" s="21" t="inlineStr">
        <is>
          <t>SERVIÇOS INICIAIS</t>
        </is>
      </c>
      <c r="C16" s="21" t="n"/>
      <c r="D16" s="17">
        <f>SUMIF($CB$4:$JS$4,"&lt;="&amp;D$4,$CB16:$JS16)</f>
        <v/>
      </c>
      <c r="E16" s="17">
        <f>SUMIF($CB$4:$JS$4,E$4,$CB16:$JS16)</f>
        <v/>
      </c>
      <c r="F16" s="17">
        <f>SUMIF($CB$4:$JS$4,F$4,$CB16:$JS16)</f>
        <v/>
      </c>
      <c r="G16" s="17">
        <f>SUMIF($CB$4:$JS$4,G$4,$CB16:$JS16)</f>
        <v/>
      </c>
      <c r="H16" s="17">
        <f>SUMIF($CB$4:$JS$4,H$4,$CB16:$JS16)</f>
        <v/>
      </c>
      <c r="I16" s="17">
        <f>SUMIF($CB$4:$JS$4,I$4,$CB16:$JS16)</f>
        <v/>
      </c>
      <c r="J16" s="17">
        <f>SUMIF($CB$4:$JS$4,J$4,$CB16:$JS16)</f>
        <v/>
      </c>
      <c r="K16" s="17">
        <f>SUMIF($CB$4:$JS$4,K$4,$CB16:$JS16)</f>
        <v/>
      </c>
      <c r="L16" s="17">
        <f>SUMIF($CB$4:$JS$4,L$4,$CB16:$JS16)</f>
        <v/>
      </c>
      <c r="M16" s="17">
        <f>SUMIF($CB$4:$JS$4,M$4,$CB16:$JS16)</f>
        <v/>
      </c>
      <c r="N16" s="17">
        <f>SUMIF($CB$4:$JS$4,N$4,$CB16:$JS16)</f>
        <v/>
      </c>
      <c r="O16" s="17">
        <f>SUMIF($CB$4:$JS$4,O$4,$CB16:$JS16)</f>
        <v/>
      </c>
      <c r="P16" s="17">
        <f>SUMIF($CB$4:$JS$4,P$4,$CB16:$JS16)</f>
        <v/>
      </c>
      <c r="Q16" s="17">
        <f>SUMIF($CB$4:$JS$4,Q$4,$CB16:$JS16)</f>
        <v/>
      </c>
      <c r="R16" s="17">
        <f>SUMIF($CB$4:$JS$4,R$4,$CB16:$JS16)</f>
        <v/>
      </c>
      <c r="S16" s="17">
        <f>SUMIF($CB$4:$JS$4,S$4,$CB16:$JS16)</f>
        <v/>
      </c>
      <c r="T16" s="17">
        <f>SUMIF($CB$4:$JS$4,T$4,$CB16:$JS16)</f>
        <v/>
      </c>
      <c r="U16" s="17">
        <f>SUMIF($CB$4:$JS$4,U$4,$CB16:$JS16)</f>
        <v/>
      </c>
      <c r="V16" s="17">
        <f>SUMIF($CB$4:$JS$4,V$4,$CB16:$JS16)</f>
        <v/>
      </c>
      <c r="W16" s="17">
        <f>SUMIF($CB$4:$JS$4,W$4,$CB16:$JS16)</f>
        <v/>
      </c>
      <c r="X16" s="17">
        <f>SUMIF($CB$4:$JS$4,X$4,$CB16:$JS16)</f>
        <v/>
      </c>
      <c r="Y16" s="17">
        <f>SUMIF($CB$4:$JS$4,Y$4,$CB16:$JS16)</f>
        <v/>
      </c>
      <c r="Z16" s="17">
        <f>SUMIF($CB$4:$JS$4,Z$4,$CB16:$JS16)</f>
        <v/>
      </c>
      <c r="AA16" s="17">
        <f>SUMIF($CB$4:$JS$4,AA$4,$CB16:$JS16)</f>
        <v/>
      </c>
      <c r="AB16" s="17">
        <f>SUMIF($CB$4:$JS$4,AB$4,$CB16:$JS16)</f>
        <v/>
      </c>
      <c r="AC16" s="17">
        <f>SUMIF($CB$4:$JS$4,AC$4,$CB16:$JS16)</f>
        <v/>
      </c>
      <c r="AD16" s="17">
        <f>SUMIF($CB$4:$JS$4,AD$4,$CB16:$JS16)</f>
        <v/>
      </c>
      <c r="AE16" s="17">
        <f>SUMIF($CB$4:$JS$4,AE$4,$CB16:$JS16)</f>
        <v/>
      </c>
      <c r="AF16" s="17">
        <f>SUMIF($CB$4:$JS$4,AF$4,$CB16:$JS16)</f>
        <v/>
      </c>
      <c r="AG16" s="17">
        <f>SUMIF($CB$4:$JS$4,AG$4,$CB16:$JS16)</f>
        <v/>
      </c>
      <c r="AH16" s="17">
        <f>SUMIF($CB$4:$JS$4,AH$4,$CB16:$JS16)</f>
        <v/>
      </c>
      <c r="AI16" s="17">
        <f>SUMIF($CB$4:$JS$4,AI$4,$CB16:$JS16)</f>
        <v/>
      </c>
      <c r="AJ16" s="17">
        <f>SUMIF($CB$4:$JS$4,AJ$4,$CB16:$JS16)</f>
        <v/>
      </c>
      <c r="AK16" s="17">
        <f>SUMIF($CB$4:$JS$4,AK$4,$CB16:$JS16)</f>
        <v/>
      </c>
      <c r="AL16" s="17">
        <f>SUMIF($CB$4:$JS$4,AL$4,$CB16:$JS16)</f>
        <v/>
      </c>
      <c r="AM16" s="17">
        <f>SUMIF($CB$4:$JS$4,AM$4,$CB16:$JS16)</f>
        <v/>
      </c>
      <c r="AN16" s="17">
        <f>SUMIF($CB$4:$JS$4,AN$4,$CB16:$JS16)</f>
        <v/>
      </c>
      <c r="AO16" s="17">
        <f>SUMIF($CB$4:$JS$4,AO$4,$CB16:$JS16)</f>
        <v/>
      </c>
      <c r="AP16" s="17">
        <f>SUMIF($CB$4:$JS$4,AP$4,$CB16:$JS16)</f>
        <v/>
      </c>
      <c r="AQ16" s="17">
        <f>SUMIF($CB$4:$JS$4,AQ$4,$CB16:$JS16)</f>
        <v/>
      </c>
      <c r="AR16" s="17">
        <f>SUMIF($CB$4:$JS$4,AR$4,$CB16:$JS16)</f>
        <v/>
      </c>
      <c r="AS16" s="17">
        <f>SUMIF($CB$4:$JS$4,AS$4,$CB16:$JS16)</f>
        <v/>
      </c>
      <c r="AT16" s="17">
        <f>SUMIF($CB$4:$JS$4,AT$4,$CB16:$JS16)</f>
        <v/>
      </c>
      <c r="AU16" s="17">
        <f>SUMIF($CB$4:$JS$4,AU$4,$CB16:$JS16)</f>
        <v/>
      </c>
      <c r="AV16" s="17">
        <f>SUMIF($CB$4:$JS$4,AV$4,$CB16:$JS16)</f>
        <v/>
      </c>
      <c r="AW16" s="17">
        <f>SUMIF($CB$4:$JS$4,AW$4,$CB16:$JS16)</f>
        <v/>
      </c>
      <c r="AX16" s="17">
        <f>SUMIF($CB$4:$JS$4,AX$4,$CB16:$JS16)</f>
        <v/>
      </c>
      <c r="AY16" s="17">
        <f>SUMIF($CB$4:$JS$4,AY$4,$CB16:$JS16)</f>
        <v/>
      </c>
      <c r="AZ16" s="17">
        <f>SUMIF($CB$4:$JS$4,AZ$4,$CB16:$JS16)</f>
        <v/>
      </c>
      <c r="BA16" s="17">
        <f>SUMIF($CB$4:$JS$4,BA$4,$CB16:$JS16)</f>
        <v/>
      </c>
      <c r="BB16" s="17">
        <f>SUMIF($CB$4:$JS$4,BB$4,$CB16:$JS16)</f>
        <v/>
      </c>
      <c r="BC16" s="17">
        <f>SUMIF($CB$4:$JS$4,BC$4,$CB16:$JS16)</f>
        <v/>
      </c>
      <c r="BD16" s="17">
        <f>SUMIF($CB$4:$JS$4,BD$4,$CB16:$JS16)</f>
        <v/>
      </c>
      <c r="BE16" s="17">
        <f>SUMIF($CB$4:$JS$4,BE$4,$CB16:$JS16)</f>
        <v/>
      </c>
      <c r="BF16" s="17">
        <f>SUMIF($CB$4:$JS$4,BF$4,$CB16:$JS16)</f>
        <v/>
      </c>
      <c r="BG16" s="17">
        <f>SUMIF($CB$4:$JS$4,BG$4,$CB16:$JS16)</f>
        <v/>
      </c>
      <c r="BH16" s="17">
        <f>SUMIF($CB$4:$JS$4,BH$4,$CB16:$JS16)</f>
        <v/>
      </c>
      <c r="BI16" s="17">
        <f>SUMIF($CB$4:$JS$4,BI$4,$CB16:$JS16)</f>
        <v/>
      </c>
      <c r="BJ16" s="17">
        <f>SUMIF($CB$4:$JS$4,BJ$4,$CB16:$JS16)</f>
        <v/>
      </c>
      <c r="BK16" s="17">
        <f>SUMIF($CB$4:$JS$4,BK$4,$CB16:$JS16)</f>
        <v/>
      </c>
      <c r="BL16" s="17">
        <f>SUMIF($CB$4:$JS$4,BL$4,$CB16:$JS16)</f>
        <v/>
      </c>
      <c r="BM16" s="17">
        <f>SUMIF($CB$4:$JS$4,BM$4,$CB16:$JS16)</f>
        <v/>
      </c>
      <c r="BN16" s="17">
        <f>SUMIF($CB$4:$JS$4,BN$4,$CB16:$JS16)</f>
        <v/>
      </c>
      <c r="BO16" s="17">
        <f>SUMIF($CB$4:$JS$4,BO$4,$CB16:$JS16)</f>
        <v/>
      </c>
      <c r="BP16" s="17">
        <f>SUMIF($CB$4:$JS$4,BP$4,$CB16:$JS16)</f>
        <v/>
      </c>
      <c r="BQ16" s="17">
        <f>SUMIF($CB$4:$JS$4,BQ$4,$CB16:$JS16)</f>
        <v/>
      </c>
      <c r="BR16" s="17">
        <f>SUMIF($CB$4:$JS$4,BR$4,$CB16:$JS16)</f>
        <v/>
      </c>
      <c r="BS16" s="17">
        <f>SUMIF($CB$4:$JS$4,BS$4,$CB16:$JS16)</f>
        <v/>
      </c>
      <c r="BT16" s="17">
        <f>SUMIF($CB$4:$JS$4,BT$4,$CB16:$JS16)</f>
        <v/>
      </c>
      <c r="BU16" s="17">
        <f>SUMIF($CB$4:$JS$4,BU$4,$CB16:$JS16)</f>
        <v/>
      </c>
      <c r="BV16" s="17">
        <f>SUMIF($CB$4:$JS$4,BV$4,$CB16:$JS16)</f>
        <v/>
      </c>
      <c r="BW16" s="17">
        <f>SUMIF($CB$4:$JS$4,BW$4,$CB16:$JS16)</f>
        <v/>
      </c>
      <c r="BX16" s="17">
        <f>SUMIF($CB$4:$JS$4,"&gt;"&amp;'VALOR POR PL'!$P$8,$CB16:$JS16)</f>
        <v/>
      </c>
      <c r="BY16" s="17">
        <f>SUM($CB16:$JS16)</f>
        <v/>
      </c>
      <c r="CB16" s="56">
        <f>IF(OR(CB$4="",$B16=""),0,SUMIF('DADOS BRUTOS'!$A$3:$A$500,$B16,'DADOS BRUTOS'!B$3:B$500)+IF($C16="",0,SUMIF('DADOS BRUTOS'!$A$3:$A$500,$C16,'DADOS BRUTOS'!B$3:B$500)))</f>
        <v/>
      </c>
      <c r="CC16" s="56">
        <f>IF(OR(CC$4="",$B16=""),0,SUMIF('DADOS BRUTOS'!$A$3:$A$500,$B16,'DADOS BRUTOS'!C$3:C$500)+IF($C16="",0,SUMIF('DADOS BRUTOS'!$A$3:$A$500,$C16,'DADOS BRUTOS'!C$3:C$500)))</f>
        <v/>
      </c>
      <c r="CD16" s="56">
        <f>IF(OR(CD$4="",$B16=""),0,SUMIF('DADOS BRUTOS'!$A$3:$A$500,$B16,'DADOS BRUTOS'!D$3:D$500)+IF($C16="",0,SUMIF('DADOS BRUTOS'!$A$3:$A$500,$C16,'DADOS BRUTOS'!D$3:D$500)))</f>
        <v/>
      </c>
      <c r="CE16" s="56">
        <f>IF(OR(CE$4="",$B16=""),0,SUMIF('DADOS BRUTOS'!$A$3:$A$500,$B16,'DADOS BRUTOS'!E$3:E$500)+IF($C16="",0,SUMIF('DADOS BRUTOS'!$A$3:$A$500,$C16,'DADOS BRUTOS'!E$3:E$500)))</f>
        <v/>
      </c>
      <c r="CF16" s="56">
        <f>IF(OR(CF$4="",$B16=""),0,SUMIF('DADOS BRUTOS'!$A$3:$A$500,$B16,'DADOS BRUTOS'!F$3:F$500)+IF($C16="",0,SUMIF('DADOS BRUTOS'!$A$3:$A$500,$C16,'DADOS BRUTOS'!F$3:F$500)))</f>
        <v/>
      </c>
      <c r="CG16" s="56">
        <f>IF(OR(CG$4="",$B16=""),0,SUMIF('DADOS BRUTOS'!$A$3:$A$500,$B16,'DADOS BRUTOS'!G$3:G$500)+IF($C16="",0,SUMIF('DADOS BRUTOS'!$A$3:$A$500,$C16,'DADOS BRUTOS'!G$3:G$500)))</f>
        <v/>
      </c>
      <c r="CH16" s="56">
        <f>IF(OR(CH$4="",$B16=""),0,SUMIF('DADOS BRUTOS'!$A$3:$A$500,$B16,'DADOS BRUTOS'!H$3:H$500)+IF($C16="",0,SUMIF('DADOS BRUTOS'!$A$3:$A$500,$C16,'DADOS BRUTOS'!H$3:H$500)))</f>
        <v/>
      </c>
      <c r="CI16" s="56">
        <f>IF(OR(CI$4="",$B16=""),0,SUMIF('DADOS BRUTOS'!$A$3:$A$500,$B16,'DADOS BRUTOS'!I$3:I$500)+IF($C16="",0,SUMIF('DADOS BRUTOS'!$A$3:$A$500,$C16,'DADOS BRUTOS'!I$3:I$500)))</f>
        <v/>
      </c>
      <c r="CJ16" s="56">
        <f>IF(OR(CJ$4="",$B16=""),0,SUMIF('DADOS BRUTOS'!$A$3:$A$500,$B16,'DADOS BRUTOS'!J$3:J$500)+IF($C16="",0,SUMIF('DADOS BRUTOS'!$A$3:$A$500,$C16,'DADOS BRUTOS'!J$3:J$500)))</f>
        <v/>
      </c>
      <c r="CK16" s="56">
        <f>IF(OR(CK$4="",$B16=""),0,SUMIF('DADOS BRUTOS'!$A$3:$A$500,$B16,'DADOS BRUTOS'!K$3:K$500)+IF($C16="",0,SUMIF('DADOS BRUTOS'!$A$3:$A$500,$C16,'DADOS BRUTOS'!K$3:K$500)))</f>
        <v/>
      </c>
      <c r="CL16" s="56">
        <f>IF(OR(CL$4="",$B16=""),0,SUMIF('DADOS BRUTOS'!$A$3:$A$500,$B16,'DADOS BRUTOS'!L$3:L$500)+IF($C16="",0,SUMIF('DADOS BRUTOS'!$A$3:$A$500,$C16,'DADOS BRUTOS'!L$3:L$500)))</f>
        <v/>
      </c>
      <c r="CM16" s="56">
        <f>IF(OR(CM$4="",$B16=""),0,SUMIF('DADOS BRUTOS'!$A$3:$A$500,$B16,'DADOS BRUTOS'!M$3:M$500)+IF($C16="",0,SUMIF('DADOS BRUTOS'!$A$3:$A$500,$C16,'DADOS BRUTOS'!M$3:M$500)))</f>
        <v/>
      </c>
      <c r="CN16" s="56">
        <f>IF(OR(CN$4="",$B16=""),0,SUMIF('DADOS BRUTOS'!$A$3:$A$500,$B16,'DADOS BRUTOS'!N$3:N$500)+IF($C16="",0,SUMIF('DADOS BRUTOS'!$A$3:$A$500,$C16,'DADOS BRUTOS'!N$3:N$500)))</f>
        <v/>
      </c>
      <c r="CO16" s="56">
        <f>IF(OR(CO$4="",$B16=""),0,SUMIF('DADOS BRUTOS'!$A$3:$A$500,$B16,'DADOS BRUTOS'!O$3:O$500)+IF($C16="",0,SUMIF('DADOS BRUTOS'!$A$3:$A$500,$C16,'DADOS BRUTOS'!O$3:O$500)))</f>
        <v/>
      </c>
      <c r="CP16" s="56">
        <f>IF(OR(CP$4="",$B16=""),0,SUMIF('DADOS BRUTOS'!$A$3:$A$500,$B16,'DADOS BRUTOS'!P$3:P$500)+IF($C16="",0,SUMIF('DADOS BRUTOS'!$A$3:$A$500,$C16,'DADOS BRUTOS'!P$3:P$500)))</f>
        <v/>
      </c>
      <c r="CQ16" s="56">
        <f>IF(OR(CQ$4="",$B16=""),0,SUMIF('DADOS BRUTOS'!$A$3:$A$500,$B16,'DADOS BRUTOS'!Q$3:Q$500)+IF($C16="",0,SUMIF('DADOS BRUTOS'!$A$3:$A$500,$C16,'DADOS BRUTOS'!Q$3:Q$500)))</f>
        <v/>
      </c>
      <c r="CR16" s="56">
        <f>IF(OR(CR$4="",$B16=""),0,SUMIF('DADOS BRUTOS'!$A$3:$A$500,$B16,'DADOS BRUTOS'!R$3:R$500)+IF($C16="",0,SUMIF('DADOS BRUTOS'!$A$3:$A$500,$C16,'DADOS BRUTOS'!R$3:R$500)))</f>
        <v/>
      </c>
      <c r="CS16" s="56">
        <f>IF(OR(CS$4="",$B16=""),0,SUMIF('DADOS BRUTOS'!$A$3:$A$500,$B16,'DADOS BRUTOS'!S$3:S$500)+IF($C16="",0,SUMIF('DADOS BRUTOS'!$A$3:$A$500,$C16,'DADOS BRUTOS'!S$3:S$500)))</f>
        <v/>
      </c>
      <c r="CT16" s="56">
        <f>IF(OR(CT$4="",$B16=""),0,SUMIF('DADOS BRUTOS'!$A$3:$A$500,$B16,'DADOS BRUTOS'!T$3:T$500)+IF($C16="",0,SUMIF('DADOS BRUTOS'!$A$3:$A$500,$C16,'DADOS BRUTOS'!T$3:T$500)))</f>
        <v/>
      </c>
      <c r="CU16" s="56">
        <f>IF(OR(CU$4="",$B16=""),0,SUMIF('DADOS BRUTOS'!$A$3:$A$500,$B16,'DADOS BRUTOS'!U$3:U$500)+IF($C16="",0,SUMIF('DADOS BRUTOS'!$A$3:$A$500,$C16,'DADOS BRUTOS'!U$3:U$500)))</f>
        <v/>
      </c>
      <c r="CV16" s="56">
        <f>IF(OR(CV$4="",$B16=""),0,SUMIF('DADOS BRUTOS'!$A$3:$A$500,$B16,'DADOS BRUTOS'!V$3:V$500)+IF($C16="",0,SUMIF('DADOS BRUTOS'!$A$3:$A$500,$C16,'DADOS BRUTOS'!V$3:V$500)))</f>
        <v/>
      </c>
      <c r="CW16" s="56">
        <f>IF(OR(CW$4="",$B16=""),0,SUMIF('DADOS BRUTOS'!$A$3:$A$500,$B16,'DADOS BRUTOS'!W$3:W$500)+IF($C16="",0,SUMIF('DADOS BRUTOS'!$A$3:$A$500,$C16,'DADOS BRUTOS'!W$3:W$500)))</f>
        <v/>
      </c>
      <c r="CX16" s="56">
        <f>IF(OR(CX$4="",$B16=""),0,SUMIF('DADOS BRUTOS'!$A$3:$A$500,$B16,'DADOS BRUTOS'!X$3:X$500)+IF($C16="",0,SUMIF('DADOS BRUTOS'!$A$3:$A$500,$C16,'DADOS BRUTOS'!X$3:X$500)))</f>
        <v/>
      </c>
      <c r="CY16" s="56">
        <f>IF(OR(CY$4="",$B16=""),0,SUMIF('DADOS BRUTOS'!$A$3:$A$500,$B16,'DADOS BRUTOS'!Y$3:Y$500)+IF($C16="",0,SUMIF('DADOS BRUTOS'!$A$3:$A$500,$C16,'DADOS BRUTOS'!Y$3:Y$500)))</f>
        <v/>
      </c>
      <c r="CZ16" s="56">
        <f>IF(OR(CZ$4="",$B16=""),0,SUMIF('DADOS BRUTOS'!$A$3:$A$500,$B16,'DADOS BRUTOS'!Z$3:Z$500)+IF($C16="",0,SUMIF('DADOS BRUTOS'!$A$3:$A$500,$C16,'DADOS BRUTOS'!Z$3:Z$500)))</f>
        <v/>
      </c>
      <c r="DA16" s="56">
        <f>IF(OR(DA$4="",$B16=""),0,SUMIF('DADOS BRUTOS'!$A$3:$A$500,$B16,'DADOS BRUTOS'!AA$3:AA$500)+IF($C16="",0,SUMIF('DADOS BRUTOS'!$A$3:$A$500,$C16,'DADOS BRUTOS'!AA$3:AA$500)))</f>
        <v/>
      </c>
      <c r="DB16" s="56">
        <f>IF(OR(DB$4="",$B16=""),0,SUMIF('DADOS BRUTOS'!$A$3:$A$500,$B16,'DADOS BRUTOS'!AB$3:AB$500)+IF($C16="",0,SUMIF('DADOS BRUTOS'!$A$3:$A$500,$C16,'DADOS BRUTOS'!AB$3:AB$500)))</f>
        <v/>
      </c>
      <c r="DC16" s="56">
        <f>IF(OR(DC$4="",$B16=""),0,SUMIF('DADOS BRUTOS'!$A$3:$A$500,$B16,'DADOS BRUTOS'!AC$3:AC$500)+IF($C16="",0,SUMIF('DADOS BRUTOS'!$A$3:$A$500,$C16,'DADOS BRUTOS'!AC$3:AC$500)))</f>
        <v/>
      </c>
      <c r="DD16" s="56">
        <f>IF(OR(DD$4="",$B16=""),0,SUMIF('DADOS BRUTOS'!$A$3:$A$500,$B16,'DADOS BRUTOS'!AD$3:AD$500)+IF($C16="",0,SUMIF('DADOS BRUTOS'!$A$3:$A$500,$C16,'DADOS BRUTOS'!AD$3:AD$500)))</f>
        <v/>
      </c>
      <c r="DE16" s="56">
        <f>IF(OR(DE$4="",$B16=""),0,SUMIF('DADOS BRUTOS'!$A$3:$A$500,$B16,'DADOS BRUTOS'!AE$3:AE$500)+IF($C16="",0,SUMIF('DADOS BRUTOS'!$A$3:$A$500,$C16,'DADOS BRUTOS'!AE$3:AE$500)))</f>
        <v/>
      </c>
      <c r="DF16" s="56">
        <f>IF(OR(DF$4="",$B16=""),0,SUMIF('DADOS BRUTOS'!$A$3:$A$500,$B16,'DADOS BRUTOS'!AF$3:AF$500)+IF($C16="",0,SUMIF('DADOS BRUTOS'!$A$3:$A$500,$C16,'DADOS BRUTOS'!AF$3:AF$500)))</f>
        <v/>
      </c>
      <c r="DG16" s="56">
        <f>IF(OR(DG$4="",$B16=""),0,SUMIF('DADOS BRUTOS'!$A$3:$A$500,$B16,'DADOS BRUTOS'!AG$3:AG$500)+IF($C16="",0,SUMIF('DADOS BRUTOS'!$A$3:$A$500,$C16,'DADOS BRUTOS'!AG$3:AG$500)))</f>
        <v/>
      </c>
      <c r="DH16" s="56">
        <f>IF(OR(DH$4="",$B16=""),0,SUMIF('DADOS BRUTOS'!$A$3:$A$500,$B16,'DADOS BRUTOS'!AH$3:AH$500)+IF($C16="",0,SUMIF('DADOS BRUTOS'!$A$3:$A$500,$C16,'DADOS BRUTOS'!AH$3:AH$500)))</f>
        <v/>
      </c>
      <c r="DI16" s="56">
        <f>IF(OR(DI$4="",$B16=""),0,SUMIF('DADOS BRUTOS'!$A$3:$A$500,$B16,'DADOS BRUTOS'!AI$3:AI$500)+IF($C16="",0,SUMIF('DADOS BRUTOS'!$A$3:$A$500,$C16,'DADOS BRUTOS'!AI$3:AI$500)))</f>
        <v/>
      </c>
      <c r="DJ16" s="56">
        <f>IF(OR(DJ$4="",$B16=""),0,SUMIF('DADOS BRUTOS'!$A$3:$A$500,$B16,'DADOS BRUTOS'!AJ$3:AJ$500)+IF($C16="",0,SUMIF('DADOS BRUTOS'!$A$3:$A$500,$C16,'DADOS BRUTOS'!AJ$3:AJ$500)))</f>
        <v/>
      </c>
      <c r="DK16" s="56">
        <f>IF(OR(DK$4="",$B16=""),0,SUMIF('DADOS BRUTOS'!$A$3:$A$500,$B16,'DADOS BRUTOS'!AK$3:AK$500)+IF($C16="",0,SUMIF('DADOS BRUTOS'!$A$3:$A$500,$C16,'DADOS BRUTOS'!AK$3:AK$500)))</f>
        <v/>
      </c>
      <c r="DL16" s="56">
        <f>IF(OR(DL$4="",$B16=""),0,SUMIF('DADOS BRUTOS'!$A$3:$A$500,$B16,'DADOS BRUTOS'!AL$3:AL$500)+IF($C16="",0,SUMIF('DADOS BRUTOS'!$A$3:$A$500,$C16,'DADOS BRUTOS'!AL$3:AL$500)))</f>
        <v/>
      </c>
      <c r="DM16" s="56">
        <f>IF(OR(DM$4="",$B16=""),0,SUMIF('DADOS BRUTOS'!$A$3:$A$500,$B16,'DADOS BRUTOS'!AM$3:AM$500)+IF($C16="",0,SUMIF('DADOS BRUTOS'!$A$3:$A$500,$C16,'DADOS BRUTOS'!AM$3:AM$500)))</f>
        <v/>
      </c>
      <c r="DN16" s="56">
        <f>IF(OR(DN$4="",$B16=""),0,SUMIF('DADOS BRUTOS'!$A$3:$A$500,$B16,'DADOS BRUTOS'!AN$3:AN$500)+IF($C16="",0,SUMIF('DADOS BRUTOS'!$A$3:$A$500,$C16,'DADOS BRUTOS'!AN$3:AN$500)))</f>
        <v/>
      </c>
      <c r="DO16" s="56">
        <f>IF(OR(DO$4="",$B16=""),0,SUMIF('DADOS BRUTOS'!$A$3:$A$500,$B16,'DADOS BRUTOS'!AO$3:AO$500)+IF($C16="",0,SUMIF('DADOS BRUTOS'!$A$3:$A$500,$C16,'DADOS BRUTOS'!AO$3:AO$500)))</f>
        <v/>
      </c>
      <c r="DP16" s="56">
        <f>IF(OR(DP$4="",$B16=""),0,SUMIF('DADOS BRUTOS'!$A$3:$A$500,$B16,'DADOS BRUTOS'!AP$3:AP$500)+IF($C16="",0,SUMIF('DADOS BRUTOS'!$A$3:$A$500,$C16,'DADOS BRUTOS'!AP$3:AP$500)))</f>
        <v/>
      </c>
      <c r="DQ16" s="56">
        <f>IF(OR(DQ$4="",$B16=""),0,SUMIF('DADOS BRUTOS'!$A$3:$A$500,$B16,'DADOS BRUTOS'!AQ$3:AQ$500)+IF($C16="",0,SUMIF('DADOS BRUTOS'!$A$3:$A$500,$C16,'DADOS BRUTOS'!AQ$3:AQ$500)))</f>
        <v/>
      </c>
      <c r="DR16" s="56">
        <f>IF(OR(DR$4="",$B16=""),0,SUMIF('DADOS BRUTOS'!$A$3:$A$500,$B16,'DADOS BRUTOS'!AR$3:AR$500)+IF($C16="",0,SUMIF('DADOS BRUTOS'!$A$3:$A$500,$C16,'DADOS BRUTOS'!AR$3:AR$500)))</f>
        <v/>
      </c>
      <c r="DS16" s="56">
        <f>IF(OR(DS$4="",$B16=""),0,SUMIF('DADOS BRUTOS'!$A$3:$A$500,$B16,'DADOS BRUTOS'!AS$3:AS$500)+IF($C16="",0,SUMIF('DADOS BRUTOS'!$A$3:$A$500,$C16,'DADOS BRUTOS'!AS$3:AS$500)))</f>
        <v/>
      </c>
      <c r="DT16" s="56">
        <f>IF(OR(DT$4="",$B16=""),0,SUMIF('DADOS BRUTOS'!$A$3:$A$500,$B16,'DADOS BRUTOS'!AT$3:AT$500)+IF($C16="",0,SUMIF('DADOS BRUTOS'!$A$3:$A$500,$C16,'DADOS BRUTOS'!AT$3:AT$500)))</f>
        <v/>
      </c>
      <c r="DU16" s="56">
        <f>IF(OR(DU$4="",$B16=""),0,SUMIF('DADOS BRUTOS'!$A$3:$A$500,$B16,'DADOS BRUTOS'!AU$3:AU$500)+IF($C16="",0,SUMIF('DADOS BRUTOS'!$A$3:$A$500,$C16,'DADOS BRUTOS'!AU$3:AU$500)))</f>
        <v/>
      </c>
      <c r="DV16" s="56">
        <f>IF(OR(DV$4="",$B16=""),0,SUMIF('DADOS BRUTOS'!$A$3:$A$500,$B16,'DADOS BRUTOS'!AV$3:AV$500)+IF($C16="",0,SUMIF('DADOS BRUTOS'!$A$3:$A$500,$C16,'DADOS BRUTOS'!AV$3:AV$500)))</f>
        <v/>
      </c>
      <c r="DW16" s="56">
        <f>IF(OR(DW$4="",$B16=""),0,SUMIF('DADOS BRUTOS'!$A$3:$A$500,$B16,'DADOS BRUTOS'!AW$3:AW$500)+IF($C16="",0,SUMIF('DADOS BRUTOS'!$A$3:$A$500,$C16,'DADOS BRUTOS'!AW$3:AW$500)))</f>
        <v/>
      </c>
      <c r="DX16" s="56">
        <f>IF(OR(DX$4="",$B16=""),0,SUMIF('DADOS BRUTOS'!$A$3:$A$500,$B16,'DADOS BRUTOS'!AX$3:AX$500)+IF($C16="",0,SUMIF('DADOS BRUTOS'!$A$3:$A$500,$C16,'DADOS BRUTOS'!AX$3:AX$500)))</f>
        <v/>
      </c>
      <c r="DY16" s="56">
        <f>IF(OR(DY$4="",$B16=""),0,SUMIF('DADOS BRUTOS'!$A$3:$A$500,$B16,'DADOS BRUTOS'!AY$3:AY$500)+IF($C16="",0,SUMIF('DADOS BRUTOS'!$A$3:$A$500,$C16,'DADOS BRUTOS'!AY$3:AY$500)))</f>
        <v/>
      </c>
      <c r="DZ16" s="56">
        <f>IF(OR(DZ$4="",$B16=""),0,SUMIF('DADOS BRUTOS'!$A$3:$A$500,$B16,'DADOS BRUTOS'!AZ$3:AZ$500)+IF($C16="",0,SUMIF('DADOS BRUTOS'!$A$3:$A$500,$C16,'DADOS BRUTOS'!AZ$3:AZ$500)))</f>
        <v/>
      </c>
      <c r="EA16" s="56">
        <f>IF(OR(EA$4="",$B16=""),0,SUMIF('DADOS BRUTOS'!$A$3:$A$500,$B16,'DADOS BRUTOS'!BA$3:BA$500)+IF($C16="",0,SUMIF('DADOS BRUTOS'!$A$3:$A$500,$C16,'DADOS BRUTOS'!BA$3:BA$500)))</f>
        <v/>
      </c>
      <c r="EB16" s="56">
        <f>IF(OR(EB$4="",$B16=""),0,SUMIF('DADOS BRUTOS'!$A$3:$A$500,$B16,'DADOS BRUTOS'!BB$3:BB$500)+IF($C16="",0,SUMIF('DADOS BRUTOS'!$A$3:$A$500,$C16,'DADOS BRUTOS'!BB$3:BB$500)))</f>
        <v/>
      </c>
      <c r="EC16" s="56">
        <f>IF(OR(EC$4="",$B16=""),0,SUMIF('DADOS BRUTOS'!$A$3:$A$500,$B16,'DADOS BRUTOS'!BC$3:BC$500)+IF($C16="",0,SUMIF('DADOS BRUTOS'!$A$3:$A$500,$C16,'DADOS BRUTOS'!BC$3:BC$500)))</f>
        <v/>
      </c>
      <c r="ED16" s="56">
        <f>IF(OR(ED$4="",$B16=""),0,SUMIF('DADOS BRUTOS'!$A$3:$A$500,$B16,'DADOS BRUTOS'!BD$3:BD$500)+IF($C16="",0,SUMIF('DADOS BRUTOS'!$A$3:$A$500,$C16,'DADOS BRUTOS'!BD$3:BD$500)))</f>
        <v/>
      </c>
      <c r="EE16" s="56">
        <f>IF(OR(EE$4="",$B16=""),0,SUMIF('DADOS BRUTOS'!$A$3:$A$500,$B16,'DADOS BRUTOS'!BE$3:BE$500)+IF($C16="",0,SUMIF('DADOS BRUTOS'!$A$3:$A$500,$C16,'DADOS BRUTOS'!BE$3:BE$500)))</f>
        <v/>
      </c>
      <c r="EF16" s="56">
        <f>IF(OR(EF$4="",$B16=""),0,SUMIF('DADOS BRUTOS'!$A$3:$A$500,$B16,'DADOS BRUTOS'!BF$3:BF$500)+IF($C16="",0,SUMIF('DADOS BRUTOS'!$A$3:$A$500,$C16,'DADOS BRUTOS'!BF$3:BF$500)))</f>
        <v/>
      </c>
      <c r="EG16" s="56">
        <f>IF(OR(EG$4="",$B16=""),0,SUMIF('DADOS BRUTOS'!$A$3:$A$500,$B16,'DADOS BRUTOS'!BG$3:BG$500)+IF($C16="",0,SUMIF('DADOS BRUTOS'!$A$3:$A$500,$C16,'DADOS BRUTOS'!BG$3:BG$500)))</f>
        <v/>
      </c>
      <c r="EH16" s="56">
        <f>IF(OR(EH$4="",$B16=""),0,SUMIF('DADOS BRUTOS'!$A$3:$A$500,$B16,'DADOS BRUTOS'!BH$3:BH$500)+IF($C16="",0,SUMIF('DADOS BRUTOS'!$A$3:$A$500,$C16,'DADOS BRUTOS'!BH$3:BH$500)))</f>
        <v/>
      </c>
      <c r="EI16" s="56">
        <f>IF(OR(EI$4="",$B16=""),0,SUMIF('DADOS BRUTOS'!$A$3:$A$500,$B16,'DADOS BRUTOS'!BI$3:BI$500)+IF($C16="",0,SUMIF('DADOS BRUTOS'!$A$3:$A$500,$C16,'DADOS BRUTOS'!BI$3:BI$500)))</f>
        <v/>
      </c>
      <c r="EJ16" s="56">
        <f>IF(OR(EJ$4="",$B16=""),0,SUMIF('DADOS BRUTOS'!$A$3:$A$500,$B16,'DADOS BRUTOS'!BJ$3:BJ$500)+IF($C16="",0,SUMIF('DADOS BRUTOS'!$A$3:$A$500,$C16,'DADOS BRUTOS'!BJ$3:BJ$500)))</f>
        <v/>
      </c>
      <c r="EK16" s="56">
        <f>IF(OR(EK$4="",$B16=""),0,SUMIF('DADOS BRUTOS'!$A$3:$A$500,$B16,'DADOS BRUTOS'!BK$3:BK$500)+IF($C16="",0,SUMIF('DADOS BRUTOS'!$A$3:$A$500,$C16,'DADOS BRUTOS'!BK$3:BK$500)))</f>
        <v/>
      </c>
      <c r="EL16" s="56">
        <f>IF(OR(EL$4="",$B16=""),0,SUMIF('DADOS BRUTOS'!$A$3:$A$500,$B16,'DADOS BRUTOS'!BL$3:BL$500)+IF($C16="",0,SUMIF('DADOS BRUTOS'!$A$3:$A$500,$C16,'DADOS BRUTOS'!BL$3:BL$500)))</f>
        <v/>
      </c>
      <c r="EM16" s="56">
        <f>IF(OR(EM$4="",$B16=""),0,SUMIF('DADOS BRUTOS'!$A$3:$A$500,$B16,'DADOS BRUTOS'!BM$3:BM$500)+IF($C16="",0,SUMIF('DADOS BRUTOS'!$A$3:$A$500,$C16,'DADOS BRUTOS'!BM$3:BM$500)))</f>
        <v/>
      </c>
      <c r="EN16" s="56">
        <f>IF(OR(EN$4="",$B16=""),0,SUMIF('DADOS BRUTOS'!$A$3:$A$500,$B16,'DADOS BRUTOS'!BN$3:BN$500)+IF($C16="",0,SUMIF('DADOS BRUTOS'!$A$3:$A$500,$C16,'DADOS BRUTOS'!BN$3:BN$500)))</f>
        <v/>
      </c>
      <c r="EO16" s="56">
        <f>IF(OR(EO$4="",$B16=""),0,SUMIF('DADOS BRUTOS'!$A$3:$A$500,$B16,'DADOS BRUTOS'!BO$3:BO$500)+IF($C16="",0,SUMIF('DADOS BRUTOS'!$A$3:$A$500,$C16,'DADOS BRUTOS'!BO$3:BO$500)))</f>
        <v/>
      </c>
      <c r="EP16" s="56">
        <f>IF(OR(EP$4="",$B16=""),0,SUMIF('DADOS BRUTOS'!$A$3:$A$500,$B16,'DADOS BRUTOS'!BP$3:BP$500)+IF($C16="",0,SUMIF('DADOS BRUTOS'!$A$3:$A$500,$C16,'DADOS BRUTOS'!BP$3:BP$500)))</f>
        <v/>
      </c>
      <c r="EQ16" s="56">
        <f>IF(OR(EQ$4="",$B16=""),0,SUMIF('DADOS BRUTOS'!$A$3:$A$500,$B16,'DADOS BRUTOS'!BQ$3:BQ$500)+IF($C16="",0,SUMIF('DADOS BRUTOS'!$A$3:$A$500,$C16,'DADOS BRUTOS'!BQ$3:BQ$500)))</f>
        <v/>
      </c>
      <c r="ER16" s="56">
        <f>IF(OR(ER$4="",$B16=""),0,SUMIF('DADOS BRUTOS'!$A$3:$A$500,$B16,'DADOS BRUTOS'!BR$3:BR$500)+IF($C16="",0,SUMIF('DADOS BRUTOS'!$A$3:$A$500,$C16,'DADOS BRUTOS'!BR$3:BR$500)))</f>
        <v/>
      </c>
      <c r="ES16" s="56">
        <f>IF(OR(ES$4="",$B16=""),0,SUMIF('DADOS BRUTOS'!$A$3:$A$500,$B16,'DADOS BRUTOS'!BS$3:BS$500)+IF($C16="",0,SUMIF('DADOS BRUTOS'!$A$3:$A$500,$C16,'DADOS BRUTOS'!BS$3:BS$500)))</f>
        <v/>
      </c>
      <c r="ET16" s="56">
        <f>IF(OR(ET$4="",$B16=""),0,SUMIF('DADOS BRUTOS'!$A$3:$A$500,$B16,'DADOS BRUTOS'!BT$3:BT$500)+IF($C16="",0,SUMIF('DADOS BRUTOS'!$A$3:$A$500,$C16,'DADOS BRUTOS'!BT$3:BT$500)))</f>
        <v/>
      </c>
      <c r="EU16" s="56">
        <f>IF(OR(EU$4="",$B16=""),0,SUMIF('DADOS BRUTOS'!$A$3:$A$500,$B16,'DADOS BRUTOS'!BU$3:BU$500)+IF($C16="",0,SUMIF('DADOS BRUTOS'!$A$3:$A$500,$C16,'DADOS BRUTOS'!BU$3:BU$500)))</f>
        <v/>
      </c>
      <c r="EV16" s="56">
        <f>IF(OR(EV$4="",$B16=""),0,SUMIF('DADOS BRUTOS'!$A$3:$A$500,$B16,'DADOS BRUTOS'!BV$3:BV$500)+IF($C16="",0,SUMIF('DADOS BRUTOS'!$A$3:$A$500,$C16,'DADOS BRUTOS'!BV$3:BV$500)))</f>
        <v/>
      </c>
      <c r="EW16" s="56">
        <f>IF(OR(EW$4="",$B16=""),0,SUMIF('DADOS BRUTOS'!$A$3:$A$500,$B16,'DADOS BRUTOS'!BW$3:BW$500)+IF($C16="",0,SUMIF('DADOS BRUTOS'!$A$3:$A$500,$C16,'DADOS BRUTOS'!BW$3:BW$500)))</f>
        <v/>
      </c>
      <c r="EX16" s="56">
        <f>IF(OR(EX$4="",$B16=""),0,SUMIF('DADOS BRUTOS'!$A$3:$A$500,$B16,'DADOS BRUTOS'!BX$3:BX$500)+IF($C16="",0,SUMIF('DADOS BRUTOS'!$A$3:$A$500,$C16,'DADOS BRUTOS'!BX$3:BX$500)))</f>
        <v/>
      </c>
      <c r="EY16" s="56">
        <f>IF(OR(EY$4="",$B16=""),0,SUMIF('DADOS BRUTOS'!$A$3:$A$500,$B16,'DADOS BRUTOS'!BY$3:BY$500)+IF($C16="",0,SUMIF('DADOS BRUTOS'!$A$3:$A$500,$C16,'DADOS BRUTOS'!BY$3:BY$500)))</f>
        <v/>
      </c>
      <c r="EZ16" s="56">
        <f>IF(OR(EZ$4="",$B16=""),0,SUMIF('DADOS BRUTOS'!$A$3:$A$500,$B16,'DADOS BRUTOS'!BZ$3:BZ$500)+IF($C16="",0,SUMIF('DADOS BRUTOS'!$A$3:$A$500,$C16,'DADOS BRUTOS'!BZ$3:BZ$500)))</f>
        <v/>
      </c>
      <c r="FA16" s="56">
        <f>IF(OR(FA$4="",$B16=""),0,SUMIF('DADOS BRUTOS'!$A$3:$A$500,$B16,'DADOS BRUTOS'!CA$3:CA$500)+IF($C16="",0,SUMIF('DADOS BRUTOS'!$A$3:$A$500,$C16,'DADOS BRUTOS'!CA$3:CA$500)))</f>
        <v/>
      </c>
      <c r="FB16" s="56">
        <f>IF(OR(FB$4="",$B16=""),0,SUMIF('DADOS BRUTOS'!$A$3:$A$500,$B16,'DADOS BRUTOS'!CB$3:CB$500)+IF($C16="",0,SUMIF('DADOS BRUTOS'!$A$3:$A$500,$C16,'DADOS BRUTOS'!CB$3:CB$500)))</f>
        <v/>
      </c>
      <c r="FC16" s="56">
        <f>IF(OR(FC$4="",$B16=""),0,SUMIF('DADOS BRUTOS'!$A$3:$A$500,$B16,'DADOS BRUTOS'!CC$3:CC$500)+IF($C16="",0,SUMIF('DADOS BRUTOS'!$A$3:$A$500,$C16,'DADOS BRUTOS'!CC$3:CC$500)))</f>
        <v/>
      </c>
      <c r="FD16" s="56">
        <f>IF(OR(FD$4="",$B16=""),0,SUMIF('DADOS BRUTOS'!$A$3:$A$500,$B16,'DADOS BRUTOS'!CD$3:CD$500)+IF($C16="",0,SUMIF('DADOS BRUTOS'!$A$3:$A$500,$C16,'DADOS BRUTOS'!CD$3:CD$500)))</f>
        <v/>
      </c>
      <c r="FE16" s="56">
        <f>IF(OR(FE$4="",$B16=""),0,SUMIF('DADOS BRUTOS'!$A$3:$A$500,$B16,'DADOS BRUTOS'!CE$3:CE$500)+IF($C16="",0,SUMIF('DADOS BRUTOS'!$A$3:$A$500,$C16,'DADOS BRUTOS'!CE$3:CE$500)))</f>
        <v/>
      </c>
      <c r="FF16" s="56">
        <f>IF(OR(FF$4="",$B16=""),0,SUMIF('DADOS BRUTOS'!$A$3:$A$500,$B16,'DADOS BRUTOS'!CF$3:CF$500)+IF($C16="",0,SUMIF('DADOS BRUTOS'!$A$3:$A$500,$C16,'DADOS BRUTOS'!CF$3:CF$500)))</f>
        <v/>
      </c>
      <c r="FG16" s="56">
        <f>IF(OR(FG$4="",$B16=""),0,SUMIF('DADOS BRUTOS'!$A$3:$A$500,$B16,'DADOS BRUTOS'!CG$3:CG$500)+IF($C16="",0,SUMIF('DADOS BRUTOS'!$A$3:$A$500,$C16,'DADOS BRUTOS'!CG$3:CG$500)))</f>
        <v/>
      </c>
      <c r="FH16" s="56">
        <f>IF(OR(FH$4="",$B16=""),0,SUMIF('DADOS BRUTOS'!$A$3:$A$500,$B16,'DADOS BRUTOS'!CH$3:CH$500)+IF($C16="",0,SUMIF('DADOS BRUTOS'!$A$3:$A$500,$C16,'DADOS BRUTOS'!CH$3:CH$500)))</f>
        <v/>
      </c>
      <c r="FI16" s="56">
        <f>IF(OR(FI$4="",$B16=""),0,SUMIF('DADOS BRUTOS'!$A$3:$A$500,$B16,'DADOS BRUTOS'!CI$3:CI$500)+IF($C16="",0,SUMIF('DADOS BRUTOS'!$A$3:$A$500,$C16,'DADOS BRUTOS'!CI$3:CI$500)))</f>
        <v/>
      </c>
      <c r="FJ16" s="56">
        <f>IF(OR(FJ$4="",$B16=""),0,SUMIF('DADOS BRUTOS'!$A$3:$A$500,$B16,'DADOS BRUTOS'!CJ$3:CJ$500)+IF($C16="",0,SUMIF('DADOS BRUTOS'!$A$3:$A$500,$C16,'DADOS BRUTOS'!CJ$3:CJ$500)))</f>
        <v/>
      </c>
      <c r="FK16" s="56">
        <f>IF(OR(FK$4="",$B16=""),0,SUMIF('DADOS BRUTOS'!$A$3:$A$500,$B16,'DADOS BRUTOS'!CK$3:CK$500)+IF($C16="",0,SUMIF('DADOS BRUTOS'!$A$3:$A$500,$C16,'DADOS BRUTOS'!CK$3:CK$500)))</f>
        <v/>
      </c>
      <c r="FL16" s="56">
        <f>IF(OR(FL$4="",$B16=""),0,SUMIF('DADOS BRUTOS'!$A$3:$A$500,$B16,'DADOS BRUTOS'!CL$3:CL$500)+IF($C16="",0,SUMIF('DADOS BRUTOS'!$A$3:$A$500,$C16,'DADOS BRUTOS'!CL$3:CL$500)))</f>
        <v/>
      </c>
      <c r="FM16" s="56">
        <f>IF(OR(FM$4="",$B16=""),0,SUMIF('DADOS BRUTOS'!$A$3:$A$500,$B16,'DADOS BRUTOS'!CM$3:CM$500)+IF($C16="",0,SUMIF('DADOS BRUTOS'!$A$3:$A$500,$C16,'DADOS BRUTOS'!CM$3:CM$500)))</f>
        <v/>
      </c>
      <c r="FN16" s="56">
        <f>IF(OR(FN$4="",$B16=""),0,SUMIF('DADOS BRUTOS'!$A$3:$A$500,$B16,'DADOS BRUTOS'!CN$3:CN$500)+IF($C16="",0,SUMIF('DADOS BRUTOS'!$A$3:$A$500,$C16,'DADOS BRUTOS'!CN$3:CN$500)))</f>
        <v/>
      </c>
      <c r="FO16" s="56">
        <f>IF(OR(FO$4="",$B16=""),0,SUMIF('DADOS BRUTOS'!$A$3:$A$500,$B16,'DADOS BRUTOS'!CO$3:CO$500)+IF($C16="",0,SUMIF('DADOS BRUTOS'!$A$3:$A$500,$C16,'DADOS BRUTOS'!CO$3:CO$500)))</f>
        <v/>
      </c>
      <c r="FP16" s="56">
        <f>IF(OR(FP$4="",$B16=""),0,SUMIF('DADOS BRUTOS'!$A$3:$A$500,$B16,'DADOS BRUTOS'!CP$3:CP$500)+IF($C16="",0,SUMIF('DADOS BRUTOS'!$A$3:$A$500,$C16,'DADOS BRUTOS'!CP$3:CP$500)))</f>
        <v/>
      </c>
      <c r="FQ16" s="56">
        <f>IF(OR(FQ$4="",$B16=""),0,SUMIF('DADOS BRUTOS'!$A$3:$A$500,$B16,'DADOS BRUTOS'!CQ$3:CQ$500)+IF($C16="",0,SUMIF('DADOS BRUTOS'!$A$3:$A$500,$C16,'DADOS BRUTOS'!CQ$3:CQ$500)))</f>
        <v/>
      </c>
      <c r="FR16" s="56">
        <f>IF(OR(FR$4="",$B16=""),0,SUMIF('DADOS BRUTOS'!$A$3:$A$500,$B16,'DADOS BRUTOS'!CR$3:CR$500)+IF($C16="",0,SUMIF('DADOS BRUTOS'!$A$3:$A$500,$C16,'DADOS BRUTOS'!CR$3:CR$500)))</f>
        <v/>
      </c>
      <c r="FS16" s="56">
        <f>IF(OR(FS$4="",$B16=""),0,SUMIF('DADOS BRUTOS'!$A$3:$A$500,$B16,'DADOS BRUTOS'!CS$3:CS$500)+IF($C16="",0,SUMIF('DADOS BRUTOS'!$A$3:$A$500,$C16,'DADOS BRUTOS'!CS$3:CS$500)))</f>
        <v/>
      </c>
      <c r="FT16" s="56">
        <f>IF(OR(FT$4="",$B16=""),0,SUMIF('DADOS BRUTOS'!$A$3:$A$500,$B16,'DADOS BRUTOS'!CT$3:CT$500)+IF($C16="",0,SUMIF('DADOS BRUTOS'!$A$3:$A$500,$C16,'DADOS BRUTOS'!CT$3:CT$500)))</f>
        <v/>
      </c>
      <c r="FU16" s="56">
        <f>IF(OR(FU$4="",$B16=""),0,SUMIF('DADOS BRUTOS'!$A$3:$A$500,$B16,'DADOS BRUTOS'!CU$3:CU$500)+IF($C16="",0,SUMIF('DADOS BRUTOS'!$A$3:$A$500,$C16,'DADOS BRUTOS'!CU$3:CU$500)))</f>
        <v/>
      </c>
      <c r="FV16" s="56">
        <f>IF(OR(FV$4="",$B16=""),0,SUMIF('DADOS BRUTOS'!$A$3:$A$500,$B16,'DADOS BRUTOS'!CV$3:CV$500)+IF($C16="",0,SUMIF('DADOS BRUTOS'!$A$3:$A$500,$C16,'DADOS BRUTOS'!CV$3:CV$500)))</f>
        <v/>
      </c>
      <c r="FW16" s="56">
        <f>IF(OR(FW$4="",$B16=""),0,SUMIF('DADOS BRUTOS'!$A$3:$A$500,$B16,'DADOS BRUTOS'!CW$3:CW$500)+IF($C16="",0,SUMIF('DADOS BRUTOS'!$A$3:$A$500,$C16,'DADOS BRUTOS'!CW$3:CW$500)))</f>
        <v/>
      </c>
      <c r="FX16" s="56">
        <f>IF(OR(FX$4="",$B16=""),0,SUMIF('DADOS BRUTOS'!$A$3:$A$500,$B16,'DADOS BRUTOS'!CX$3:CX$500)+IF($C16="",0,SUMIF('DADOS BRUTOS'!$A$3:$A$500,$C16,'DADOS BRUTOS'!CX$3:CX$500)))</f>
        <v/>
      </c>
      <c r="FY16" s="56">
        <f>IF(OR(FY$4="",$B16=""),0,SUMIF('DADOS BRUTOS'!$A$3:$A$500,$B16,'DADOS BRUTOS'!CY$3:CY$500)+IF($C16="",0,SUMIF('DADOS BRUTOS'!$A$3:$A$500,$C16,'DADOS BRUTOS'!CY$3:CY$500)))</f>
        <v/>
      </c>
      <c r="FZ16" s="56">
        <f>IF(OR(FZ$4="",$B16=""),0,SUMIF('DADOS BRUTOS'!$A$3:$A$500,$B16,'DADOS BRUTOS'!CZ$3:CZ$500)+IF($C16="",0,SUMIF('DADOS BRUTOS'!$A$3:$A$500,$C16,'DADOS BRUTOS'!CZ$3:CZ$500)))</f>
        <v/>
      </c>
      <c r="GA16" s="56">
        <f>IF(OR(GA$4="",$B16=""),0,SUMIF('DADOS BRUTOS'!$A$3:$A$500,$B16,'DADOS BRUTOS'!DA$3:DA$500)+IF($C16="",0,SUMIF('DADOS BRUTOS'!$A$3:$A$500,$C16,'DADOS BRUTOS'!DA$3:DA$500)))</f>
        <v/>
      </c>
      <c r="GB16" s="56">
        <f>IF(OR(GB$4="",$B16=""),0,SUMIF('DADOS BRUTOS'!$A$3:$A$500,$B16,'DADOS BRUTOS'!DB$3:DB$500)+IF($C16="",0,SUMIF('DADOS BRUTOS'!$A$3:$A$500,$C16,'DADOS BRUTOS'!DB$3:DB$500)))</f>
        <v/>
      </c>
      <c r="GC16" s="56">
        <f>IF(OR(GC$4="",$B16=""),0,SUMIF('DADOS BRUTOS'!$A$3:$A$500,$B16,'DADOS BRUTOS'!DC$3:DC$500)+IF($C16="",0,SUMIF('DADOS BRUTOS'!$A$3:$A$500,$C16,'DADOS BRUTOS'!DC$3:DC$500)))</f>
        <v/>
      </c>
      <c r="GD16" s="56">
        <f>IF(OR(GD$4="",$B16=""),0,SUMIF('DADOS BRUTOS'!$A$3:$A$500,$B16,'DADOS BRUTOS'!DD$3:DD$500)+IF($C16="",0,SUMIF('DADOS BRUTOS'!$A$3:$A$500,$C16,'DADOS BRUTOS'!DD$3:DD$500)))</f>
        <v/>
      </c>
      <c r="GE16" s="56">
        <f>IF(OR(GE$4="",$B16=""),0,SUMIF('DADOS BRUTOS'!$A$3:$A$500,$B16,'DADOS BRUTOS'!DE$3:DE$500)+IF($C16="",0,SUMIF('DADOS BRUTOS'!$A$3:$A$500,$C16,'DADOS BRUTOS'!DE$3:DE$500)))</f>
        <v/>
      </c>
      <c r="GF16" s="56">
        <f>IF(OR(GF$4="",$B16=""),0,SUMIF('DADOS BRUTOS'!$A$3:$A$500,$B16,'DADOS BRUTOS'!DF$3:DF$500)+IF($C16="",0,SUMIF('DADOS BRUTOS'!$A$3:$A$500,$C16,'DADOS BRUTOS'!DF$3:DF$500)))</f>
        <v/>
      </c>
      <c r="GG16" s="56">
        <f>IF(OR(GG$4="",$B16=""),0,SUMIF('DADOS BRUTOS'!$A$3:$A$500,$B16,'DADOS BRUTOS'!DG$3:DG$500)+IF($C16="",0,SUMIF('DADOS BRUTOS'!$A$3:$A$500,$C16,'DADOS BRUTOS'!DG$3:DG$500)))</f>
        <v/>
      </c>
      <c r="GH16" s="56">
        <f>IF(OR(GH$4="",$B16=""),0,SUMIF('DADOS BRUTOS'!$A$3:$A$500,$B16,'DADOS BRUTOS'!DH$3:DH$500)+IF($C16="",0,SUMIF('DADOS BRUTOS'!$A$3:$A$500,$C16,'DADOS BRUTOS'!DH$3:DH$500)))</f>
        <v/>
      </c>
      <c r="GI16" s="56">
        <f>IF(OR(GI$4="",$B16=""),0,SUMIF('DADOS BRUTOS'!$A$3:$A$500,$B16,'DADOS BRUTOS'!DI$3:DI$500)+IF($C16="",0,SUMIF('DADOS BRUTOS'!$A$3:$A$500,$C16,'DADOS BRUTOS'!DI$3:DI$500)))</f>
        <v/>
      </c>
      <c r="GJ16" s="56">
        <f>IF(OR(GJ$4="",$B16=""),0,SUMIF('DADOS BRUTOS'!$A$3:$A$500,$B16,'DADOS BRUTOS'!DJ$3:DJ$500)+IF($C16="",0,SUMIF('DADOS BRUTOS'!$A$3:$A$500,$C16,'DADOS BRUTOS'!DJ$3:DJ$500)))</f>
        <v/>
      </c>
      <c r="GK16" s="56">
        <f>IF(OR(GK$4="",$B16=""),0,SUMIF('DADOS BRUTOS'!$A$3:$A$500,$B16,'DADOS BRUTOS'!DK$3:DK$500)+IF($C16="",0,SUMIF('DADOS BRUTOS'!$A$3:$A$500,$C16,'DADOS BRUTOS'!DK$3:DK$500)))</f>
        <v/>
      </c>
      <c r="GL16" s="56">
        <f>IF(OR(GL$4="",$B16=""),0,SUMIF('DADOS BRUTOS'!$A$3:$A$500,$B16,'DADOS BRUTOS'!DL$3:DL$500)+IF($C16="",0,SUMIF('DADOS BRUTOS'!$A$3:$A$500,$C16,'DADOS BRUTOS'!DL$3:DL$500)))</f>
        <v/>
      </c>
      <c r="GM16" s="56">
        <f>IF(OR(GM$4="",$B16=""),0,SUMIF('DADOS BRUTOS'!$A$3:$A$500,$B16,'DADOS BRUTOS'!DM$3:DM$500)+IF($C16="",0,SUMIF('DADOS BRUTOS'!$A$3:$A$500,$C16,'DADOS BRUTOS'!DM$3:DM$500)))</f>
        <v/>
      </c>
      <c r="GN16" s="56">
        <f>IF(OR(GN$4="",$B16=""),0,SUMIF('DADOS BRUTOS'!$A$3:$A$500,$B16,'DADOS BRUTOS'!DN$3:DN$500)+IF($C16="",0,SUMIF('DADOS BRUTOS'!$A$3:$A$500,$C16,'DADOS BRUTOS'!DN$3:DN$500)))</f>
        <v/>
      </c>
      <c r="GO16" s="56">
        <f>IF(OR(GO$4="",$B16=""),0,SUMIF('DADOS BRUTOS'!$A$3:$A$500,$B16,'DADOS BRUTOS'!DO$3:DO$500)+IF($C16="",0,SUMIF('DADOS BRUTOS'!$A$3:$A$500,$C16,'DADOS BRUTOS'!DO$3:DO$500)))</f>
        <v/>
      </c>
      <c r="GP16" s="56">
        <f>IF(OR(GP$4="",$B16=""),0,SUMIF('DADOS BRUTOS'!$A$3:$A$500,$B16,'DADOS BRUTOS'!DP$3:DP$500)+IF($C16="",0,SUMIF('DADOS BRUTOS'!$A$3:$A$500,$C16,'DADOS BRUTOS'!DP$3:DP$500)))</f>
        <v/>
      </c>
      <c r="GQ16" s="56">
        <f>IF(OR(GQ$4="",$B16=""),0,SUMIF('DADOS BRUTOS'!$A$3:$A$500,$B16,'DADOS BRUTOS'!DQ$3:DQ$500)+IF($C16="",0,SUMIF('DADOS BRUTOS'!$A$3:$A$500,$C16,'DADOS BRUTOS'!DQ$3:DQ$500)))</f>
        <v/>
      </c>
      <c r="GR16" s="56">
        <f>IF(OR(GR$4="",$B16=""),0,SUMIF('DADOS BRUTOS'!$A$3:$A$500,$B16,'DADOS BRUTOS'!DR$3:DR$500)+IF($C16="",0,SUMIF('DADOS BRUTOS'!$A$3:$A$500,$C16,'DADOS BRUTOS'!DR$3:DR$500)))</f>
        <v/>
      </c>
      <c r="GS16" s="56">
        <f>IF(OR(GS$4="",$B16=""),0,SUMIF('DADOS BRUTOS'!$A$3:$A$500,$B16,'DADOS BRUTOS'!DS$3:DS$500)+IF($C16="",0,SUMIF('DADOS BRUTOS'!$A$3:$A$500,$C16,'DADOS BRUTOS'!DS$3:DS$500)))</f>
        <v/>
      </c>
      <c r="GT16" s="56">
        <f>IF(OR(GT$4="",$B16=""),0,SUMIF('DADOS BRUTOS'!$A$3:$A$500,$B16,'DADOS BRUTOS'!DT$3:DT$500)+IF($C16="",0,SUMIF('DADOS BRUTOS'!$A$3:$A$500,$C16,'DADOS BRUTOS'!DT$3:DT$500)))</f>
        <v/>
      </c>
      <c r="GU16" s="56">
        <f>IF(OR(GU$4="",$B16=""),0,SUMIF('DADOS BRUTOS'!$A$3:$A$500,$B16,'DADOS BRUTOS'!DU$3:DU$500)+IF($C16="",0,SUMIF('DADOS BRUTOS'!$A$3:$A$500,$C16,'DADOS BRUTOS'!DU$3:DU$500)))</f>
        <v/>
      </c>
      <c r="GV16" s="56">
        <f>IF(OR(GV$4="",$B16=""),0,SUMIF('DADOS BRUTOS'!$A$3:$A$500,$B16,'DADOS BRUTOS'!DV$3:DV$500)+IF($C16="",0,SUMIF('DADOS BRUTOS'!$A$3:$A$500,$C16,'DADOS BRUTOS'!DV$3:DV$500)))</f>
        <v/>
      </c>
      <c r="GW16" s="56">
        <f>IF(OR(GW$4="",$B16=""),0,SUMIF('DADOS BRUTOS'!$A$3:$A$500,$B16,'DADOS BRUTOS'!DW$3:DW$500)+IF($C16="",0,SUMIF('DADOS BRUTOS'!$A$3:$A$500,$C16,'DADOS BRUTOS'!DW$3:DW$500)))</f>
        <v/>
      </c>
      <c r="GX16" s="56">
        <f>IF(OR(GX$4="",$B16=""),0,SUMIF('DADOS BRUTOS'!$A$3:$A$500,$B16,'DADOS BRUTOS'!DX$3:DX$500)+IF($C16="",0,SUMIF('DADOS BRUTOS'!$A$3:$A$500,$C16,'DADOS BRUTOS'!DX$3:DX$500)))</f>
        <v/>
      </c>
      <c r="GY16" s="56">
        <f>IF(OR(GY$4="",$B16=""),0,SUMIF('DADOS BRUTOS'!$A$3:$A$500,$B16,'DADOS BRUTOS'!DY$3:DY$500)+IF($C16="",0,SUMIF('DADOS BRUTOS'!$A$3:$A$500,$C16,'DADOS BRUTOS'!DY$3:DY$500)))</f>
        <v/>
      </c>
      <c r="GZ16" s="56">
        <f>IF(OR(GZ$4="",$B16=""),0,SUMIF('DADOS BRUTOS'!$A$3:$A$500,$B16,'DADOS BRUTOS'!DZ$3:DZ$500)+IF($C16="",0,SUMIF('DADOS BRUTOS'!$A$3:$A$500,$C16,'DADOS BRUTOS'!DZ$3:DZ$500)))</f>
        <v/>
      </c>
      <c r="HA16" s="56">
        <f>IF(OR(HA$4="",$B16=""),0,SUMIF('DADOS BRUTOS'!$A$3:$A$500,$B16,'DADOS BRUTOS'!EA$3:EA$500)+IF($C16="",0,SUMIF('DADOS BRUTOS'!$A$3:$A$500,$C16,'DADOS BRUTOS'!EA$3:EA$500)))</f>
        <v/>
      </c>
      <c r="HB16" s="56">
        <f>IF(OR(HB$4="",$B16=""),0,SUMIF('DADOS BRUTOS'!$A$3:$A$500,$B16,'DADOS BRUTOS'!EB$3:EB$500)+IF($C16="",0,SUMIF('DADOS BRUTOS'!$A$3:$A$500,$C16,'DADOS BRUTOS'!EB$3:EB$500)))</f>
        <v/>
      </c>
      <c r="HC16" s="56">
        <f>IF(OR(HC$4="",$B16=""),0,SUMIF('DADOS BRUTOS'!$A$3:$A$500,$B16,'DADOS BRUTOS'!EC$3:EC$500)+IF($C16="",0,SUMIF('DADOS BRUTOS'!$A$3:$A$500,$C16,'DADOS BRUTOS'!EC$3:EC$500)))</f>
        <v/>
      </c>
      <c r="HD16" s="56">
        <f>IF(OR(HD$4="",$B16=""),0,SUMIF('DADOS BRUTOS'!$A$3:$A$500,$B16,'DADOS BRUTOS'!ED$3:ED$500)+IF($C16="",0,SUMIF('DADOS BRUTOS'!$A$3:$A$500,$C16,'DADOS BRUTOS'!ED$3:ED$500)))</f>
        <v/>
      </c>
      <c r="HE16" s="56">
        <f>IF(OR(HE$4="",$B16=""),0,SUMIF('DADOS BRUTOS'!$A$3:$A$500,$B16,'DADOS BRUTOS'!EE$3:EE$500)+IF($C16="",0,SUMIF('DADOS BRUTOS'!$A$3:$A$500,$C16,'DADOS BRUTOS'!EE$3:EE$500)))</f>
        <v/>
      </c>
      <c r="HF16" s="56">
        <f>IF(OR(HF$4="",$B16=""),0,SUMIF('DADOS BRUTOS'!$A$3:$A$500,$B16,'DADOS BRUTOS'!EF$3:EF$500)+IF($C16="",0,SUMIF('DADOS BRUTOS'!$A$3:$A$500,$C16,'DADOS BRUTOS'!EF$3:EF$500)))</f>
        <v/>
      </c>
      <c r="HG16" s="56">
        <f>IF(OR(HG$4="",$B16=""),0,SUMIF('DADOS BRUTOS'!$A$3:$A$500,$B16,'DADOS BRUTOS'!EG$3:EG$500)+IF($C16="",0,SUMIF('DADOS BRUTOS'!$A$3:$A$500,$C16,'DADOS BRUTOS'!EG$3:EG$500)))</f>
        <v/>
      </c>
      <c r="HH16" s="56">
        <f>IF(OR(HH$4="",$B16=""),0,SUMIF('DADOS BRUTOS'!$A$3:$A$500,$B16,'DADOS BRUTOS'!EH$3:EH$500)+IF($C16="",0,SUMIF('DADOS BRUTOS'!$A$3:$A$500,$C16,'DADOS BRUTOS'!EH$3:EH$500)))</f>
        <v/>
      </c>
      <c r="HI16" s="56">
        <f>IF(OR(HI$4="",$B16=""),0,SUMIF('DADOS BRUTOS'!$A$3:$A$500,$B16,'DADOS BRUTOS'!EI$3:EI$500)+IF($C16="",0,SUMIF('DADOS BRUTOS'!$A$3:$A$500,$C16,'DADOS BRUTOS'!EI$3:EI$500)))</f>
        <v/>
      </c>
      <c r="HJ16" s="56">
        <f>IF(OR(HJ$4="",$B16=""),0,SUMIF('DADOS BRUTOS'!$A$3:$A$500,$B16,'DADOS BRUTOS'!EJ$3:EJ$500)+IF($C16="",0,SUMIF('DADOS BRUTOS'!$A$3:$A$500,$C16,'DADOS BRUTOS'!EJ$3:EJ$500)))</f>
        <v/>
      </c>
      <c r="HK16" s="56">
        <f>IF(OR(HK$4="",$B16=""),0,SUMIF('DADOS BRUTOS'!$A$3:$A$500,$B16,'DADOS BRUTOS'!EK$3:EK$500)+IF($C16="",0,SUMIF('DADOS BRUTOS'!$A$3:$A$500,$C16,'DADOS BRUTOS'!EK$3:EK$500)))</f>
        <v/>
      </c>
      <c r="HL16" s="56">
        <f>IF(OR(HL$4="",$B16=""),0,SUMIF('DADOS BRUTOS'!$A$3:$A$500,$B16,'DADOS BRUTOS'!EL$3:EL$500)+IF($C16="",0,SUMIF('DADOS BRUTOS'!$A$3:$A$500,$C16,'DADOS BRUTOS'!EL$3:EL$500)))</f>
        <v/>
      </c>
      <c r="HM16" s="56">
        <f>IF(OR(HM$4="",$B16=""),0,SUMIF('DADOS BRUTOS'!$A$3:$A$500,$B16,'DADOS BRUTOS'!EM$3:EM$500)+IF($C16="",0,SUMIF('DADOS BRUTOS'!$A$3:$A$500,$C16,'DADOS BRUTOS'!EM$3:EM$500)))</f>
        <v/>
      </c>
      <c r="HN16" s="56">
        <f>IF(OR(HN$4="",$B16=""),0,SUMIF('DADOS BRUTOS'!$A$3:$A$500,$B16,'DADOS BRUTOS'!EN$3:EN$500)+IF($C16="",0,SUMIF('DADOS BRUTOS'!$A$3:$A$500,$C16,'DADOS BRUTOS'!EN$3:EN$500)))</f>
        <v/>
      </c>
      <c r="HO16" s="56">
        <f>IF(OR(HO$4="",$B16=""),0,SUMIF('DADOS BRUTOS'!$A$3:$A$500,$B16,'DADOS BRUTOS'!EO$3:EO$500)+IF($C16="",0,SUMIF('DADOS BRUTOS'!$A$3:$A$500,$C16,'DADOS BRUTOS'!EO$3:EO$500)))</f>
        <v/>
      </c>
      <c r="HP16" s="56">
        <f>IF(OR(HP$4="",$B16=""),0,SUMIF('DADOS BRUTOS'!$A$3:$A$500,$B16,'DADOS BRUTOS'!EP$3:EP$500)+IF($C16="",0,SUMIF('DADOS BRUTOS'!$A$3:$A$500,$C16,'DADOS BRUTOS'!EP$3:EP$500)))</f>
        <v/>
      </c>
      <c r="HQ16" s="56">
        <f>IF(OR(HQ$4="",$B16=""),0,SUMIF('DADOS BRUTOS'!$A$3:$A$500,$B16,'DADOS BRUTOS'!EQ$3:EQ$500)+IF($C16="",0,SUMIF('DADOS BRUTOS'!$A$3:$A$500,$C16,'DADOS BRUTOS'!EQ$3:EQ$500)))</f>
        <v/>
      </c>
      <c r="HR16" s="56">
        <f>IF(OR(HR$4="",$B16=""),0,SUMIF('DADOS BRUTOS'!$A$3:$A$500,$B16,'DADOS BRUTOS'!ER$3:ER$500)+IF($C16="",0,SUMIF('DADOS BRUTOS'!$A$3:$A$500,$C16,'DADOS BRUTOS'!ER$3:ER$500)))</f>
        <v/>
      </c>
      <c r="HS16" s="56">
        <f>IF(OR(HS$4="",$B16=""),0,SUMIF('DADOS BRUTOS'!$A$3:$A$500,$B16,'DADOS BRUTOS'!ES$3:ES$500)+IF($C16="",0,SUMIF('DADOS BRUTOS'!$A$3:$A$500,$C16,'DADOS BRUTOS'!ES$3:ES$500)))</f>
        <v/>
      </c>
      <c r="HT16" s="56">
        <f>IF(OR(HT$4="",$B16=""),0,SUMIF('DADOS BRUTOS'!$A$3:$A$500,$B16,'DADOS BRUTOS'!ET$3:ET$500)+IF($C16="",0,SUMIF('DADOS BRUTOS'!$A$3:$A$500,$C16,'DADOS BRUTOS'!ET$3:ET$500)))</f>
        <v/>
      </c>
      <c r="HU16" s="56">
        <f>IF(OR(HU$4="",$B16=""),0,SUMIF('DADOS BRUTOS'!$A$3:$A$500,$B16,'DADOS BRUTOS'!EU$3:EU$500)+IF($C16="",0,SUMIF('DADOS BRUTOS'!$A$3:$A$500,$C16,'DADOS BRUTOS'!EU$3:EU$500)))</f>
        <v/>
      </c>
      <c r="HV16" s="56">
        <f>IF(OR(HV$4="",$B16=""),0,SUMIF('DADOS BRUTOS'!$A$3:$A$500,$B16,'DADOS BRUTOS'!EV$3:EV$500)+IF($C16="",0,SUMIF('DADOS BRUTOS'!$A$3:$A$500,$C16,'DADOS BRUTOS'!EV$3:EV$500)))</f>
        <v/>
      </c>
      <c r="HW16" s="56">
        <f>IF(OR(HW$4="",$B16=""),0,SUMIF('DADOS BRUTOS'!$A$3:$A$500,$B16,'DADOS BRUTOS'!EW$3:EW$500)+IF($C16="",0,SUMIF('DADOS BRUTOS'!$A$3:$A$500,$C16,'DADOS BRUTOS'!EW$3:EW$500)))</f>
        <v/>
      </c>
      <c r="HX16" s="56">
        <f>IF(OR(HX$4="",$B16=""),0,SUMIF('DADOS BRUTOS'!$A$3:$A$500,$B16,'DADOS BRUTOS'!EX$3:EX$500)+IF($C16="",0,SUMIF('DADOS BRUTOS'!$A$3:$A$500,$C16,'DADOS BRUTOS'!EX$3:EX$500)))</f>
        <v/>
      </c>
      <c r="HY16" s="56">
        <f>IF(OR(HY$4="",$B16=""),0,SUMIF('DADOS BRUTOS'!$A$3:$A$500,$B16,'DADOS BRUTOS'!EY$3:EY$500)+IF($C16="",0,SUMIF('DADOS BRUTOS'!$A$3:$A$500,$C16,'DADOS BRUTOS'!EY$3:EY$500)))</f>
        <v/>
      </c>
      <c r="HZ16" s="56">
        <f>IF(OR(HZ$4="",$B16=""),0,SUMIF('DADOS BRUTOS'!$A$3:$A$500,$B16,'DADOS BRUTOS'!EZ$3:EZ$500)+IF($C16="",0,SUMIF('DADOS BRUTOS'!$A$3:$A$500,$C16,'DADOS BRUTOS'!EZ$3:EZ$500)))</f>
        <v/>
      </c>
      <c r="IA16" s="56">
        <f>IF(OR(IA$4="",$B16=""),0,SUMIF('DADOS BRUTOS'!$A$3:$A$500,$B16,'DADOS BRUTOS'!FA$3:FA$500)+IF($C16="",0,SUMIF('DADOS BRUTOS'!$A$3:$A$500,$C16,'DADOS BRUTOS'!FA$3:FA$500)))</f>
        <v/>
      </c>
      <c r="IB16" s="56">
        <f>IF(OR(IB$4="",$B16=""),0,SUMIF('DADOS BRUTOS'!$A$3:$A$500,$B16,'DADOS BRUTOS'!FB$3:FB$500)+IF($C16="",0,SUMIF('DADOS BRUTOS'!$A$3:$A$500,$C16,'DADOS BRUTOS'!FB$3:FB$500)))</f>
        <v/>
      </c>
      <c r="IC16" s="56">
        <f>IF(OR(IC$4="",$B16=""),0,SUMIF('DADOS BRUTOS'!$A$3:$A$500,$B16,'DADOS BRUTOS'!FC$3:FC$500)+IF($C16="",0,SUMIF('DADOS BRUTOS'!$A$3:$A$500,$C16,'DADOS BRUTOS'!FC$3:FC$500)))</f>
        <v/>
      </c>
      <c r="ID16" s="56">
        <f>IF(OR(ID$4="",$B16=""),0,SUMIF('DADOS BRUTOS'!$A$3:$A$500,$B16,'DADOS BRUTOS'!FD$3:FD$500)+IF($C16="",0,SUMIF('DADOS BRUTOS'!$A$3:$A$500,$C16,'DADOS BRUTOS'!FD$3:FD$500)))</f>
        <v/>
      </c>
      <c r="IE16" s="56">
        <f>IF(OR(IE$4="",$B16=""),0,SUMIF('DADOS BRUTOS'!$A$3:$A$500,$B16,'DADOS BRUTOS'!FE$3:FE$500)+IF($C16="",0,SUMIF('DADOS BRUTOS'!$A$3:$A$500,$C16,'DADOS BRUTOS'!FE$3:FE$500)))</f>
        <v/>
      </c>
      <c r="IF16" s="56">
        <f>IF(OR(IF$4="",$B16=""),0,SUMIF('DADOS BRUTOS'!$A$3:$A$500,$B16,'DADOS BRUTOS'!FF$3:FF$500)+IF($C16="",0,SUMIF('DADOS BRUTOS'!$A$3:$A$500,$C16,'DADOS BRUTOS'!FF$3:FF$500)))</f>
        <v/>
      </c>
      <c r="IG16" s="56">
        <f>IF(OR(IG$4="",$B16=""),0,SUMIF('DADOS BRUTOS'!$A$3:$A$500,$B16,'DADOS BRUTOS'!FG$3:FG$500)+IF($C16="",0,SUMIF('DADOS BRUTOS'!$A$3:$A$500,$C16,'DADOS BRUTOS'!FG$3:FG$500)))</f>
        <v/>
      </c>
      <c r="IH16" s="56">
        <f>IF(OR(IH$4="",$B16=""),0,SUMIF('DADOS BRUTOS'!$A$3:$A$500,$B16,'DADOS BRUTOS'!FH$3:FH$500)+IF($C16="",0,SUMIF('DADOS BRUTOS'!$A$3:$A$500,$C16,'DADOS BRUTOS'!FH$3:FH$500)))</f>
        <v/>
      </c>
      <c r="II16" s="56">
        <f>IF(OR(II$4="",$B16=""),0,SUMIF('DADOS BRUTOS'!$A$3:$A$500,$B16,'DADOS BRUTOS'!FI$3:FI$500)+IF($C16="",0,SUMIF('DADOS BRUTOS'!$A$3:$A$500,$C16,'DADOS BRUTOS'!FI$3:FI$500)))</f>
        <v/>
      </c>
      <c r="IJ16" s="56">
        <f>IF(OR(IJ$4="",$B16=""),0,SUMIF('DADOS BRUTOS'!$A$3:$A$500,$B16,'DADOS BRUTOS'!FJ$3:FJ$500)+IF($C16="",0,SUMIF('DADOS BRUTOS'!$A$3:$A$500,$C16,'DADOS BRUTOS'!FJ$3:FJ$500)))</f>
        <v/>
      </c>
      <c r="IK16" s="56">
        <f>IF(OR(IK$4="",$B16=""),0,SUMIF('DADOS BRUTOS'!$A$3:$A$500,$B16,'DADOS BRUTOS'!FK$3:FK$500)+IF($C16="",0,SUMIF('DADOS BRUTOS'!$A$3:$A$500,$C16,'DADOS BRUTOS'!FK$3:FK$500)))</f>
        <v/>
      </c>
      <c r="IL16" s="56">
        <f>IF(OR(IL$4="",$B16=""),0,SUMIF('DADOS BRUTOS'!$A$3:$A$500,$B16,'DADOS BRUTOS'!FL$3:FL$500)+IF($C16="",0,SUMIF('DADOS BRUTOS'!$A$3:$A$500,$C16,'DADOS BRUTOS'!FL$3:FL$500)))</f>
        <v/>
      </c>
      <c r="IM16" s="56">
        <f>IF(OR(IM$4="",$B16=""),0,SUMIF('DADOS BRUTOS'!$A$3:$A$500,$B16,'DADOS BRUTOS'!FM$3:FM$500)+IF($C16="",0,SUMIF('DADOS BRUTOS'!$A$3:$A$500,$C16,'DADOS BRUTOS'!FM$3:FM$500)))</f>
        <v/>
      </c>
      <c r="IN16" s="56">
        <f>IF(OR(IN$4="",$B16=""),0,SUMIF('DADOS BRUTOS'!$A$3:$A$500,$B16,'DADOS BRUTOS'!FN$3:FN$500)+IF($C16="",0,SUMIF('DADOS BRUTOS'!$A$3:$A$500,$C16,'DADOS BRUTOS'!FN$3:FN$500)))</f>
        <v/>
      </c>
      <c r="IO16" s="56">
        <f>IF(OR(IO$4="",$B16=""),0,SUMIF('DADOS BRUTOS'!$A$3:$A$500,$B16,'DADOS BRUTOS'!FO$3:FO$500)+IF($C16="",0,SUMIF('DADOS BRUTOS'!$A$3:$A$500,$C16,'DADOS BRUTOS'!FO$3:FO$500)))</f>
        <v/>
      </c>
      <c r="IP16" s="56">
        <f>IF(OR(IP$4="",$B16=""),0,SUMIF('DADOS BRUTOS'!$A$3:$A$500,$B16,'DADOS BRUTOS'!FP$3:FP$500)+IF($C16="",0,SUMIF('DADOS BRUTOS'!$A$3:$A$500,$C16,'DADOS BRUTOS'!FP$3:FP$500)))</f>
        <v/>
      </c>
      <c r="IQ16" s="56">
        <f>IF(OR(IQ$4="",$B16=""),0,SUMIF('DADOS BRUTOS'!$A$3:$A$500,$B16,'DADOS BRUTOS'!FQ$3:FQ$500)+IF($C16="",0,SUMIF('DADOS BRUTOS'!$A$3:$A$500,$C16,'DADOS BRUTOS'!FQ$3:FQ$500)))</f>
        <v/>
      </c>
      <c r="IR16" s="56">
        <f>IF(OR(IR$4="",$B16=""),0,SUMIF('DADOS BRUTOS'!$A$3:$A$500,$B16,'DADOS BRUTOS'!FR$3:FR$500)+IF($C16="",0,SUMIF('DADOS BRUTOS'!$A$3:$A$500,$C16,'DADOS BRUTOS'!FR$3:FR$500)))</f>
        <v/>
      </c>
      <c r="IS16" s="56">
        <f>IF(OR(IS$4="",$B16=""),0,SUMIF('DADOS BRUTOS'!$A$3:$A$500,$B16,'DADOS BRUTOS'!FS$3:FS$500)+IF($C16="",0,SUMIF('DADOS BRUTOS'!$A$3:$A$500,$C16,'DADOS BRUTOS'!FS$3:FS$500)))</f>
        <v/>
      </c>
      <c r="IT16" s="56">
        <f>IF(OR(IT$4="",$B16=""),0,SUMIF('DADOS BRUTOS'!$A$3:$A$500,$B16,'DADOS BRUTOS'!FT$3:FT$500)+IF($C16="",0,SUMIF('DADOS BRUTOS'!$A$3:$A$500,$C16,'DADOS BRUTOS'!FT$3:FT$500)))</f>
        <v/>
      </c>
      <c r="IU16" s="56">
        <f>IF(OR(IU$4="",$B16=""),0,SUMIF('DADOS BRUTOS'!$A$3:$A$500,$B16,'DADOS BRUTOS'!FU$3:FU$500)+IF($C16="",0,SUMIF('DADOS BRUTOS'!$A$3:$A$500,$C16,'DADOS BRUTOS'!FU$3:FU$500)))</f>
        <v/>
      </c>
      <c r="IV16" s="56">
        <f>IF(OR(IV$4="",$B16=""),0,SUMIF('DADOS BRUTOS'!$A$3:$A$500,$B16,'DADOS BRUTOS'!FV$3:FV$500)+IF($C16="",0,SUMIF('DADOS BRUTOS'!$A$3:$A$500,$C16,'DADOS BRUTOS'!FV$3:FV$500)))</f>
        <v/>
      </c>
      <c r="IW16" s="56">
        <f>IF(OR(IW$4="",$B16=""),0,SUMIF('DADOS BRUTOS'!$A$3:$A$500,$B16,'DADOS BRUTOS'!FW$3:FW$500)+IF($C16="",0,SUMIF('DADOS BRUTOS'!$A$3:$A$500,$C16,'DADOS BRUTOS'!FW$3:FW$500)))</f>
        <v/>
      </c>
      <c r="IX16" s="56">
        <f>IF(OR(IX$4="",$B16=""),0,SUMIF('DADOS BRUTOS'!$A$3:$A$500,$B16,'DADOS BRUTOS'!FX$3:FX$500)+IF($C16="",0,SUMIF('DADOS BRUTOS'!$A$3:$A$500,$C16,'DADOS BRUTOS'!FX$3:FX$500)))</f>
        <v/>
      </c>
      <c r="IY16" s="56">
        <f>IF(OR(IY$4="",$B16=""),0,SUMIF('DADOS BRUTOS'!$A$3:$A$500,$B16,'DADOS BRUTOS'!FY$3:FY$500)+IF($C16="",0,SUMIF('DADOS BRUTOS'!$A$3:$A$500,$C16,'DADOS BRUTOS'!FY$3:FY$500)))</f>
        <v/>
      </c>
      <c r="IZ16" s="56">
        <f>IF(OR(IZ$4="",$B16=""),0,SUMIF('DADOS BRUTOS'!$A$3:$A$500,$B16,'DADOS BRUTOS'!FZ$3:FZ$500)+IF($C16="",0,SUMIF('DADOS BRUTOS'!$A$3:$A$500,$C16,'DADOS BRUTOS'!FZ$3:FZ$500)))</f>
        <v/>
      </c>
      <c r="JA16" s="56">
        <f>IF(OR(JA$4="",$B16=""),0,SUMIF('DADOS BRUTOS'!$A$3:$A$500,$B16,'DADOS BRUTOS'!GA$3:GA$500)+IF($C16="",0,SUMIF('DADOS BRUTOS'!$A$3:$A$500,$C16,'DADOS BRUTOS'!GA$3:GA$500)))</f>
        <v/>
      </c>
      <c r="JB16" s="56">
        <f>IF(OR(JB$4="",$B16=""),0,SUMIF('DADOS BRUTOS'!$A$3:$A$500,$B16,'DADOS BRUTOS'!GB$3:GB$500)+IF($C16="",0,SUMIF('DADOS BRUTOS'!$A$3:$A$500,$C16,'DADOS BRUTOS'!GB$3:GB$500)))</f>
        <v/>
      </c>
      <c r="JC16" s="56">
        <f>IF(OR(JC$4="",$B16=""),0,SUMIF('DADOS BRUTOS'!$A$3:$A$500,$B16,'DADOS BRUTOS'!GC$3:GC$500)+IF($C16="",0,SUMIF('DADOS BRUTOS'!$A$3:$A$500,$C16,'DADOS BRUTOS'!GC$3:GC$500)))</f>
        <v/>
      </c>
      <c r="JD16" s="56">
        <f>IF(OR(JD$4="",$B16=""),0,SUMIF('DADOS BRUTOS'!$A$3:$A$500,$B16,'DADOS BRUTOS'!GD$3:GD$500)+IF($C16="",0,SUMIF('DADOS BRUTOS'!$A$3:$A$500,$C16,'DADOS BRUTOS'!GD$3:GD$500)))</f>
        <v/>
      </c>
      <c r="JE16" s="56">
        <f>IF(OR(JE$4="",$B16=""),0,SUMIF('DADOS BRUTOS'!$A$3:$A$500,$B16,'DADOS BRUTOS'!GE$3:GE$500)+IF($C16="",0,SUMIF('DADOS BRUTOS'!$A$3:$A$500,$C16,'DADOS BRUTOS'!GE$3:GE$500)))</f>
        <v/>
      </c>
      <c r="JF16" s="56">
        <f>IF(OR(JF$4="",$B16=""),0,SUMIF('DADOS BRUTOS'!$A$3:$A$500,$B16,'DADOS BRUTOS'!GF$3:GF$500)+IF($C16="",0,SUMIF('DADOS BRUTOS'!$A$3:$A$500,$C16,'DADOS BRUTOS'!GF$3:GF$500)))</f>
        <v/>
      </c>
      <c r="JG16" s="56">
        <f>IF(OR(JG$4="",$B16=""),0,SUMIF('DADOS BRUTOS'!$A$3:$A$500,$B16,'DADOS BRUTOS'!GG$3:GG$500)+IF($C16="",0,SUMIF('DADOS BRUTOS'!$A$3:$A$500,$C16,'DADOS BRUTOS'!GG$3:GG$500)))</f>
        <v/>
      </c>
      <c r="JH16" s="56">
        <f>IF(OR(JH$4="",$B16=""),0,SUMIF('DADOS BRUTOS'!$A$3:$A$500,$B16,'DADOS BRUTOS'!GH$3:GH$500)+IF($C16="",0,SUMIF('DADOS BRUTOS'!$A$3:$A$500,$C16,'DADOS BRUTOS'!GH$3:GH$500)))</f>
        <v/>
      </c>
      <c r="JI16" s="56">
        <f>IF(OR(JI$4="",$B16=""),0,SUMIF('DADOS BRUTOS'!$A$3:$A$500,$B16,'DADOS BRUTOS'!GI$3:GI$500)+IF($C16="",0,SUMIF('DADOS BRUTOS'!$A$3:$A$500,$C16,'DADOS BRUTOS'!GI$3:GI$500)))</f>
        <v/>
      </c>
      <c r="JJ16" s="56">
        <f>IF(OR(JJ$4="",$B16=""),0,SUMIF('DADOS BRUTOS'!$A$3:$A$500,$B16,'DADOS BRUTOS'!GJ$3:GJ$500)+IF($C16="",0,SUMIF('DADOS BRUTOS'!$A$3:$A$500,$C16,'DADOS BRUTOS'!GJ$3:GJ$500)))</f>
        <v/>
      </c>
      <c r="JK16" s="56">
        <f>IF(OR(JK$4="",$B16=""),0,SUMIF('DADOS BRUTOS'!$A$3:$A$500,$B16,'DADOS BRUTOS'!GK$3:GK$500)+IF($C16="",0,SUMIF('DADOS BRUTOS'!$A$3:$A$500,$C16,'DADOS BRUTOS'!GK$3:GK$500)))</f>
        <v/>
      </c>
      <c r="JL16" s="56">
        <f>IF(OR(JL$4="",$B16=""),0,SUMIF('DADOS BRUTOS'!$A$3:$A$500,$B16,'DADOS BRUTOS'!GL$3:GL$500)+IF($C16="",0,SUMIF('DADOS BRUTOS'!$A$3:$A$500,$C16,'DADOS BRUTOS'!GL$3:GL$500)))</f>
        <v/>
      </c>
      <c r="JM16" s="56">
        <f>IF(OR(JM$4="",$B16=""),0,SUMIF('DADOS BRUTOS'!$A$3:$A$500,$B16,'DADOS BRUTOS'!GM$3:GM$500)+IF($C16="",0,SUMIF('DADOS BRUTOS'!$A$3:$A$500,$C16,'DADOS BRUTOS'!GM$3:GM$500)))</f>
        <v/>
      </c>
      <c r="JN16" s="56">
        <f>IF(OR(JN$4="",$B16=""),0,SUMIF('DADOS BRUTOS'!$A$3:$A$500,$B16,'DADOS BRUTOS'!GN$3:GN$500)+IF($C16="",0,SUMIF('DADOS BRUTOS'!$A$3:$A$500,$C16,'DADOS BRUTOS'!GN$3:GN$500)))</f>
        <v/>
      </c>
      <c r="JO16" s="56">
        <f>IF(OR(JO$4="",$B16=""),0,SUMIF('DADOS BRUTOS'!$A$3:$A$500,$B16,'DADOS BRUTOS'!GO$3:GO$500)+IF($C16="",0,SUMIF('DADOS BRUTOS'!$A$3:$A$500,$C16,'DADOS BRUTOS'!GO$3:GO$500)))</f>
        <v/>
      </c>
      <c r="JP16" s="56">
        <f>IF(OR(JP$4="",$B16=""),0,SUMIF('DADOS BRUTOS'!$A$3:$A$500,$B16,'DADOS BRUTOS'!GP$3:GP$500)+IF($C16="",0,SUMIF('DADOS BRUTOS'!$A$3:$A$500,$C16,'DADOS BRUTOS'!GP$3:GP$500)))</f>
        <v/>
      </c>
      <c r="JQ16" s="56">
        <f>IF(OR(JQ$4="",$B16=""),0,SUMIF('DADOS BRUTOS'!$A$3:$A$500,$B16,'DADOS BRUTOS'!GQ$3:GQ$500)+IF($C16="",0,SUMIF('DADOS BRUTOS'!$A$3:$A$500,$C16,'DADOS BRUTOS'!GQ$3:GQ$500)))</f>
        <v/>
      </c>
      <c r="JR16" s="56">
        <f>IF(OR(JR$4="",$B16=""),0,SUMIF('DADOS BRUTOS'!$A$3:$A$500,$B16,'DADOS BRUTOS'!GR$3:GR$500)+IF($C16="",0,SUMIF('DADOS BRUTOS'!$A$3:$A$500,$C16,'DADOS BRUTOS'!GR$3:GR$500)))</f>
        <v/>
      </c>
      <c r="JS16" s="56">
        <f>IF(OR(JS$4="",$B16=""),0,SUMIF('DADOS BRUTOS'!$A$3:$A$500,$B16,'DADOS BRUTOS'!GS$3:GS$500)+IF($C16="",0,SUMIF('DADOS BRUTOS'!$A$3:$A$500,$C16,'DADOS BRUTOS'!GS$3:GS$500)))</f>
        <v/>
      </c>
    </row>
    <row r="17">
      <c r="A17" s="34">
        <f>'VALOR POR PL'!D23</f>
        <v/>
      </c>
      <c r="B17" s="21" t="inlineStr">
        <is>
          <t>CONTENÇÃO</t>
        </is>
      </c>
      <c r="C17" s="21" t="n"/>
      <c r="D17" s="17">
        <f>SUMIF($CB$4:$JS$4,"&lt;="&amp;D$4,$CB17:$JS17)</f>
        <v/>
      </c>
      <c r="E17" s="17">
        <f>SUMIF($CB$4:$JS$4,E$4,$CB17:$JS17)</f>
        <v/>
      </c>
      <c r="F17" s="17">
        <f>SUMIF($CB$4:$JS$4,F$4,$CB17:$JS17)</f>
        <v/>
      </c>
      <c r="G17" s="17">
        <f>SUMIF($CB$4:$JS$4,G$4,$CB17:$JS17)</f>
        <v/>
      </c>
      <c r="H17" s="17">
        <f>SUMIF($CB$4:$JS$4,H$4,$CB17:$JS17)</f>
        <v/>
      </c>
      <c r="I17" s="17">
        <f>SUMIF($CB$4:$JS$4,I$4,$CB17:$JS17)</f>
        <v/>
      </c>
      <c r="J17" s="17">
        <f>SUMIF($CB$4:$JS$4,J$4,$CB17:$JS17)</f>
        <v/>
      </c>
      <c r="K17" s="17">
        <f>SUMIF($CB$4:$JS$4,K$4,$CB17:$JS17)</f>
        <v/>
      </c>
      <c r="L17" s="17">
        <f>SUMIF($CB$4:$JS$4,L$4,$CB17:$JS17)</f>
        <v/>
      </c>
      <c r="M17" s="17">
        <f>SUMIF($CB$4:$JS$4,M$4,$CB17:$JS17)</f>
        <v/>
      </c>
      <c r="N17" s="17">
        <f>SUMIF($CB$4:$JS$4,N$4,$CB17:$JS17)</f>
        <v/>
      </c>
      <c r="O17" s="17">
        <f>SUMIF($CB$4:$JS$4,O$4,$CB17:$JS17)</f>
        <v/>
      </c>
      <c r="P17" s="17">
        <f>SUMIF($CB$4:$JS$4,P$4,$CB17:$JS17)</f>
        <v/>
      </c>
      <c r="Q17" s="17">
        <f>SUMIF($CB$4:$JS$4,Q$4,$CB17:$JS17)</f>
        <v/>
      </c>
      <c r="R17" s="17">
        <f>SUMIF($CB$4:$JS$4,R$4,$CB17:$JS17)</f>
        <v/>
      </c>
      <c r="S17" s="17">
        <f>SUMIF($CB$4:$JS$4,S$4,$CB17:$JS17)</f>
        <v/>
      </c>
      <c r="T17" s="17">
        <f>SUMIF($CB$4:$JS$4,T$4,$CB17:$JS17)</f>
        <v/>
      </c>
      <c r="U17" s="17">
        <f>SUMIF($CB$4:$JS$4,U$4,$CB17:$JS17)</f>
        <v/>
      </c>
      <c r="V17" s="17">
        <f>SUMIF($CB$4:$JS$4,V$4,$CB17:$JS17)</f>
        <v/>
      </c>
      <c r="W17" s="17">
        <f>SUMIF($CB$4:$JS$4,W$4,$CB17:$JS17)</f>
        <v/>
      </c>
      <c r="X17" s="17">
        <f>SUMIF($CB$4:$JS$4,X$4,$CB17:$JS17)</f>
        <v/>
      </c>
      <c r="Y17" s="17">
        <f>SUMIF($CB$4:$JS$4,Y$4,$CB17:$JS17)</f>
        <v/>
      </c>
      <c r="Z17" s="17">
        <f>SUMIF($CB$4:$JS$4,Z$4,$CB17:$JS17)</f>
        <v/>
      </c>
      <c r="AA17" s="17">
        <f>SUMIF($CB$4:$JS$4,AA$4,$CB17:$JS17)</f>
        <v/>
      </c>
      <c r="AB17" s="17">
        <f>SUMIF($CB$4:$JS$4,AB$4,$CB17:$JS17)</f>
        <v/>
      </c>
      <c r="AC17" s="17">
        <f>SUMIF($CB$4:$JS$4,AC$4,$CB17:$JS17)</f>
        <v/>
      </c>
      <c r="AD17" s="17">
        <f>SUMIF($CB$4:$JS$4,AD$4,$CB17:$JS17)</f>
        <v/>
      </c>
      <c r="AE17" s="17">
        <f>SUMIF($CB$4:$JS$4,AE$4,$CB17:$JS17)</f>
        <v/>
      </c>
      <c r="AF17" s="17">
        <f>SUMIF($CB$4:$JS$4,AF$4,$CB17:$JS17)</f>
        <v/>
      </c>
      <c r="AG17" s="17">
        <f>SUMIF($CB$4:$JS$4,AG$4,$CB17:$JS17)</f>
        <v/>
      </c>
      <c r="AH17" s="17">
        <f>SUMIF($CB$4:$JS$4,AH$4,$CB17:$JS17)</f>
        <v/>
      </c>
      <c r="AI17" s="17">
        <f>SUMIF($CB$4:$JS$4,AI$4,$CB17:$JS17)</f>
        <v/>
      </c>
      <c r="AJ17" s="17">
        <f>SUMIF($CB$4:$JS$4,AJ$4,$CB17:$JS17)</f>
        <v/>
      </c>
      <c r="AK17" s="17">
        <f>SUMIF($CB$4:$JS$4,AK$4,$CB17:$JS17)</f>
        <v/>
      </c>
      <c r="AL17" s="17">
        <f>SUMIF($CB$4:$JS$4,AL$4,$CB17:$JS17)</f>
        <v/>
      </c>
      <c r="AM17" s="17">
        <f>SUMIF($CB$4:$JS$4,AM$4,$CB17:$JS17)</f>
        <v/>
      </c>
      <c r="AN17" s="17">
        <f>SUMIF($CB$4:$JS$4,AN$4,$CB17:$JS17)</f>
        <v/>
      </c>
      <c r="AO17" s="17">
        <f>SUMIF($CB$4:$JS$4,AO$4,$CB17:$JS17)</f>
        <v/>
      </c>
      <c r="AP17" s="17">
        <f>SUMIF($CB$4:$JS$4,AP$4,$CB17:$JS17)</f>
        <v/>
      </c>
      <c r="AQ17" s="17">
        <f>SUMIF($CB$4:$JS$4,AQ$4,$CB17:$JS17)</f>
        <v/>
      </c>
      <c r="AR17" s="17">
        <f>SUMIF($CB$4:$JS$4,AR$4,$CB17:$JS17)</f>
        <v/>
      </c>
      <c r="AS17" s="17">
        <f>SUMIF($CB$4:$JS$4,AS$4,$CB17:$JS17)</f>
        <v/>
      </c>
      <c r="AT17" s="17">
        <f>SUMIF($CB$4:$JS$4,AT$4,$CB17:$JS17)</f>
        <v/>
      </c>
      <c r="AU17" s="17">
        <f>SUMIF($CB$4:$JS$4,AU$4,$CB17:$JS17)</f>
        <v/>
      </c>
      <c r="AV17" s="17">
        <f>SUMIF($CB$4:$JS$4,AV$4,$CB17:$JS17)</f>
        <v/>
      </c>
      <c r="AW17" s="17">
        <f>SUMIF($CB$4:$JS$4,AW$4,$CB17:$JS17)</f>
        <v/>
      </c>
      <c r="AX17" s="17">
        <f>SUMIF($CB$4:$JS$4,AX$4,$CB17:$JS17)</f>
        <v/>
      </c>
      <c r="AY17" s="17">
        <f>SUMIF($CB$4:$JS$4,AY$4,$CB17:$JS17)</f>
        <v/>
      </c>
      <c r="AZ17" s="17">
        <f>SUMIF($CB$4:$JS$4,AZ$4,$CB17:$JS17)</f>
        <v/>
      </c>
      <c r="BA17" s="17">
        <f>SUMIF($CB$4:$JS$4,BA$4,$CB17:$JS17)</f>
        <v/>
      </c>
      <c r="BB17" s="17">
        <f>SUMIF($CB$4:$JS$4,BB$4,$CB17:$JS17)</f>
        <v/>
      </c>
      <c r="BC17" s="17">
        <f>SUMIF($CB$4:$JS$4,BC$4,$CB17:$JS17)</f>
        <v/>
      </c>
      <c r="BD17" s="17">
        <f>SUMIF($CB$4:$JS$4,BD$4,$CB17:$JS17)</f>
        <v/>
      </c>
      <c r="BE17" s="17">
        <f>SUMIF($CB$4:$JS$4,BE$4,$CB17:$JS17)</f>
        <v/>
      </c>
      <c r="BF17" s="17">
        <f>SUMIF($CB$4:$JS$4,BF$4,$CB17:$JS17)</f>
        <v/>
      </c>
      <c r="BG17" s="17">
        <f>SUMIF($CB$4:$JS$4,BG$4,$CB17:$JS17)</f>
        <v/>
      </c>
      <c r="BH17" s="17">
        <f>SUMIF($CB$4:$JS$4,BH$4,$CB17:$JS17)</f>
        <v/>
      </c>
      <c r="BI17" s="17">
        <f>SUMIF($CB$4:$JS$4,BI$4,$CB17:$JS17)</f>
        <v/>
      </c>
      <c r="BJ17" s="17">
        <f>SUMIF($CB$4:$JS$4,BJ$4,$CB17:$JS17)</f>
        <v/>
      </c>
      <c r="BK17" s="17">
        <f>SUMIF($CB$4:$JS$4,BK$4,$CB17:$JS17)</f>
        <v/>
      </c>
      <c r="BL17" s="17">
        <f>SUMIF($CB$4:$JS$4,BL$4,$CB17:$JS17)</f>
        <v/>
      </c>
      <c r="BM17" s="17">
        <f>SUMIF($CB$4:$JS$4,BM$4,$CB17:$JS17)</f>
        <v/>
      </c>
      <c r="BN17" s="17">
        <f>SUMIF($CB$4:$JS$4,BN$4,$CB17:$JS17)</f>
        <v/>
      </c>
      <c r="BO17" s="17">
        <f>SUMIF($CB$4:$JS$4,BO$4,$CB17:$JS17)</f>
        <v/>
      </c>
      <c r="BP17" s="17">
        <f>SUMIF($CB$4:$JS$4,BP$4,$CB17:$JS17)</f>
        <v/>
      </c>
      <c r="BQ17" s="17">
        <f>SUMIF($CB$4:$JS$4,BQ$4,$CB17:$JS17)</f>
        <v/>
      </c>
      <c r="BR17" s="17">
        <f>SUMIF($CB$4:$JS$4,BR$4,$CB17:$JS17)</f>
        <v/>
      </c>
      <c r="BS17" s="17">
        <f>SUMIF($CB$4:$JS$4,BS$4,$CB17:$JS17)</f>
        <v/>
      </c>
      <c r="BT17" s="17">
        <f>SUMIF($CB$4:$JS$4,BT$4,$CB17:$JS17)</f>
        <v/>
      </c>
      <c r="BU17" s="17">
        <f>SUMIF($CB$4:$JS$4,BU$4,$CB17:$JS17)</f>
        <v/>
      </c>
      <c r="BV17" s="17">
        <f>SUMIF($CB$4:$JS$4,BV$4,$CB17:$JS17)</f>
        <v/>
      </c>
      <c r="BW17" s="17">
        <f>SUMIF($CB$4:$JS$4,BW$4,$CB17:$JS17)</f>
        <v/>
      </c>
      <c r="BX17" s="17">
        <f>SUMIF($CB$4:$JS$4,"&gt;"&amp;'VALOR POR PL'!$P$8,$CB17:$JS17)</f>
        <v/>
      </c>
      <c r="BY17" s="17">
        <f>SUM($CB17:$JS17)</f>
        <v/>
      </c>
      <c r="CB17" s="56">
        <f>IF(OR(CB$4="",$B17=""),0,SUMIF('DADOS BRUTOS'!$A$3:$A$500,$B17,'DADOS BRUTOS'!B$3:B$500)+IF($C17="",0,SUMIF('DADOS BRUTOS'!$A$3:$A$500,$C17,'DADOS BRUTOS'!B$3:B$500)))</f>
        <v/>
      </c>
      <c r="CC17" s="56">
        <f>IF(OR(CC$4="",$B17=""),0,SUMIF('DADOS BRUTOS'!$A$3:$A$500,$B17,'DADOS BRUTOS'!C$3:C$500)+IF($C17="",0,SUMIF('DADOS BRUTOS'!$A$3:$A$500,$C17,'DADOS BRUTOS'!C$3:C$500)))</f>
        <v/>
      </c>
      <c r="CD17" s="56">
        <f>IF(OR(CD$4="",$B17=""),0,SUMIF('DADOS BRUTOS'!$A$3:$A$500,$B17,'DADOS BRUTOS'!D$3:D$500)+IF($C17="",0,SUMIF('DADOS BRUTOS'!$A$3:$A$500,$C17,'DADOS BRUTOS'!D$3:D$500)))</f>
        <v/>
      </c>
      <c r="CE17" s="56">
        <f>IF(OR(CE$4="",$B17=""),0,SUMIF('DADOS BRUTOS'!$A$3:$A$500,$B17,'DADOS BRUTOS'!E$3:E$500)+IF($C17="",0,SUMIF('DADOS BRUTOS'!$A$3:$A$500,$C17,'DADOS BRUTOS'!E$3:E$500)))</f>
        <v/>
      </c>
      <c r="CF17" s="56">
        <f>IF(OR(CF$4="",$B17=""),0,SUMIF('DADOS BRUTOS'!$A$3:$A$500,$B17,'DADOS BRUTOS'!F$3:F$500)+IF($C17="",0,SUMIF('DADOS BRUTOS'!$A$3:$A$500,$C17,'DADOS BRUTOS'!F$3:F$500)))</f>
        <v/>
      </c>
      <c r="CG17" s="56">
        <f>IF(OR(CG$4="",$B17=""),0,SUMIF('DADOS BRUTOS'!$A$3:$A$500,$B17,'DADOS BRUTOS'!G$3:G$500)+IF($C17="",0,SUMIF('DADOS BRUTOS'!$A$3:$A$500,$C17,'DADOS BRUTOS'!G$3:G$500)))</f>
        <v/>
      </c>
      <c r="CH17" s="56">
        <f>IF(OR(CH$4="",$B17=""),0,SUMIF('DADOS BRUTOS'!$A$3:$A$500,$B17,'DADOS BRUTOS'!H$3:H$500)+IF($C17="",0,SUMIF('DADOS BRUTOS'!$A$3:$A$500,$C17,'DADOS BRUTOS'!H$3:H$500)))</f>
        <v/>
      </c>
      <c r="CI17" s="56">
        <f>IF(OR(CI$4="",$B17=""),0,SUMIF('DADOS BRUTOS'!$A$3:$A$500,$B17,'DADOS BRUTOS'!I$3:I$500)+IF($C17="",0,SUMIF('DADOS BRUTOS'!$A$3:$A$500,$C17,'DADOS BRUTOS'!I$3:I$500)))</f>
        <v/>
      </c>
      <c r="CJ17" s="56">
        <f>IF(OR(CJ$4="",$B17=""),0,SUMIF('DADOS BRUTOS'!$A$3:$A$500,$B17,'DADOS BRUTOS'!J$3:J$500)+IF($C17="",0,SUMIF('DADOS BRUTOS'!$A$3:$A$500,$C17,'DADOS BRUTOS'!J$3:J$500)))</f>
        <v/>
      </c>
      <c r="CK17" s="56">
        <f>IF(OR(CK$4="",$B17=""),0,SUMIF('DADOS BRUTOS'!$A$3:$A$500,$B17,'DADOS BRUTOS'!K$3:K$500)+IF($C17="",0,SUMIF('DADOS BRUTOS'!$A$3:$A$500,$C17,'DADOS BRUTOS'!K$3:K$500)))</f>
        <v/>
      </c>
      <c r="CL17" s="56">
        <f>IF(OR(CL$4="",$B17=""),0,SUMIF('DADOS BRUTOS'!$A$3:$A$500,$B17,'DADOS BRUTOS'!L$3:L$500)+IF($C17="",0,SUMIF('DADOS BRUTOS'!$A$3:$A$500,$C17,'DADOS BRUTOS'!L$3:L$500)))</f>
        <v/>
      </c>
      <c r="CM17" s="56">
        <f>IF(OR(CM$4="",$B17=""),0,SUMIF('DADOS BRUTOS'!$A$3:$A$500,$B17,'DADOS BRUTOS'!M$3:M$500)+IF($C17="",0,SUMIF('DADOS BRUTOS'!$A$3:$A$500,$C17,'DADOS BRUTOS'!M$3:M$500)))</f>
        <v/>
      </c>
      <c r="CN17" s="56">
        <f>IF(OR(CN$4="",$B17=""),0,SUMIF('DADOS BRUTOS'!$A$3:$A$500,$B17,'DADOS BRUTOS'!N$3:N$500)+IF($C17="",0,SUMIF('DADOS BRUTOS'!$A$3:$A$500,$C17,'DADOS BRUTOS'!N$3:N$500)))</f>
        <v/>
      </c>
      <c r="CO17" s="56">
        <f>IF(OR(CO$4="",$B17=""),0,SUMIF('DADOS BRUTOS'!$A$3:$A$500,$B17,'DADOS BRUTOS'!O$3:O$500)+IF($C17="",0,SUMIF('DADOS BRUTOS'!$A$3:$A$500,$C17,'DADOS BRUTOS'!O$3:O$500)))</f>
        <v/>
      </c>
      <c r="CP17" s="56">
        <f>IF(OR(CP$4="",$B17=""),0,SUMIF('DADOS BRUTOS'!$A$3:$A$500,$B17,'DADOS BRUTOS'!P$3:P$500)+IF($C17="",0,SUMIF('DADOS BRUTOS'!$A$3:$A$500,$C17,'DADOS BRUTOS'!P$3:P$500)))</f>
        <v/>
      </c>
      <c r="CQ17" s="56">
        <f>IF(OR(CQ$4="",$B17=""),0,SUMIF('DADOS BRUTOS'!$A$3:$A$500,$B17,'DADOS BRUTOS'!Q$3:Q$500)+IF($C17="",0,SUMIF('DADOS BRUTOS'!$A$3:$A$500,$C17,'DADOS BRUTOS'!Q$3:Q$500)))</f>
        <v/>
      </c>
      <c r="CR17" s="56">
        <f>IF(OR(CR$4="",$B17=""),0,SUMIF('DADOS BRUTOS'!$A$3:$A$500,$B17,'DADOS BRUTOS'!R$3:R$500)+IF($C17="",0,SUMIF('DADOS BRUTOS'!$A$3:$A$500,$C17,'DADOS BRUTOS'!R$3:R$500)))</f>
        <v/>
      </c>
      <c r="CS17" s="56">
        <f>IF(OR(CS$4="",$B17=""),0,SUMIF('DADOS BRUTOS'!$A$3:$A$500,$B17,'DADOS BRUTOS'!S$3:S$500)+IF($C17="",0,SUMIF('DADOS BRUTOS'!$A$3:$A$500,$C17,'DADOS BRUTOS'!S$3:S$500)))</f>
        <v/>
      </c>
      <c r="CT17" s="56">
        <f>IF(OR(CT$4="",$B17=""),0,SUMIF('DADOS BRUTOS'!$A$3:$A$500,$B17,'DADOS BRUTOS'!T$3:T$500)+IF($C17="",0,SUMIF('DADOS BRUTOS'!$A$3:$A$500,$C17,'DADOS BRUTOS'!T$3:T$500)))</f>
        <v/>
      </c>
      <c r="CU17" s="56">
        <f>IF(OR(CU$4="",$B17=""),0,SUMIF('DADOS BRUTOS'!$A$3:$A$500,$B17,'DADOS BRUTOS'!U$3:U$500)+IF($C17="",0,SUMIF('DADOS BRUTOS'!$A$3:$A$500,$C17,'DADOS BRUTOS'!U$3:U$500)))</f>
        <v/>
      </c>
      <c r="CV17" s="56">
        <f>IF(OR(CV$4="",$B17=""),0,SUMIF('DADOS BRUTOS'!$A$3:$A$500,$B17,'DADOS BRUTOS'!V$3:V$500)+IF($C17="",0,SUMIF('DADOS BRUTOS'!$A$3:$A$500,$C17,'DADOS BRUTOS'!V$3:V$500)))</f>
        <v/>
      </c>
      <c r="CW17" s="56">
        <f>IF(OR(CW$4="",$B17=""),0,SUMIF('DADOS BRUTOS'!$A$3:$A$500,$B17,'DADOS BRUTOS'!W$3:W$500)+IF($C17="",0,SUMIF('DADOS BRUTOS'!$A$3:$A$500,$C17,'DADOS BRUTOS'!W$3:W$500)))</f>
        <v/>
      </c>
      <c r="CX17" s="56">
        <f>IF(OR(CX$4="",$B17=""),0,SUMIF('DADOS BRUTOS'!$A$3:$A$500,$B17,'DADOS BRUTOS'!X$3:X$500)+IF($C17="",0,SUMIF('DADOS BRUTOS'!$A$3:$A$500,$C17,'DADOS BRUTOS'!X$3:X$500)))</f>
        <v/>
      </c>
      <c r="CY17" s="56">
        <f>IF(OR(CY$4="",$B17=""),0,SUMIF('DADOS BRUTOS'!$A$3:$A$500,$B17,'DADOS BRUTOS'!Y$3:Y$500)+IF($C17="",0,SUMIF('DADOS BRUTOS'!$A$3:$A$500,$C17,'DADOS BRUTOS'!Y$3:Y$500)))</f>
        <v/>
      </c>
      <c r="CZ17" s="56">
        <f>IF(OR(CZ$4="",$B17=""),0,SUMIF('DADOS BRUTOS'!$A$3:$A$500,$B17,'DADOS BRUTOS'!Z$3:Z$500)+IF($C17="",0,SUMIF('DADOS BRUTOS'!$A$3:$A$500,$C17,'DADOS BRUTOS'!Z$3:Z$500)))</f>
        <v/>
      </c>
      <c r="DA17" s="56">
        <f>IF(OR(DA$4="",$B17=""),0,SUMIF('DADOS BRUTOS'!$A$3:$A$500,$B17,'DADOS BRUTOS'!AA$3:AA$500)+IF($C17="",0,SUMIF('DADOS BRUTOS'!$A$3:$A$500,$C17,'DADOS BRUTOS'!AA$3:AA$500)))</f>
        <v/>
      </c>
      <c r="DB17" s="56">
        <f>IF(OR(DB$4="",$B17=""),0,SUMIF('DADOS BRUTOS'!$A$3:$A$500,$B17,'DADOS BRUTOS'!AB$3:AB$500)+IF($C17="",0,SUMIF('DADOS BRUTOS'!$A$3:$A$500,$C17,'DADOS BRUTOS'!AB$3:AB$500)))</f>
        <v/>
      </c>
      <c r="DC17" s="56">
        <f>IF(OR(DC$4="",$B17=""),0,SUMIF('DADOS BRUTOS'!$A$3:$A$500,$B17,'DADOS BRUTOS'!AC$3:AC$500)+IF($C17="",0,SUMIF('DADOS BRUTOS'!$A$3:$A$500,$C17,'DADOS BRUTOS'!AC$3:AC$500)))</f>
        <v/>
      </c>
      <c r="DD17" s="56">
        <f>IF(OR(DD$4="",$B17=""),0,SUMIF('DADOS BRUTOS'!$A$3:$A$500,$B17,'DADOS BRUTOS'!AD$3:AD$500)+IF($C17="",0,SUMIF('DADOS BRUTOS'!$A$3:$A$500,$C17,'DADOS BRUTOS'!AD$3:AD$500)))</f>
        <v/>
      </c>
      <c r="DE17" s="56">
        <f>IF(OR(DE$4="",$B17=""),0,SUMIF('DADOS BRUTOS'!$A$3:$A$500,$B17,'DADOS BRUTOS'!AE$3:AE$500)+IF($C17="",0,SUMIF('DADOS BRUTOS'!$A$3:$A$500,$C17,'DADOS BRUTOS'!AE$3:AE$500)))</f>
        <v/>
      </c>
      <c r="DF17" s="56">
        <f>IF(OR(DF$4="",$B17=""),0,SUMIF('DADOS BRUTOS'!$A$3:$A$500,$B17,'DADOS BRUTOS'!AF$3:AF$500)+IF($C17="",0,SUMIF('DADOS BRUTOS'!$A$3:$A$500,$C17,'DADOS BRUTOS'!AF$3:AF$500)))</f>
        <v/>
      </c>
      <c r="DG17" s="56">
        <f>IF(OR(DG$4="",$B17=""),0,SUMIF('DADOS BRUTOS'!$A$3:$A$500,$B17,'DADOS BRUTOS'!AG$3:AG$500)+IF($C17="",0,SUMIF('DADOS BRUTOS'!$A$3:$A$500,$C17,'DADOS BRUTOS'!AG$3:AG$500)))</f>
        <v/>
      </c>
      <c r="DH17" s="56">
        <f>IF(OR(DH$4="",$B17=""),0,SUMIF('DADOS BRUTOS'!$A$3:$A$500,$B17,'DADOS BRUTOS'!AH$3:AH$500)+IF($C17="",0,SUMIF('DADOS BRUTOS'!$A$3:$A$500,$C17,'DADOS BRUTOS'!AH$3:AH$500)))</f>
        <v/>
      </c>
      <c r="DI17" s="56">
        <f>IF(OR(DI$4="",$B17=""),0,SUMIF('DADOS BRUTOS'!$A$3:$A$500,$B17,'DADOS BRUTOS'!AI$3:AI$500)+IF($C17="",0,SUMIF('DADOS BRUTOS'!$A$3:$A$500,$C17,'DADOS BRUTOS'!AI$3:AI$500)))</f>
        <v/>
      </c>
      <c r="DJ17" s="56">
        <f>IF(OR(DJ$4="",$B17=""),0,SUMIF('DADOS BRUTOS'!$A$3:$A$500,$B17,'DADOS BRUTOS'!AJ$3:AJ$500)+IF($C17="",0,SUMIF('DADOS BRUTOS'!$A$3:$A$500,$C17,'DADOS BRUTOS'!AJ$3:AJ$500)))</f>
        <v/>
      </c>
      <c r="DK17" s="56">
        <f>IF(OR(DK$4="",$B17=""),0,SUMIF('DADOS BRUTOS'!$A$3:$A$500,$B17,'DADOS BRUTOS'!AK$3:AK$500)+IF($C17="",0,SUMIF('DADOS BRUTOS'!$A$3:$A$500,$C17,'DADOS BRUTOS'!AK$3:AK$500)))</f>
        <v/>
      </c>
      <c r="DL17" s="56">
        <f>IF(OR(DL$4="",$B17=""),0,SUMIF('DADOS BRUTOS'!$A$3:$A$500,$B17,'DADOS BRUTOS'!AL$3:AL$500)+IF($C17="",0,SUMIF('DADOS BRUTOS'!$A$3:$A$500,$C17,'DADOS BRUTOS'!AL$3:AL$500)))</f>
        <v/>
      </c>
      <c r="DM17" s="56">
        <f>IF(OR(DM$4="",$B17=""),0,SUMIF('DADOS BRUTOS'!$A$3:$A$500,$B17,'DADOS BRUTOS'!AM$3:AM$500)+IF($C17="",0,SUMIF('DADOS BRUTOS'!$A$3:$A$500,$C17,'DADOS BRUTOS'!AM$3:AM$500)))</f>
        <v/>
      </c>
      <c r="DN17" s="56">
        <f>IF(OR(DN$4="",$B17=""),0,SUMIF('DADOS BRUTOS'!$A$3:$A$500,$B17,'DADOS BRUTOS'!AN$3:AN$500)+IF($C17="",0,SUMIF('DADOS BRUTOS'!$A$3:$A$500,$C17,'DADOS BRUTOS'!AN$3:AN$500)))</f>
        <v/>
      </c>
      <c r="DO17" s="56">
        <f>IF(OR(DO$4="",$B17=""),0,SUMIF('DADOS BRUTOS'!$A$3:$A$500,$B17,'DADOS BRUTOS'!AO$3:AO$500)+IF($C17="",0,SUMIF('DADOS BRUTOS'!$A$3:$A$500,$C17,'DADOS BRUTOS'!AO$3:AO$500)))</f>
        <v/>
      </c>
      <c r="DP17" s="56">
        <f>IF(OR(DP$4="",$B17=""),0,SUMIF('DADOS BRUTOS'!$A$3:$A$500,$B17,'DADOS BRUTOS'!AP$3:AP$500)+IF($C17="",0,SUMIF('DADOS BRUTOS'!$A$3:$A$500,$C17,'DADOS BRUTOS'!AP$3:AP$500)))</f>
        <v/>
      </c>
      <c r="DQ17" s="56">
        <f>IF(OR(DQ$4="",$B17=""),0,SUMIF('DADOS BRUTOS'!$A$3:$A$500,$B17,'DADOS BRUTOS'!AQ$3:AQ$500)+IF($C17="",0,SUMIF('DADOS BRUTOS'!$A$3:$A$500,$C17,'DADOS BRUTOS'!AQ$3:AQ$500)))</f>
        <v/>
      </c>
      <c r="DR17" s="56">
        <f>IF(OR(DR$4="",$B17=""),0,SUMIF('DADOS BRUTOS'!$A$3:$A$500,$B17,'DADOS BRUTOS'!AR$3:AR$500)+IF($C17="",0,SUMIF('DADOS BRUTOS'!$A$3:$A$500,$C17,'DADOS BRUTOS'!AR$3:AR$500)))</f>
        <v/>
      </c>
      <c r="DS17" s="56">
        <f>IF(OR(DS$4="",$B17=""),0,SUMIF('DADOS BRUTOS'!$A$3:$A$500,$B17,'DADOS BRUTOS'!AS$3:AS$500)+IF($C17="",0,SUMIF('DADOS BRUTOS'!$A$3:$A$500,$C17,'DADOS BRUTOS'!AS$3:AS$500)))</f>
        <v/>
      </c>
      <c r="DT17" s="56">
        <f>IF(OR(DT$4="",$B17=""),0,SUMIF('DADOS BRUTOS'!$A$3:$A$500,$B17,'DADOS BRUTOS'!AT$3:AT$500)+IF($C17="",0,SUMIF('DADOS BRUTOS'!$A$3:$A$500,$C17,'DADOS BRUTOS'!AT$3:AT$500)))</f>
        <v/>
      </c>
      <c r="DU17" s="56">
        <f>IF(OR(DU$4="",$B17=""),0,SUMIF('DADOS BRUTOS'!$A$3:$A$500,$B17,'DADOS BRUTOS'!AU$3:AU$500)+IF($C17="",0,SUMIF('DADOS BRUTOS'!$A$3:$A$500,$C17,'DADOS BRUTOS'!AU$3:AU$500)))</f>
        <v/>
      </c>
      <c r="DV17" s="56">
        <f>IF(OR(DV$4="",$B17=""),0,SUMIF('DADOS BRUTOS'!$A$3:$A$500,$B17,'DADOS BRUTOS'!AV$3:AV$500)+IF($C17="",0,SUMIF('DADOS BRUTOS'!$A$3:$A$500,$C17,'DADOS BRUTOS'!AV$3:AV$500)))</f>
        <v/>
      </c>
      <c r="DW17" s="56">
        <f>IF(OR(DW$4="",$B17=""),0,SUMIF('DADOS BRUTOS'!$A$3:$A$500,$B17,'DADOS BRUTOS'!AW$3:AW$500)+IF($C17="",0,SUMIF('DADOS BRUTOS'!$A$3:$A$500,$C17,'DADOS BRUTOS'!AW$3:AW$500)))</f>
        <v/>
      </c>
      <c r="DX17" s="56">
        <f>IF(OR(DX$4="",$B17=""),0,SUMIF('DADOS BRUTOS'!$A$3:$A$500,$B17,'DADOS BRUTOS'!AX$3:AX$500)+IF($C17="",0,SUMIF('DADOS BRUTOS'!$A$3:$A$500,$C17,'DADOS BRUTOS'!AX$3:AX$500)))</f>
        <v/>
      </c>
      <c r="DY17" s="56">
        <f>IF(OR(DY$4="",$B17=""),0,SUMIF('DADOS BRUTOS'!$A$3:$A$500,$B17,'DADOS BRUTOS'!AY$3:AY$500)+IF($C17="",0,SUMIF('DADOS BRUTOS'!$A$3:$A$500,$C17,'DADOS BRUTOS'!AY$3:AY$500)))</f>
        <v/>
      </c>
      <c r="DZ17" s="56">
        <f>IF(OR(DZ$4="",$B17=""),0,SUMIF('DADOS BRUTOS'!$A$3:$A$500,$B17,'DADOS BRUTOS'!AZ$3:AZ$500)+IF($C17="",0,SUMIF('DADOS BRUTOS'!$A$3:$A$500,$C17,'DADOS BRUTOS'!AZ$3:AZ$500)))</f>
        <v/>
      </c>
      <c r="EA17" s="56">
        <f>IF(OR(EA$4="",$B17=""),0,SUMIF('DADOS BRUTOS'!$A$3:$A$500,$B17,'DADOS BRUTOS'!BA$3:BA$500)+IF($C17="",0,SUMIF('DADOS BRUTOS'!$A$3:$A$500,$C17,'DADOS BRUTOS'!BA$3:BA$500)))</f>
        <v/>
      </c>
      <c r="EB17" s="56">
        <f>IF(OR(EB$4="",$B17=""),0,SUMIF('DADOS BRUTOS'!$A$3:$A$500,$B17,'DADOS BRUTOS'!BB$3:BB$500)+IF($C17="",0,SUMIF('DADOS BRUTOS'!$A$3:$A$500,$C17,'DADOS BRUTOS'!BB$3:BB$500)))</f>
        <v/>
      </c>
      <c r="EC17" s="56">
        <f>IF(OR(EC$4="",$B17=""),0,SUMIF('DADOS BRUTOS'!$A$3:$A$500,$B17,'DADOS BRUTOS'!BC$3:BC$500)+IF($C17="",0,SUMIF('DADOS BRUTOS'!$A$3:$A$500,$C17,'DADOS BRUTOS'!BC$3:BC$500)))</f>
        <v/>
      </c>
      <c r="ED17" s="56">
        <f>IF(OR(ED$4="",$B17=""),0,SUMIF('DADOS BRUTOS'!$A$3:$A$500,$B17,'DADOS BRUTOS'!BD$3:BD$500)+IF($C17="",0,SUMIF('DADOS BRUTOS'!$A$3:$A$500,$C17,'DADOS BRUTOS'!BD$3:BD$500)))</f>
        <v/>
      </c>
      <c r="EE17" s="56">
        <f>IF(OR(EE$4="",$B17=""),0,SUMIF('DADOS BRUTOS'!$A$3:$A$500,$B17,'DADOS BRUTOS'!BE$3:BE$500)+IF($C17="",0,SUMIF('DADOS BRUTOS'!$A$3:$A$500,$C17,'DADOS BRUTOS'!BE$3:BE$500)))</f>
        <v/>
      </c>
      <c r="EF17" s="56">
        <f>IF(OR(EF$4="",$B17=""),0,SUMIF('DADOS BRUTOS'!$A$3:$A$500,$B17,'DADOS BRUTOS'!BF$3:BF$500)+IF($C17="",0,SUMIF('DADOS BRUTOS'!$A$3:$A$500,$C17,'DADOS BRUTOS'!BF$3:BF$500)))</f>
        <v/>
      </c>
      <c r="EG17" s="56">
        <f>IF(OR(EG$4="",$B17=""),0,SUMIF('DADOS BRUTOS'!$A$3:$A$500,$B17,'DADOS BRUTOS'!BG$3:BG$500)+IF($C17="",0,SUMIF('DADOS BRUTOS'!$A$3:$A$500,$C17,'DADOS BRUTOS'!BG$3:BG$500)))</f>
        <v/>
      </c>
      <c r="EH17" s="56">
        <f>IF(OR(EH$4="",$B17=""),0,SUMIF('DADOS BRUTOS'!$A$3:$A$500,$B17,'DADOS BRUTOS'!BH$3:BH$500)+IF($C17="",0,SUMIF('DADOS BRUTOS'!$A$3:$A$500,$C17,'DADOS BRUTOS'!BH$3:BH$500)))</f>
        <v/>
      </c>
      <c r="EI17" s="56">
        <f>IF(OR(EI$4="",$B17=""),0,SUMIF('DADOS BRUTOS'!$A$3:$A$500,$B17,'DADOS BRUTOS'!BI$3:BI$500)+IF($C17="",0,SUMIF('DADOS BRUTOS'!$A$3:$A$500,$C17,'DADOS BRUTOS'!BI$3:BI$500)))</f>
        <v/>
      </c>
      <c r="EJ17" s="56">
        <f>IF(OR(EJ$4="",$B17=""),0,SUMIF('DADOS BRUTOS'!$A$3:$A$500,$B17,'DADOS BRUTOS'!BJ$3:BJ$500)+IF($C17="",0,SUMIF('DADOS BRUTOS'!$A$3:$A$500,$C17,'DADOS BRUTOS'!BJ$3:BJ$500)))</f>
        <v/>
      </c>
      <c r="EK17" s="56">
        <f>IF(OR(EK$4="",$B17=""),0,SUMIF('DADOS BRUTOS'!$A$3:$A$500,$B17,'DADOS BRUTOS'!BK$3:BK$500)+IF($C17="",0,SUMIF('DADOS BRUTOS'!$A$3:$A$500,$C17,'DADOS BRUTOS'!BK$3:BK$500)))</f>
        <v/>
      </c>
      <c r="EL17" s="56">
        <f>IF(OR(EL$4="",$B17=""),0,SUMIF('DADOS BRUTOS'!$A$3:$A$500,$B17,'DADOS BRUTOS'!BL$3:BL$500)+IF($C17="",0,SUMIF('DADOS BRUTOS'!$A$3:$A$500,$C17,'DADOS BRUTOS'!BL$3:BL$500)))</f>
        <v/>
      </c>
      <c r="EM17" s="56">
        <f>IF(OR(EM$4="",$B17=""),0,SUMIF('DADOS BRUTOS'!$A$3:$A$500,$B17,'DADOS BRUTOS'!BM$3:BM$500)+IF($C17="",0,SUMIF('DADOS BRUTOS'!$A$3:$A$500,$C17,'DADOS BRUTOS'!BM$3:BM$500)))</f>
        <v/>
      </c>
      <c r="EN17" s="56">
        <f>IF(OR(EN$4="",$B17=""),0,SUMIF('DADOS BRUTOS'!$A$3:$A$500,$B17,'DADOS BRUTOS'!BN$3:BN$500)+IF($C17="",0,SUMIF('DADOS BRUTOS'!$A$3:$A$500,$C17,'DADOS BRUTOS'!BN$3:BN$500)))</f>
        <v/>
      </c>
      <c r="EO17" s="56">
        <f>IF(OR(EO$4="",$B17=""),0,SUMIF('DADOS BRUTOS'!$A$3:$A$500,$B17,'DADOS BRUTOS'!BO$3:BO$500)+IF($C17="",0,SUMIF('DADOS BRUTOS'!$A$3:$A$500,$C17,'DADOS BRUTOS'!BO$3:BO$500)))</f>
        <v/>
      </c>
      <c r="EP17" s="56">
        <f>IF(OR(EP$4="",$B17=""),0,SUMIF('DADOS BRUTOS'!$A$3:$A$500,$B17,'DADOS BRUTOS'!BP$3:BP$500)+IF($C17="",0,SUMIF('DADOS BRUTOS'!$A$3:$A$500,$C17,'DADOS BRUTOS'!BP$3:BP$500)))</f>
        <v/>
      </c>
      <c r="EQ17" s="56">
        <f>IF(OR(EQ$4="",$B17=""),0,SUMIF('DADOS BRUTOS'!$A$3:$A$500,$B17,'DADOS BRUTOS'!BQ$3:BQ$500)+IF($C17="",0,SUMIF('DADOS BRUTOS'!$A$3:$A$500,$C17,'DADOS BRUTOS'!BQ$3:BQ$500)))</f>
        <v/>
      </c>
      <c r="ER17" s="56">
        <f>IF(OR(ER$4="",$B17=""),0,SUMIF('DADOS BRUTOS'!$A$3:$A$500,$B17,'DADOS BRUTOS'!BR$3:BR$500)+IF($C17="",0,SUMIF('DADOS BRUTOS'!$A$3:$A$500,$C17,'DADOS BRUTOS'!BR$3:BR$500)))</f>
        <v/>
      </c>
      <c r="ES17" s="56">
        <f>IF(OR(ES$4="",$B17=""),0,SUMIF('DADOS BRUTOS'!$A$3:$A$500,$B17,'DADOS BRUTOS'!BS$3:BS$500)+IF($C17="",0,SUMIF('DADOS BRUTOS'!$A$3:$A$500,$C17,'DADOS BRUTOS'!BS$3:BS$500)))</f>
        <v/>
      </c>
      <c r="ET17" s="56">
        <f>IF(OR(ET$4="",$B17=""),0,SUMIF('DADOS BRUTOS'!$A$3:$A$500,$B17,'DADOS BRUTOS'!BT$3:BT$500)+IF($C17="",0,SUMIF('DADOS BRUTOS'!$A$3:$A$500,$C17,'DADOS BRUTOS'!BT$3:BT$500)))</f>
        <v/>
      </c>
      <c r="EU17" s="56">
        <f>IF(OR(EU$4="",$B17=""),0,SUMIF('DADOS BRUTOS'!$A$3:$A$500,$B17,'DADOS BRUTOS'!BU$3:BU$500)+IF($C17="",0,SUMIF('DADOS BRUTOS'!$A$3:$A$500,$C17,'DADOS BRUTOS'!BU$3:BU$500)))</f>
        <v/>
      </c>
      <c r="EV17" s="56">
        <f>IF(OR(EV$4="",$B17=""),0,SUMIF('DADOS BRUTOS'!$A$3:$A$500,$B17,'DADOS BRUTOS'!BV$3:BV$500)+IF($C17="",0,SUMIF('DADOS BRUTOS'!$A$3:$A$500,$C17,'DADOS BRUTOS'!BV$3:BV$500)))</f>
        <v/>
      </c>
      <c r="EW17" s="56">
        <f>IF(OR(EW$4="",$B17=""),0,SUMIF('DADOS BRUTOS'!$A$3:$A$500,$B17,'DADOS BRUTOS'!BW$3:BW$500)+IF($C17="",0,SUMIF('DADOS BRUTOS'!$A$3:$A$500,$C17,'DADOS BRUTOS'!BW$3:BW$500)))</f>
        <v/>
      </c>
      <c r="EX17" s="56">
        <f>IF(OR(EX$4="",$B17=""),0,SUMIF('DADOS BRUTOS'!$A$3:$A$500,$B17,'DADOS BRUTOS'!BX$3:BX$500)+IF($C17="",0,SUMIF('DADOS BRUTOS'!$A$3:$A$500,$C17,'DADOS BRUTOS'!BX$3:BX$500)))</f>
        <v/>
      </c>
      <c r="EY17" s="56">
        <f>IF(OR(EY$4="",$B17=""),0,SUMIF('DADOS BRUTOS'!$A$3:$A$500,$B17,'DADOS BRUTOS'!BY$3:BY$500)+IF($C17="",0,SUMIF('DADOS BRUTOS'!$A$3:$A$500,$C17,'DADOS BRUTOS'!BY$3:BY$500)))</f>
        <v/>
      </c>
      <c r="EZ17" s="56">
        <f>IF(OR(EZ$4="",$B17=""),0,SUMIF('DADOS BRUTOS'!$A$3:$A$500,$B17,'DADOS BRUTOS'!BZ$3:BZ$500)+IF($C17="",0,SUMIF('DADOS BRUTOS'!$A$3:$A$500,$C17,'DADOS BRUTOS'!BZ$3:BZ$500)))</f>
        <v/>
      </c>
      <c r="FA17" s="56">
        <f>IF(OR(FA$4="",$B17=""),0,SUMIF('DADOS BRUTOS'!$A$3:$A$500,$B17,'DADOS BRUTOS'!CA$3:CA$500)+IF($C17="",0,SUMIF('DADOS BRUTOS'!$A$3:$A$500,$C17,'DADOS BRUTOS'!CA$3:CA$500)))</f>
        <v/>
      </c>
      <c r="FB17" s="56">
        <f>IF(OR(FB$4="",$B17=""),0,SUMIF('DADOS BRUTOS'!$A$3:$A$500,$B17,'DADOS BRUTOS'!CB$3:CB$500)+IF($C17="",0,SUMIF('DADOS BRUTOS'!$A$3:$A$500,$C17,'DADOS BRUTOS'!CB$3:CB$500)))</f>
        <v/>
      </c>
      <c r="FC17" s="56">
        <f>IF(OR(FC$4="",$B17=""),0,SUMIF('DADOS BRUTOS'!$A$3:$A$500,$B17,'DADOS BRUTOS'!CC$3:CC$500)+IF($C17="",0,SUMIF('DADOS BRUTOS'!$A$3:$A$500,$C17,'DADOS BRUTOS'!CC$3:CC$500)))</f>
        <v/>
      </c>
      <c r="FD17" s="56">
        <f>IF(OR(FD$4="",$B17=""),0,SUMIF('DADOS BRUTOS'!$A$3:$A$500,$B17,'DADOS BRUTOS'!CD$3:CD$500)+IF($C17="",0,SUMIF('DADOS BRUTOS'!$A$3:$A$500,$C17,'DADOS BRUTOS'!CD$3:CD$500)))</f>
        <v/>
      </c>
      <c r="FE17" s="56">
        <f>IF(OR(FE$4="",$B17=""),0,SUMIF('DADOS BRUTOS'!$A$3:$A$500,$B17,'DADOS BRUTOS'!CE$3:CE$500)+IF($C17="",0,SUMIF('DADOS BRUTOS'!$A$3:$A$500,$C17,'DADOS BRUTOS'!CE$3:CE$500)))</f>
        <v/>
      </c>
      <c r="FF17" s="56">
        <f>IF(OR(FF$4="",$B17=""),0,SUMIF('DADOS BRUTOS'!$A$3:$A$500,$B17,'DADOS BRUTOS'!CF$3:CF$500)+IF($C17="",0,SUMIF('DADOS BRUTOS'!$A$3:$A$500,$C17,'DADOS BRUTOS'!CF$3:CF$500)))</f>
        <v/>
      </c>
      <c r="FG17" s="56">
        <f>IF(OR(FG$4="",$B17=""),0,SUMIF('DADOS BRUTOS'!$A$3:$A$500,$B17,'DADOS BRUTOS'!CG$3:CG$500)+IF($C17="",0,SUMIF('DADOS BRUTOS'!$A$3:$A$500,$C17,'DADOS BRUTOS'!CG$3:CG$500)))</f>
        <v/>
      </c>
      <c r="FH17" s="56">
        <f>IF(OR(FH$4="",$B17=""),0,SUMIF('DADOS BRUTOS'!$A$3:$A$500,$B17,'DADOS BRUTOS'!CH$3:CH$500)+IF($C17="",0,SUMIF('DADOS BRUTOS'!$A$3:$A$500,$C17,'DADOS BRUTOS'!CH$3:CH$500)))</f>
        <v/>
      </c>
      <c r="FI17" s="56">
        <f>IF(OR(FI$4="",$B17=""),0,SUMIF('DADOS BRUTOS'!$A$3:$A$500,$B17,'DADOS BRUTOS'!CI$3:CI$500)+IF($C17="",0,SUMIF('DADOS BRUTOS'!$A$3:$A$500,$C17,'DADOS BRUTOS'!CI$3:CI$500)))</f>
        <v/>
      </c>
      <c r="FJ17" s="56">
        <f>IF(OR(FJ$4="",$B17=""),0,SUMIF('DADOS BRUTOS'!$A$3:$A$500,$B17,'DADOS BRUTOS'!CJ$3:CJ$500)+IF($C17="",0,SUMIF('DADOS BRUTOS'!$A$3:$A$500,$C17,'DADOS BRUTOS'!CJ$3:CJ$500)))</f>
        <v/>
      </c>
      <c r="FK17" s="56">
        <f>IF(OR(FK$4="",$B17=""),0,SUMIF('DADOS BRUTOS'!$A$3:$A$500,$B17,'DADOS BRUTOS'!CK$3:CK$500)+IF($C17="",0,SUMIF('DADOS BRUTOS'!$A$3:$A$500,$C17,'DADOS BRUTOS'!CK$3:CK$500)))</f>
        <v/>
      </c>
      <c r="FL17" s="56">
        <f>IF(OR(FL$4="",$B17=""),0,SUMIF('DADOS BRUTOS'!$A$3:$A$500,$B17,'DADOS BRUTOS'!CL$3:CL$500)+IF($C17="",0,SUMIF('DADOS BRUTOS'!$A$3:$A$500,$C17,'DADOS BRUTOS'!CL$3:CL$500)))</f>
        <v/>
      </c>
      <c r="FM17" s="56">
        <f>IF(OR(FM$4="",$B17=""),0,SUMIF('DADOS BRUTOS'!$A$3:$A$500,$B17,'DADOS BRUTOS'!CM$3:CM$500)+IF($C17="",0,SUMIF('DADOS BRUTOS'!$A$3:$A$500,$C17,'DADOS BRUTOS'!CM$3:CM$500)))</f>
        <v/>
      </c>
      <c r="FN17" s="56">
        <f>IF(OR(FN$4="",$B17=""),0,SUMIF('DADOS BRUTOS'!$A$3:$A$500,$B17,'DADOS BRUTOS'!CN$3:CN$500)+IF($C17="",0,SUMIF('DADOS BRUTOS'!$A$3:$A$500,$C17,'DADOS BRUTOS'!CN$3:CN$500)))</f>
        <v/>
      </c>
      <c r="FO17" s="56">
        <f>IF(OR(FO$4="",$B17=""),0,SUMIF('DADOS BRUTOS'!$A$3:$A$500,$B17,'DADOS BRUTOS'!CO$3:CO$500)+IF($C17="",0,SUMIF('DADOS BRUTOS'!$A$3:$A$500,$C17,'DADOS BRUTOS'!CO$3:CO$500)))</f>
        <v/>
      </c>
      <c r="FP17" s="56">
        <f>IF(OR(FP$4="",$B17=""),0,SUMIF('DADOS BRUTOS'!$A$3:$A$500,$B17,'DADOS BRUTOS'!CP$3:CP$500)+IF($C17="",0,SUMIF('DADOS BRUTOS'!$A$3:$A$500,$C17,'DADOS BRUTOS'!CP$3:CP$500)))</f>
        <v/>
      </c>
      <c r="FQ17" s="56">
        <f>IF(OR(FQ$4="",$B17=""),0,SUMIF('DADOS BRUTOS'!$A$3:$A$500,$B17,'DADOS BRUTOS'!CQ$3:CQ$500)+IF($C17="",0,SUMIF('DADOS BRUTOS'!$A$3:$A$500,$C17,'DADOS BRUTOS'!CQ$3:CQ$500)))</f>
        <v/>
      </c>
      <c r="FR17" s="56">
        <f>IF(OR(FR$4="",$B17=""),0,SUMIF('DADOS BRUTOS'!$A$3:$A$500,$B17,'DADOS BRUTOS'!CR$3:CR$500)+IF($C17="",0,SUMIF('DADOS BRUTOS'!$A$3:$A$500,$C17,'DADOS BRUTOS'!CR$3:CR$500)))</f>
        <v/>
      </c>
      <c r="FS17" s="56">
        <f>IF(OR(FS$4="",$B17=""),0,SUMIF('DADOS BRUTOS'!$A$3:$A$500,$B17,'DADOS BRUTOS'!CS$3:CS$500)+IF($C17="",0,SUMIF('DADOS BRUTOS'!$A$3:$A$500,$C17,'DADOS BRUTOS'!CS$3:CS$500)))</f>
        <v/>
      </c>
      <c r="FT17" s="56">
        <f>IF(OR(FT$4="",$B17=""),0,SUMIF('DADOS BRUTOS'!$A$3:$A$500,$B17,'DADOS BRUTOS'!CT$3:CT$500)+IF($C17="",0,SUMIF('DADOS BRUTOS'!$A$3:$A$500,$C17,'DADOS BRUTOS'!CT$3:CT$500)))</f>
        <v/>
      </c>
      <c r="FU17" s="56">
        <f>IF(OR(FU$4="",$B17=""),0,SUMIF('DADOS BRUTOS'!$A$3:$A$500,$B17,'DADOS BRUTOS'!CU$3:CU$500)+IF($C17="",0,SUMIF('DADOS BRUTOS'!$A$3:$A$500,$C17,'DADOS BRUTOS'!CU$3:CU$500)))</f>
        <v/>
      </c>
      <c r="FV17" s="56">
        <f>IF(OR(FV$4="",$B17=""),0,SUMIF('DADOS BRUTOS'!$A$3:$A$500,$B17,'DADOS BRUTOS'!CV$3:CV$500)+IF($C17="",0,SUMIF('DADOS BRUTOS'!$A$3:$A$500,$C17,'DADOS BRUTOS'!CV$3:CV$500)))</f>
        <v/>
      </c>
      <c r="FW17" s="56">
        <f>IF(OR(FW$4="",$B17=""),0,SUMIF('DADOS BRUTOS'!$A$3:$A$500,$B17,'DADOS BRUTOS'!CW$3:CW$500)+IF($C17="",0,SUMIF('DADOS BRUTOS'!$A$3:$A$500,$C17,'DADOS BRUTOS'!CW$3:CW$500)))</f>
        <v/>
      </c>
      <c r="FX17" s="56">
        <f>IF(OR(FX$4="",$B17=""),0,SUMIF('DADOS BRUTOS'!$A$3:$A$500,$B17,'DADOS BRUTOS'!CX$3:CX$500)+IF($C17="",0,SUMIF('DADOS BRUTOS'!$A$3:$A$500,$C17,'DADOS BRUTOS'!CX$3:CX$500)))</f>
        <v/>
      </c>
      <c r="FY17" s="56">
        <f>IF(OR(FY$4="",$B17=""),0,SUMIF('DADOS BRUTOS'!$A$3:$A$500,$B17,'DADOS BRUTOS'!CY$3:CY$500)+IF($C17="",0,SUMIF('DADOS BRUTOS'!$A$3:$A$500,$C17,'DADOS BRUTOS'!CY$3:CY$500)))</f>
        <v/>
      </c>
      <c r="FZ17" s="56">
        <f>IF(OR(FZ$4="",$B17=""),0,SUMIF('DADOS BRUTOS'!$A$3:$A$500,$B17,'DADOS BRUTOS'!CZ$3:CZ$500)+IF($C17="",0,SUMIF('DADOS BRUTOS'!$A$3:$A$500,$C17,'DADOS BRUTOS'!CZ$3:CZ$500)))</f>
        <v/>
      </c>
      <c r="GA17" s="56">
        <f>IF(OR(GA$4="",$B17=""),0,SUMIF('DADOS BRUTOS'!$A$3:$A$500,$B17,'DADOS BRUTOS'!DA$3:DA$500)+IF($C17="",0,SUMIF('DADOS BRUTOS'!$A$3:$A$500,$C17,'DADOS BRUTOS'!DA$3:DA$500)))</f>
        <v/>
      </c>
      <c r="GB17" s="56">
        <f>IF(OR(GB$4="",$B17=""),0,SUMIF('DADOS BRUTOS'!$A$3:$A$500,$B17,'DADOS BRUTOS'!DB$3:DB$500)+IF($C17="",0,SUMIF('DADOS BRUTOS'!$A$3:$A$500,$C17,'DADOS BRUTOS'!DB$3:DB$500)))</f>
        <v/>
      </c>
      <c r="GC17" s="56">
        <f>IF(OR(GC$4="",$B17=""),0,SUMIF('DADOS BRUTOS'!$A$3:$A$500,$B17,'DADOS BRUTOS'!DC$3:DC$500)+IF($C17="",0,SUMIF('DADOS BRUTOS'!$A$3:$A$500,$C17,'DADOS BRUTOS'!DC$3:DC$500)))</f>
        <v/>
      </c>
      <c r="GD17" s="56">
        <f>IF(OR(GD$4="",$B17=""),0,SUMIF('DADOS BRUTOS'!$A$3:$A$500,$B17,'DADOS BRUTOS'!DD$3:DD$500)+IF($C17="",0,SUMIF('DADOS BRUTOS'!$A$3:$A$500,$C17,'DADOS BRUTOS'!DD$3:DD$500)))</f>
        <v/>
      </c>
      <c r="GE17" s="56">
        <f>IF(OR(GE$4="",$B17=""),0,SUMIF('DADOS BRUTOS'!$A$3:$A$500,$B17,'DADOS BRUTOS'!DE$3:DE$500)+IF($C17="",0,SUMIF('DADOS BRUTOS'!$A$3:$A$500,$C17,'DADOS BRUTOS'!DE$3:DE$500)))</f>
        <v/>
      </c>
      <c r="GF17" s="56">
        <f>IF(OR(GF$4="",$B17=""),0,SUMIF('DADOS BRUTOS'!$A$3:$A$500,$B17,'DADOS BRUTOS'!DF$3:DF$500)+IF($C17="",0,SUMIF('DADOS BRUTOS'!$A$3:$A$500,$C17,'DADOS BRUTOS'!DF$3:DF$500)))</f>
        <v/>
      </c>
      <c r="GG17" s="56">
        <f>IF(OR(GG$4="",$B17=""),0,SUMIF('DADOS BRUTOS'!$A$3:$A$500,$B17,'DADOS BRUTOS'!DG$3:DG$500)+IF($C17="",0,SUMIF('DADOS BRUTOS'!$A$3:$A$500,$C17,'DADOS BRUTOS'!DG$3:DG$500)))</f>
        <v/>
      </c>
      <c r="GH17" s="56">
        <f>IF(OR(GH$4="",$B17=""),0,SUMIF('DADOS BRUTOS'!$A$3:$A$500,$B17,'DADOS BRUTOS'!DH$3:DH$500)+IF($C17="",0,SUMIF('DADOS BRUTOS'!$A$3:$A$500,$C17,'DADOS BRUTOS'!DH$3:DH$500)))</f>
        <v/>
      </c>
      <c r="GI17" s="56">
        <f>IF(OR(GI$4="",$B17=""),0,SUMIF('DADOS BRUTOS'!$A$3:$A$500,$B17,'DADOS BRUTOS'!DI$3:DI$500)+IF($C17="",0,SUMIF('DADOS BRUTOS'!$A$3:$A$500,$C17,'DADOS BRUTOS'!DI$3:DI$500)))</f>
        <v/>
      </c>
      <c r="GJ17" s="56">
        <f>IF(OR(GJ$4="",$B17=""),0,SUMIF('DADOS BRUTOS'!$A$3:$A$500,$B17,'DADOS BRUTOS'!DJ$3:DJ$500)+IF($C17="",0,SUMIF('DADOS BRUTOS'!$A$3:$A$500,$C17,'DADOS BRUTOS'!DJ$3:DJ$500)))</f>
        <v/>
      </c>
      <c r="GK17" s="56">
        <f>IF(OR(GK$4="",$B17=""),0,SUMIF('DADOS BRUTOS'!$A$3:$A$500,$B17,'DADOS BRUTOS'!DK$3:DK$500)+IF($C17="",0,SUMIF('DADOS BRUTOS'!$A$3:$A$500,$C17,'DADOS BRUTOS'!DK$3:DK$500)))</f>
        <v/>
      </c>
      <c r="GL17" s="56">
        <f>IF(OR(GL$4="",$B17=""),0,SUMIF('DADOS BRUTOS'!$A$3:$A$500,$B17,'DADOS BRUTOS'!DL$3:DL$500)+IF($C17="",0,SUMIF('DADOS BRUTOS'!$A$3:$A$500,$C17,'DADOS BRUTOS'!DL$3:DL$500)))</f>
        <v/>
      </c>
      <c r="GM17" s="56">
        <f>IF(OR(GM$4="",$B17=""),0,SUMIF('DADOS BRUTOS'!$A$3:$A$500,$B17,'DADOS BRUTOS'!DM$3:DM$500)+IF($C17="",0,SUMIF('DADOS BRUTOS'!$A$3:$A$500,$C17,'DADOS BRUTOS'!DM$3:DM$500)))</f>
        <v/>
      </c>
      <c r="GN17" s="56">
        <f>IF(OR(GN$4="",$B17=""),0,SUMIF('DADOS BRUTOS'!$A$3:$A$500,$B17,'DADOS BRUTOS'!DN$3:DN$500)+IF($C17="",0,SUMIF('DADOS BRUTOS'!$A$3:$A$500,$C17,'DADOS BRUTOS'!DN$3:DN$500)))</f>
        <v/>
      </c>
      <c r="GO17" s="56">
        <f>IF(OR(GO$4="",$B17=""),0,SUMIF('DADOS BRUTOS'!$A$3:$A$500,$B17,'DADOS BRUTOS'!DO$3:DO$500)+IF($C17="",0,SUMIF('DADOS BRUTOS'!$A$3:$A$500,$C17,'DADOS BRUTOS'!DO$3:DO$500)))</f>
        <v/>
      </c>
      <c r="GP17" s="56">
        <f>IF(OR(GP$4="",$B17=""),0,SUMIF('DADOS BRUTOS'!$A$3:$A$500,$B17,'DADOS BRUTOS'!DP$3:DP$500)+IF($C17="",0,SUMIF('DADOS BRUTOS'!$A$3:$A$500,$C17,'DADOS BRUTOS'!DP$3:DP$500)))</f>
        <v/>
      </c>
      <c r="GQ17" s="56">
        <f>IF(OR(GQ$4="",$B17=""),0,SUMIF('DADOS BRUTOS'!$A$3:$A$500,$B17,'DADOS BRUTOS'!DQ$3:DQ$500)+IF($C17="",0,SUMIF('DADOS BRUTOS'!$A$3:$A$500,$C17,'DADOS BRUTOS'!DQ$3:DQ$500)))</f>
        <v/>
      </c>
      <c r="GR17" s="56">
        <f>IF(OR(GR$4="",$B17=""),0,SUMIF('DADOS BRUTOS'!$A$3:$A$500,$B17,'DADOS BRUTOS'!DR$3:DR$500)+IF($C17="",0,SUMIF('DADOS BRUTOS'!$A$3:$A$500,$C17,'DADOS BRUTOS'!DR$3:DR$500)))</f>
        <v/>
      </c>
      <c r="GS17" s="56">
        <f>IF(OR(GS$4="",$B17=""),0,SUMIF('DADOS BRUTOS'!$A$3:$A$500,$B17,'DADOS BRUTOS'!DS$3:DS$500)+IF($C17="",0,SUMIF('DADOS BRUTOS'!$A$3:$A$500,$C17,'DADOS BRUTOS'!DS$3:DS$500)))</f>
        <v/>
      </c>
      <c r="GT17" s="56">
        <f>IF(OR(GT$4="",$B17=""),0,SUMIF('DADOS BRUTOS'!$A$3:$A$500,$B17,'DADOS BRUTOS'!DT$3:DT$500)+IF($C17="",0,SUMIF('DADOS BRUTOS'!$A$3:$A$500,$C17,'DADOS BRUTOS'!DT$3:DT$500)))</f>
        <v/>
      </c>
      <c r="GU17" s="56">
        <f>IF(OR(GU$4="",$B17=""),0,SUMIF('DADOS BRUTOS'!$A$3:$A$500,$B17,'DADOS BRUTOS'!DU$3:DU$500)+IF($C17="",0,SUMIF('DADOS BRUTOS'!$A$3:$A$500,$C17,'DADOS BRUTOS'!DU$3:DU$500)))</f>
        <v/>
      </c>
      <c r="GV17" s="56">
        <f>IF(OR(GV$4="",$B17=""),0,SUMIF('DADOS BRUTOS'!$A$3:$A$500,$B17,'DADOS BRUTOS'!DV$3:DV$500)+IF($C17="",0,SUMIF('DADOS BRUTOS'!$A$3:$A$500,$C17,'DADOS BRUTOS'!DV$3:DV$500)))</f>
        <v/>
      </c>
      <c r="GW17" s="56">
        <f>IF(OR(GW$4="",$B17=""),0,SUMIF('DADOS BRUTOS'!$A$3:$A$500,$B17,'DADOS BRUTOS'!DW$3:DW$500)+IF($C17="",0,SUMIF('DADOS BRUTOS'!$A$3:$A$500,$C17,'DADOS BRUTOS'!DW$3:DW$500)))</f>
        <v/>
      </c>
      <c r="GX17" s="56">
        <f>IF(OR(GX$4="",$B17=""),0,SUMIF('DADOS BRUTOS'!$A$3:$A$500,$B17,'DADOS BRUTOS'!DX$3:DX$500)+IF($C17="",0,SUMIF('DADOS BRUTOS'!$A$3:$A$500,$C17,'DADOS BRUTOS'!DX$3:DX$500)))</f>
        <v/>
      </c>
      <c r="GY17" s="56">
        <f>IF(OR(GY$4="",$B17=""),0,SUMIF('DADOS BRUTOS'!$A$3:$A$500,$B17,'DADOS BRUTOS'!DY$3:DY$500)+IF($C17="",0,SUMIF('DADOS BRUTOS'!$A$3:$A$500,$C17,'DADOS BRUTOS'!DY$3:DY$500)))</f>
        <v/>
      </c>
      <c r="GZ17" s="56">
        <f>IF(OR(GZ$4="",$B17=""),0,SUMIF('DADOS BRUTOS'!$A$3:$A$500,$B17,'DADOS BRUTOS'!DZ$3:DZ$500)+IF($C17="",0,SUMIF('DADOS BRUTOS'!$A$3:$A$500,$C17,'DADOS BRUTOS'!DZ$3:DZ$500)))</f>
        <v/>
      </c>
      <c r="HA17" s="56">
        <f>IF(OR(HA$4="",$B17=""),0,SUMIF('DADOS BRUTOS'!$A$3:$A$500,$B17,'DADOS BRUTOS'!EA$3:EA$500)+IF($C17="",0,SUMIF('DADOS BRUTOS'!$A$3:$A$500,$C17,'DADOS BRUTOS'!EA$3:EA$500)))</f>
        <v/>
      </c>
      <c r="HB17" s="56">
        <f>IF(OR(HB$4="",$B17=""),0,SUMIF('DADOS BRUTOS'!$A$3:$A$500,$B17,'DADOS BRUTOS'!EB$3:EB$500)+IF($C17="",0,SUMIF('DADOS BRUTOS'!$A$3:$A$500,$C17,'DADOS BRUTOS'!EB$3:EB$500)))</f>
        <v/>
      </c>
      <c r="HC17" s="56">
        <f>IF(OR(HC$4="",$B17=""),0,SUMIF('DADOS BRUTOS'!$A$3:$A$500,$B17,'DADOS BRUTOS'!EC$3:EC$500)+IF($C17="",0,SUMIF('DADOS BRUTOS'!$A$3:$A$500,$C17,'DADOS BRUTOS'!EC$3:EC$500)))</f>
        <v/>
      </c>
      <c r="HD17" s="56">
        <f>IF(OR(HD$4="",$B17=""),0,SUMIF('DADOS BRUTOS'!$A$3:$A$500,$B17,'DADOS BRUTOS'!ED$3:ED$500)+IF($C17="",0,SUMIF('DADOS BRUTOS'!$A$3:$A$500,$C17,'DADOS BRUTOS'!ED$3:ED$500)))</f>
        <v/>
      </c>
      <c r="HE17" s="56">
        <f>IF(OR(HE$4="",$B17=""),0,SUMIF('DADOS BRUTOS'!$A$3:$A$500,$B17,'DADOS BRUTOS'!EE$3:EE$500)+IF($C17="",0,SUMIF('DADOS BRUTOS'!$A$3:$A$500,$C17,'DADOS BRUTOS'!EE$3:EE$500)))</f>
        <v/>
      </c>
      <c r="HF17" s="56">
        <f>IF(OR(HF$4="",$B17=""),0,SUMIF('DADOS BRUTOS'!$A$3:$A$500,$B17,'DADOS BRUTOS'!EF$3:EF$500)+IF($C17="",0,SUMIF('DADOS BRUTOS'!$A$3:$A$500,$C17,'DADOS BRUTOS'!EF$3:EF$500)))</f>
        <v/>
      </c>
      <c r="HG17" s="56">
        <f>IF(OR(HG$4="",$B17=""),0,SUMIF('DADOS BRUTOS'!$A$3:$A$500,$B17,'DADOS BRUTOS'!EG$3:EG$500)+IF($C17="",0,SUMIF('DADOS BRUTOS'!$A$3:$A$500,$C17,'DADOS BRUTOS'!EG$3:EG$500)))</f>
        <v/>
      </c>
      <c r="HH17" s="56">
        <f>IF(OR(HH$4="",$B17=""),0,SUMIF('DADOS BRUTOS'!$A$3:$A$500,$B17,'DADOS BRUTOS'!EH$3:EH$500)+IF($C17="",0,SUMIF('DADOS BRUTOS'!$A$3:$A$500,$C17,'DADOS BRUTOS'!EH$3:EH$500)))</f>
        <v/>
      </c>
      <c r="HI17" s="56">
        <f>IF(OR(HI$4="",$B17=""),0,SUMIF('DADOS BRUTOS'!$A$3:$A$500,$B17,'DADOS BRUTOS'!EI$3:EI$500)+IF($C17="",0,SUMIF('DADOS BRUTOS'!$A$3:$A$500,$C17,'DADOS BRUTOS'!EI$3:EI$500)))</f>
        <v/>
      </c>
      <c r="HJ17" s="56">
        <f>IF(OR(HJ$4="",$B17=""),0,SUMIF('DADOS BRUTOS'!$A$3:$A$500,$B17,'DADOS BRUTOS'!EJ$3:EJ$500)+IF($C17="",0,SUMIF('DADOS BRUTOS'!$A$3:$A$500,$C17,'DADOS BRUTOS'!EJ$3:EJ$500)))</f>
        <v/>
      </c>
      <c r="HK17" s="56">
        <f>IF(OR(HK$4="",$B17=""),0,SUMIF('DADOS BRUTOS'!$A$3:$A$500,$B17,'DADOS BRUTOS'!EK$3:EK$500)+IF($C17="",0,SUMIF('DADOS BRUTOS'!$A$3:$A$500,$C17,'DADOS BRUTOS'!EK$3:EK$500)))</f>
        <v/>
      </c>
      <c r="HL17" s="56">
        <f>IF(OR(HL$4="",$B17=""),0,SUMIF('DADOS BRUTOS'!$A$3:$A$500,$B17,'DADOS BRUTOS'!EL$3:EL$500)+IF($C17="",0,SUMIF('DADOS BRUTOS'!$A$3:$A$500,$C17,'DADOS BRUTOS'!EL$3:EL$500)))</f>
        <v/>
      </c>
      <c r="HM17" s="56">
        <f>IF(OR(HM$4="",$B17=""),0,SUMIF('DADOS BRUTOS'!$A$3:$A$500,$B17,'DADOS BRUTOS'!EM$3:EM$500)+IF($C17="",0,SUMIF('DADOS BRUTOS'!$A$3:$A$500,$C17,'DADOS BRUTOS'!EM$3:EM$500)))</f>
        <v/>
      </c>
      <c r="HN17" s="56">
        <f>IF(OR(HN$4="",$B17=""),0,SUMIF('DADOS BRUTOS'!$A$3:$A$500,$B17,'DADOS BRUTOS'!EN$3:EN$500)+IF($C17="",0,SUMIF('DADOS BRUTOS'!$A$3:$A$500,$C17,'DADOS BRUTOS'!EN$3:EN$500)))</f>
        <v/>
      </c>
      <c r="HO17" s="56">
        <f>IF(OR(HO$4="",$B17=""),0,SUMIF('DADOS BRUTOS'!$A$3:$A$500,$B17,'DADOS BRUTOS'!EO$3:EO$500)+IF($C17="",0,SUMIF('DADOS BRUTOS'!$A$3:$A$500,$C17,'DADOS BRUTOS'!EO$3:EO$500)))</f>
        <v/>
      </c>
      <c r="HP17" s="56">
        <f>IF(OR(HP$4="",$B17=""),0,SUMIF('DADOS BRUTOS'!$A$3:$A$500,$B17,'DADOS BRUTOS'!EP$3:EP$500)+IF($C17="",0,SUMIF('DADOS BRUTOS'!$A$3:$A$500,$C17,'DADOS BRUTOS'!EP$3:EP$500)))</f>
        <v/>
      </c>
      <c r="HQ17" s="56">
        <f>IF(OR(HQ$4="",$B17=""),0,SUMIF('DADOS BRUTOS'!$A$3:$A$500,$B17,'DADOS BRUTOS'!EQ$3:EQ$500)+IF($C17="",0,SUMIF('DADOS BRUTOS'!$A$3:$A$500,$C17,'DADOS BRUTOS'!EQ$3:EQ$500)))</f>
        <v/>
      </c>
      <c r="HR17" s="56">
        <f>IF(OR(HR$4="",$B17=""),0,SUMIF('DADOS BRUTOS'!$A$3:$A$500,$B17,'DADOS BRUTOS'!ER$3:ER$500)+IF($C17="",0,SUMIF('DADOS BRUTOS'!$A$3:$A$500,$C17,'DADOS BRUTOS'!ER$3:ER$500)))</f>
        <v/>
      </c>
      <c r="HS17" s="56">
        <f>IF(OR(HS$4="",$B17=""),0,SUMIF('DADOS BRUTOS'!$A$3:$A$500,$B17,'DADOS BRUTOS'!ES$3:ES$500)+IF($C17="",0,SUMIF('DADOS BRUTOS'!$A$3:$A$500,$C17,'DADOS BRUTOS'!ES$3:ES$500)))</f>
        <v/>
      </c>
      <c r="HT17" s="56">
        <f>IF(OR(HT$4="",$B17=""),0,SUMIF('DADOS BRUTOS'!$A$3:$A$500,$B17,'DADOS BRUTOS'!ET$3:ET$500)+IF($C17="",0,SUMIF('DADOS BRUTOS'!$A$3:$A$500,$C17,'DADOS BRUTOS'!ET$3:ET$500)))</f>
        <v/>
      </c>
      <c r="HU17" s="56">
        <f>IF(OR(HU$4="",$B17=""),0,SUMIF('DADOS BRUTOS'!$A$3:$A$500,$B17,'DADOS BRUTOS'!EU$3:EU$500)+IF($C17="",0,SUMIF('DADOS BRUTOS'!$A$3:$A$500,$C17,'DADOS BRUTOS'!EU$3:EU$500)))</f>
        <v/>
      </c>
      <c r="HV17" s="56">
        <f>IF(OR(HV$4="",$B17=""),0,SUMIF('DADOS BRUTOS'!$A$3:$A$500,$B17,'DADOS BRUTOS'!EV$3:EV$500)+IF($C17="",0,SUMIF('DADOS BRUTOS'!$A$3:$A$500,$C17,'DADOS BRUTOS'!EV$3:EV$500)))</f>
        <v/>
      </c>
      <c r="HW17" s="56">
        <f>IF(OR(HW$4="",$B17=""),0,SUMIF('DADOS BRUTOS'!$A$3:$A$500,$B17,'DADOS BRUTOS'!EW$3:EW$500)+IF($C17="",0,SUMIF('DADOS BRUTOS'!$A$3:$A$500,$C17,'DADOS BRUTOS'!EW$3:EW$500)))</f>
        <v/>
      </c>
      <c r="HX17" s="56">
        <f>IF(OR(HX$4="",$B17=""),0,SUMIF('DADOS BRUTOS'!$A$3:$A$500,$B17,'DADOS BRUTOS'!EX$3:EX$500)+IF($C17="",0,SUMIF('DADOS BRUTOS'!$A$3:$A$500,$C17,'DADOS BRUTOS'!EX$3:EX$500)))</f>
        <v/>
      </c>
      <c r="HY17" s="56">
        <f>IF(OR(HY$4="",$B17=""),0,SUMIF('DADOS BRUTOS'!$A$3:$A$500,$B17,'DADOS BRUTOS'!EY$3:EY$500)+IF($C17="",0,SUMIF('DADOS BRUTOS'!$A$3:$A$500,$C17,'DADOS BRUTOS'!EY$3:EY$500)))</f>
        <v/>
      </c>
      <c r="HZ17" s="56">
        <f>IF(OR(HZ$4="",$B17=""),0,SUMIF('DADOS BRUTOS'!$A$3:$A$500,$B17,'DADOS BRUTOS'!EZ$3:EZ$500)+IF($C17="",0,SUMIF('DADOS BRUTOS'!$A$3:$A$500,$C17,'DADOS BRUTOS'!EZ$3:EZ$500)))</f>
        <v/>
      </c>
      <c r="IA17" s="56">
        <f>IF(OR(IA$4="",$B17=""),0,SUMIF('DADOS BRUTOS'!$A$3:$A$500,$B17,'DADOS BRUTOS'!FA$3:FA$500)+IF($C17="",0,SUMIF('DADOS BRUTOS'!$A$3:$A$500,$C17,'DADOS BRUTOS'!FA$3:FA$500)))</f>
        <v/>
      </c>
      <c r="IB17" s="56">
        <f>IF(OR(IB$4="",$B17=""),0,SUMIF('DADOS BRUTOS'!$A$3:$A$500,$B17,'DADOS BRUTOS'!FB$3:FB$500)+IF($C17="",0,SUMIF('DADOS BRUTOS'!$A$3:$A$500,$C17,'DADOS BRUTOS'!FB$3:FB$500)))</f>
        <v/>
      </c>
      <c r="IC17" s="56">
        <f>IF(OR(IC$4="",$B17=""),0,SUMIF('DADOS BRUTOS'!$A$3:$A$500,$B17,'DADOS BRUTOS'!FC$3:FC$500)+IF($C17="",0,SUMIF('DADOS BRUTOS'!$A$3:$A$500,$C17,'DADOS BRUTOS'!FC$3:FC$500)))</f>
        <v/>
      </c>
      <c r="ID17" s="56">
        <f>IF(OR(ID$4="",$B17=""),0,SUMIF('DADOS BRUTOS'!$A$3:$A$500,$B17,'DADOS BRUTOS'!FD$3:FD$500)+IF($C17="",0,SUMIF('DADOS BRUTOS'!$A$3:$A$500,$C17,'DADOS BRUTOS'!FD$3:FD$500)))</f>
        <v/>
      </c>
      <c r="IE17" s="56">
        <f>IF(OR(IE$4="",$B17=""),0,SUMIF('DADOS BRUTOS'!$A$3:$A$500,$B17,'DADOS BRUTOS'!FE$3:FE$500)+IF($C17="",0,SUMIF('DADOS BRUTOS'!$A$3:$A$500,$C17,'DADOS BRUTOS'!FE$3:FE$500)))</f>
        <v/>
      </c>
      <c r="IF17" s="56">
        <f>IF(OR(IF$4="",$B17=""),0,SUMIF('DADOS BRUTOS'!$A$3:$A$500,$B17,'DADOS BRUTOS'!FF$3:FF$500)+IF($C17="",0,SUMIF('DADOS BRUTOS'!$A$3:$A$500,$C17,'DADOS BRUTOS'!FF$3:FF$500)))</f>
        <v/>
      </c>
      <c r="IG17" s="56">
        <f>IF(OR(IG$4="",$B17=""),0,SUMIF('DADOS BRUTOS'!$A$3:$A$500,$B17,'DADOS BRUTOS'!FG$3:FG$500)+IF($C17="",0,SUMIF('DADOS BRUTOS'!$A$3:$A$500,$C17,'DADOS BRUTOS'!FG$3:FG$500)))</f>
        <v/>
      </c>
      <c r="IH17" s="56">
        <f>IF(OR(IH$4="",$B17=""),0,SUMIF('DADOS BRUTOS'!$A$3:$A$500,$B17,'DADOS BRUTOS'!FH$3:FH$500)+IF($C17="",0,SUMIF('DADOS BRUTOS'!$A$3:$A$500,$C17,'DADOS BRUTOS'!FH$3:FH$500)))</f>
        <v/>
      </c>
      <c r="II17" s="56">
        <f>IF(OR(II$4="",$B17=""),0,SUMIF('DADOS BRUTOS'!$A$3:$A$500,$B17,'DADOS BRUTOS'!FI$3:FI$500)+IF($C17="",0,SUMIF('DADOS BRUTOS'!$A$3:$A$500,$C17,'DADOS BRUTOS'!FI$3:FI$500)))</f>
        <v/>
      </c>
      <c r="IJ17" s="56">
        <f>IF(OR(IJ$4="",$B17=""),0,SUMIF('DADOS BRUTOS'!$A$3:$A$500,$B17,'DADOS BRUTOS'!FJ$3:FJ$500)+IF($C17="",0,SUMIF('DADOS BRUTOS'!$A$3:$A$500,$C17,'DADOS BRUTOS'!FJ$3:FJ$500)))</f>
        <v/>
      </c>
      <c r="IK17" s="56">
        <f>IF(OR(IK$4="",$B17=""),0,SUMIF('DADOS BRUTOS'!$A$3:$A$500,$B17,'DADOS BRUTOS'!FK$3:FK$500)+IF($C17="",0,SUMIF('DADOS BRUTOS'!$A$3:$A$500,$C17,'DADOS BRUTOS'!FK$3:FK$500)))</f>
        <v/>
      </c>
      <c r="IL17" s="56">
        <f>IF(OR(IL$4="",$B17=""),0,SUMIF('DADOS BRUTOS'!$A$3:$A$500,$B17,'DADOS BRUTOS'!FL$3:FL$500)+IF($C17="",0,SUMIF('DADOS BRUTOS'!$A$3:$A$500,$C17,'DADOS BRUTOS'!FL$3:FL$500)))</f>
        <v/>
      </c>
      <c r="IM17" s="56">
        <f>IF(OR(IM$4="",$B17=""),0,SUMIF('DADOS BRUTOS'!$A$3:$A$500,$B17,'DADOS BRUTOS'!FM$3:FM$500)+IF($C17="",0,SUMIF('DADOS BRUTOS'!$A$3:$A$500,$C17,'DADOS BRUTOS'!FM$3:FM$500)))</f>
        <v/>
      </c>
      <c r="IN17" s="56">
        <f>IF(OR(IN$4="",$B17=""),0,SUMIF('DADOS BRUTOS'!$A$3:$A$500,$B17,'DADOS BRUTOS'!FN$3:FN$500)+IF($C17="",0,SUMIF('DADOS BRUTOS'!$A$3:$A$500,$C17,'DADOS BRUTOS'!FN$3:FN$500)))</f>
        <v/>
      </c>
      <c r="IO17" s="56">
        <f>IF(OR(IO$4="",$B17=""),0,SUMIF('DADOS BRUTOS'!$A$3:$A$500,$B17,'DADOS BRUTOS'!FO$3:FO$500)+IF($C17="",0,SUMIF('DADOS BRUTOS'!$A$3:$A$500,$C17,'DADOS BRUTOS'!FO$3:FO$500)))</f>
        <v/>
      </c>
      <c r="IP17" s="56">
        <f>IF(OR(IP$4="",$B17=""),0,SUMIF('DADOS BRUTOS'!$A$3:$A$500,$B17,'DADOS BRUTOS'!FP$3:FP$500)+IF($C17="",0,SUMIF('DADOS BRUTOS'!$A$3:$A$500,$C17,'DADOS BRUTOS'!FP$3:FP$500)))</f>
        <v/>
      </c>
      <c r="IQ17" s="56">
        <f>IF(OR(IQ$4="",$B17=""),0,SUMIF('DADOS BRUTOS'!$A$3:$A$500,$B17,'DADOS BRUTOS'!FQ$3:FQ$500)+IF($C17="",0,SUMIF('DADOS BRUTOS'!$A$3:$A$500,$C17,'DADOS BRUTOS'!FQ$3:FQ$500)))</f>
        <v/>
      </c>
      <c r="IR17" s="56">
        <f>IF(OR(IR$4="",$B17=""),0,SUMIF('DADOS BRUTOS'!$A$3:$A$500,$B17,'DADOS BRUTOS'!FR$3:FR$500)+IF($C17="",0,SUMIF('DADOS BRUTOS'!$A$3:$A$500,$C17,'DADOS BRUTOS'!FR$3:FR$500)))</f>
        <v/>
      </c>
      <c r="IS17" s="56">
        <f>IF(OR(IS$4="",$B17=""),0,SUMIF('DADOS BRUTOS'!$A$3:$A$500,$B17,'DADOS BRUTOS'!FS$3:FS$500)+IF($C17="",0,SUMIF('DADOS BRUTOS'!$A$3:$A$500,$C17,'DADOS BRUTOS'!FS$3:FS$500)))</f>
        <v/>
      </c>
      <c r="IT17" s="56">
        <f>IF(OR(IT$4="",$B17=""),0,SUMIF('DADOS BRUTOS'!$A$3:$A$500,$B17,'DADOS BRUTOS'!FT$3:FT$500)+IF($C17="",0,SUMIF('DADOS BRUTOS'!$A$3:$A$500,$C17,'DADOS BRUTOS'!FT$3:FT$500)))</f>
        <v/>
      </c>
      <c r="IU17" s="56">
        <f>IF(OR(IU$4="",$B17=""),0,SUMIF('DADOS BRUTOS'!$A$3:$A$500,$B17,'DADOS BRUTOS'!FU$3:FU$500)+IF($C17="",0,SUMIF('DADOS BRUTOS'!$A$3:$A$500,$C17,'DADOS BRUTOS'!FU$3:FU$500)))</f>
        <v/>
      </c>
      <c r="IV17" s="56">
        <f>IF(OR(IV$4="",$B17=""),0,SUMIF('DADOS BRUTOS'!$A$3:$A$500,$B17,'DADOS BRUTOS'!FV$3:FV$500)+IF($C17="",0,SUMIF('DADOS BRUTOS'!$A$3:$A$500,$C17,'DADOS BRUTOS'!FV$3:FV$500)))</f>
        <v/>
      </c>
      <c r="IW17" s="56">
        <f>IF(OR(IW$4="",$B17=""),0,SUMIF('DADOS BRUTOS'!$A$3:$A$500,$B17,'DADOS BRUTOS'!FW$3:FW$500)+IF($C17="",0,SUMIF('DADOS BRUTOS'!$A$3:$A$500,$C17,'DADOS BRUTOS'!FW$3:FW$500)))</f>
        <v/>
      </c>
      <c r="IX17" s="56">
        <f>IF(OR(IX$4="",$B17=""),0,SUMIF('DADOS BRUTOS'!$A$3:$A$500,$B17,'DADOS BRUTOS'!FX$3:FX$500)+IF($C17="",0,SUMIF('DADOS BRUTOS'!$A$3:$A$500,$C17,'DADOS BRUTOS'!FX$3:FX$500)))</f>
        <v/>
      </c>
      <c r="IY17" s="56">
        <f>IF(OR(IY$4="",$B17=""),0,SUMIF('DADOS BRUTOS'!$A$3:$A$500,$B17,'DADOS BRUTOS'!FY$3:FY$500)+IF($C17="",0,SUMIF('DADOS BRUTOS'!$A$3:$A$500,$C17,'DADOS BRUTOS'!FY$3:FY$500)))</f>
        <v/>
      </c>
      <c r="IZ17" s="56">
        <f>IF(OR(IZ$4="",$B17=""),0,SUMIF('DADOS BRUTOS'!$A$3:$A$500,$B17,'DADOS BRUTOS'!FZ$3:FZ$500)+IF($C17="",0,SUMIF('DADOS BRUTOS'!$A$3:$A$500,$C17,'DADOS BRUTOS'!FZ$3:FZ$500)))</f>
        <v/>
      </c>
      <c r="JA17" s="56">
        <f>IF(OR(JA$4="",$B17=""),0,SUMIF('DADOS BRUTOS'!$A$3:$A$500,$B17,'DADOS BRUTOS'!GA$3:GA$500)+IF($C17="",0,SUMIF('DADOS BRUTOS'!$A$3:$A$500,$C17,'DADOS BRUTOS'!GA$3:GA$500)))</f>
        <v/>
      </c>
      <c r="JB17" s="56">
        <f>IF(OR(JB$4="",$B17=""),0,SUMIF('DADOS BRUTOS'!$A$3:$A$500,$B17,'DADOS BRUTOS'!GB$3:GB$500)+IF($C17="",0,SUMIF('DADOS BRUTOS'!$A$3:$A$500,$C17,'DADOS BRUTOS'!GB$3:GB$500)))</f>
        <v/>
      </c>
      <c r="JC17" s="56">
        <f>IF(OR(JC$4="",$B17=""),0,SUMIF('DADOS BRUTOS'!$A$3:$A$500,$B17,'DADOS BRUTOS'!GC$3:GC$500)+IF($C17="",0,SUMIF('DADOS BRUTOS'!$A$3:$A$500,$C17,'DADOS BRUTOS'!GC$3:GC$500)))</f>
        <v/>
      </c>
      <c r="JD17" s="56">
        <f>IF(OR(JD$4="",$B17=""),0,SUMIF('DADOS BRUTOS'!$A$3:$A$500,$B17,'DADOS BRUTOS'!GD$3:GD$500)+IF($C17="",0,SUMIF('DADOS BRUTOS'!$A$3:$A$500,$C17,'DADOS BRUTOS'!GD$3:GD$500)))</f>
        <v/>
      </c>
      <c r="JE17" s="56">
        <f>IF(OR(JE$4="",$B17=""),0,SUMIF('DADOS BRUTOS'!$A$3:$A$500,$B17,'DADOS BRUTOS'!GE$3:GE$500)+IF($C17="",0,SUMIF('DADOS BRUTOS'!$A$3:$A$500,$C17,'DADOS BRUTOS'!GE$3:GE$500)))</f>
        <v/>
      </c>
      <c r="JF17" s="56">
        <f>IF(OR(JF$4="",$B17=""),0,SUMIF('DADOS BRUTOS'!$A$3:$A$500,$B17,'DADOS BRUTOS'!GF$3:GF$500)+IF($C17="",0,SUMIF('DADOS BRUTOS'!$A$3:$A$500,$C17,'DADOS BRUTOS'!GF$3:GF$500)))</f>
        <v/>
      </c>
      <c r="JG17" s="56">
        <f>IF(OR(JG$4="",$B17=""),0,SUMIF('DADOS BRUTOS'!$A$3:$A$500,$B17,'DADOS BRUTOS'!GG$3:GG$500)+IF($C17="",0,SUMIF('DADOS BRUTOS'!$A$3:$A$500,$C17,'DADOS BRUTOS'!GG$3:GG$500)))</f>
        <v/>
      </c>
      <c r="JH17" s="56">
        <f>IF(OR(JH$4="",$B17=""),0,SUMIF('DADOS BRUTOS'!$A$3:$A$500,$B17,'DADOS BRUTOS'!GH$3:GH$500)+IF($C17="",0,SUMIF('DADOS BRUTOS'!$A$3:$A$500,$C17,'DADOS BRUTOS'!GH$3:GH$500)))</f>
        <v/>
      </c>
      <c r="JI17" s="56">
        <f>IF(OR(JI$4="",$B17=""),0,SUMIF('DADOS BRUTOS'!$A$3:$A$500,$B17,'DADOS BRUTOS'!GI$3:GI$500)+IF($C17="",0,SUMIF('DADOS BRUTOS'!$A$3:$A$500,$C17,'DADOS BRUTOS'!GI$3:GI$500)))</f>
        <v/>
      </c>
      <c r="JJ17" s="56">
        <f>IF(OR(JJ$4="",$B17=""),0,SUMIF('DADOS BRUTOS'!$A$3:$A$500,$B17,'DADOS BRUTOS'!GJ$3:GJ$500)+IF($C17="",0,SUMIF('DADOS BRUTOS'!$A$3:$A$500,$C17,'DADOS BRUTOS'!GJ$3:GJ$500)))</f>
        <v/>
      </c>
      <c r="JK17" s="56">
        <f>IF(OR(JK$4="",$B17=""),0,SUMIF('DADOS BRUTOS'!$A$3:$A$500,$B17,'DADOS BRUTOS'!GK$3:GK$500)+IF($C17="",0,SUMIF('DADOS BRUTOS'!$A$3:$A$500,$C17,'DADOS BRUTOS'!GK$3:GK$500)))</f>
        <v/>
      </c>
      <c r="JL17" s="56">
        <f>IF(OR(JL$4="",$B17=""),0,SUMIF('DADOS BRUTOS'!$A$3:$A$500,$B17,'DADOS BRUTOS'!GL$3:GL$500)+IF($C17="",0,SUMIF('DADOS BRUTOS'!$A$3:$A$500,$C17,'DADOS BRUTOS'!GL$3:GL$500)))</f>
        <v/>
      </c>
      <c r="JM17" s="56">
        <f>IF(OR(JM$4="",$B17=""),0,SUMIF('DADOS BRUTOS'!$A$3:$A$500,$B17,'DADOS BRUTOS'!GM$3:GM$500)+IF($C17="",0,SUMIF('DADOS BRUTOS'!$A$3:$A$500,$C17,'DADOS BRUTOS'!GM$3:GM$500)))</f>
        <v/>
      </c>
      <c r="JN17" s="56">
        <f>IF(OR(JN$4="",$B17=""),0,SUMIF('DADOS BRUTOS'!$A$3:$A$500,$B17,'DADOS BRUTOS'!GN$3:GN$500)+IF($C17="",0,SUMIF('DADOS BRUTOS'!$A$3:$A$500,$C17,'DADOS BRUTOS'!GN$3:GN$500)))</f>
        <v/>
      </c>
      <c r="JO17" s="56">
        <f>IF(OR(JO$4="",$B17=""),0,SUMIF('DADOS BRUTOS'!$A$3:$A$500,$B17,'DADOS BRUTOS'!GO$3:GO$500)+IF($C17="",0,SUMIF('DADOS BRUTOS'!$A$3:$A$500,$C17,'DADOS BRUTOS'!GO$3:GO$500)))</f>
        <v/>
      </c>
      <c r="JP17" s="56">
        <f>IF(OR(JP$4="",$B17=""),0,SUMIF('DADOS BRUTOS'!$A$3:$A$500,$B17,'DADOS BRUTOS'!GP$3:GP$500)+IF($C17="",0,SUMIF('DADOS BRUTOS'!$A$3:$A$500,$C17,'DADOS BRUTOS'!GP$3:GP$500)))</f>
        <v/>
      </c>
      <c r="JQ17" s="56">
        <f>IF(OR(JQ$4="",$B17=""),0,SUMIF('DADOS BRUTOS'!$A$3:$A$500,$B17,'DADOS BRUTOS'!GQ$3:GQ$500)+IF($C17="",0,SUMIF('DADOS BRUTOS'!$A$3:$A$500,$C17,'DADOS BRUTOS'!GQ$3:GQ$500)))</f>
        <v/>
      </c>
      <c r="JR17" s="56">
        <f>IF(OR(JR$4="",$B17=""),0,SUMIF('DADOS BRUTOS'!$A$3:$A$500,$B17,'DADOS BRUTOS'!GR$3:GR$500)+IF($C17="",0,SUMIF('DADOS BRUTOS'!$A$3:$A$500,$C17,'DADOS BRUTOS'!GR$3:GR$500)))</f>
        <v/>
      </c>
      <c r="JS17" s="56">
        <f>IF(OR(JS$4="",$B17=""),0,SUMIF('DADOS BRUTOS'!$A$3:$A$500,$B17,'DADOS BRUTOS'!GS$3:GS$500)+IF($C17="",0,SUMIF('DADOS BRUTOS'!$A$3:$A$500,$C17,'DADOS BRUTOS'!GS$3:GS$500)))</f>
        <v/>
      </c>
    </row>
    <row r="18">
      <c r="A18" s="34">
        <f>'VALOR POR PL'!D24</f>
        <v/>
      </c>
      <c r="B18" s="21" t="inlineStr">
        <is>
          <t>TERRAPLENAGEM</t>
        </is>
      </c>
      <c r="C18" s="21" t="n"/>
      <c r="D18" s="17">
        <f>SUMIF($CB$4:$JS$4,"&lt;="&amp;D$4,$CB18:$JS18)</f>
        <v/>
      </c>
      <c r="E18" s="17">
        <f>SUMIF($CB$4:$JS$4,E$4,$CB18:$JS18)</f>
        <v/>
      </c>
      <c r="F18" s="17">
        <f>SUMIF($CB$4:$JS$4,F$4,$CB18:$JS18)</f>
        <v/>
      </c>
      <c r="G18" s="17">
        <f>SUMIF($CB$4:$JS$4,G$4,$CB18:$JS18)</f>
        <v/>
      </c>
      <c r="H18" s="17">
        <f>SUMIF($CB$4:$JS$4,H$4,$CB18:$JS18)</f>
        <v/>
      </c>
      <c r="I18" s="17">
        <f>SUMIF($CB$4:$JS$4,I$4,$CB18:$JS18)</f>
        <v/>
      </c>
      <c r="J18" s="17">
        <f>SUMIF($CB$4:$JS$4,J$4,$CB18:$JS18)</f>
        <v/>
      </c>
      <c r="K18" s="17">
        <f>SUMIF($CB$4:$JS$4,K$4,$CB18:$JS18)</f>
        <v/>
      </c>
      <c r="L18" s="17">
        <f>SUMIF($CB$4:$JS$4,L$4,$CB18:$JS18)</f>
        <v/>
      </c>
      <c r="M18" s="17">
        <f>SUMIF($CB$4:$JS$4,M$4,$CB18:$JS18)</f>
        <v/>
      </c>
      <c r="N18" s="17">
        <f>SUMIF($CB$4:$JS$4,N$4,$CB18:$JS18)</f>
        <v/>
      </c>
      <c r="O18" s="17">
        <f>SUMIF($CB$4:$JS$4,O$4,$CB18:$JS18)</f>
        <v/>
      </c>
      <c r="P18" s="17">
        <f>SUMIF($CB$4:$JS$4,P$4,$CB18:$JS18)</f>
        <v/>
      </c>
      <c r="Q18" s="17">
        <f>SUMIF($CB$4:$JS$4,Q$4,$CB18:$JS18)</f>
        <v/>
      </c>
      <c r="R18" s="17">
        <f>SUMIF($CB$4:$JS$4,R$4,$CB18:$JS18)</f>
        <v/>
      </c>
      <c r="S18" s="17">
        <f>SUMIF($CB$4:$JS$4,S$4,$CB18:$JS18)</f>
        <v/>
      </c>
      <c r="T18" s="17">
        <f>SUMIF($CB$4:$JS$4,T$4,$CB18:$JS18)</f>
        <v/>
      </c>
      <c r="U18" s="17">
        <f>SUMIF($CB$4:$JS$4,U$4,$CB18:$JS18)</f>
        <v/>
      </c>
      <c r="V18" s="17">
        <f>SUMIF($CB$4:$JS$4,V$4,$CB18:$JS18)</f>
        <v/>
      </c>
      <c r="W18" s="17">
        <f>SUMIF($CB$4:$JS$4,W$4,$CB18:$JS18)</f>
        <v/>
      </c>
      <c r="X18" s="17">
        <f>SUMIF($CB$4:$JS$4,X$4,$CB18:$JS18)</f>
        <v/>
      </c>
      <c r="Y18" s="17">
        <f>SUMIF($CB$4:$JS$4,Y$4,$CB18:$JS18)</f>
        <v/>
      </c>
      <c r="Z18" s="17">
        <f>SUMIF($CB$4:$JS$4,Z$4,$CB18:$JS18)</f>
        <v/>
      </c>
      <c r="AA18" s="17">
        <f>SUMIF($CB$4:$JS$4,AA$4,$CB18:$JS18)</f>
        <v/>
      </c>
      <c r="AB18" s="17">
        <f>SUMIF($CB$4:$JS$4,AB$4,$CB18:$JS18)</f>
        <v/>
      </c>
      <c r="AC18" s="17">
        <f>SUMIF($CB$4:$JS$4,AC$4,$CB18:$JS18)</f>
        <v/>
      </c>
      <c r="AD18" s="17">
        <f>SUMIF($CB$4:$JS$4,AD$4,$CB18:$JS18)</f>
        <v/>
      </c>
      <c r="AE18" s="17">
        <f>SUMIF($CB$4:$JS$4,AE$4,$CB18:$JS18)</f>
        <v/>
      </c>
      <c r="AF18" s="17">
        <f>SUMIF($CB$4:$JS$4,AF$4,$CB18:$JS18)</f>
        <v/>
      </c>
      <c r="AG18" s="17">
        <f>SUMIF($CB$4:$JS$4,AG$4,$CB18:$JS18)</f>
        <v/>
      </c>
      <c r="AH18" s="17">
        <f>SUMIF($CB$4:$JS$4,AH$4,$CB18:$JS18)</f>
        <v/>
      </c>
      <c r="AI18" s="17">
        <f>SUMIF($CB$4:$JS$4,AI$4,$CB18:$JS18)</f>
        <v/>
      </c>
      <c r="AJ18" s="17">
        <f>SUMIF($CB$4:$JS$4,AJ$4,$CB18:$JS18)</f>
        <v/>
      </c>
      <c r="AK18" s="17">
        <f>SUMIF($CB$4:$JS$4,AK$4,$CB18:$JS18)</f>
        <v/>
      </c>
      <c r="AL18" s="17">
        <f>SUMIF($CB$4:$JS$4,AL$4,$CB18:$JS18)</f>
        <v/>
      </c>
      <c r="AM18" s="17">
        <f>SUMIF($CB$4:$JS$4,AM$4,$CB18:$JS18)</f>
        <v/>
      </c>
      <c r="AN18" s="17">
        <f>SUMIF($CB$4:$JS$4,AN$4,$CB18:$JS18)</f>
        <v/>
      </c>
      <c r="AO18" s="17">
        <f>SUMIF($CB$4:$JS$4,AO$4,$CB18:$JS18)</f>
        <v/>
      </c>
      <c r="AP18" s="17">
        <f>SUMIF($CB$4:$JS$4,AP$4,$CB18:$JS18)</f>
        <v/>
      </c>
      <c r="AQ18" s="17">
        <f>SUMIF($CB$4:$JS$4,AQ$4,$CB18:$JS18)</f>
        <v/>
      </c>
      <c r="AR18" s="17">
        <f>SUMIF($CB$4:$JS$4,AR$4,$CB18:$JS18)</f>
        <v/>
      </c>
      <c r="AS18" s="17">
        <f>SUMIF($CB$4:$JS$4,AS$4,$CB18:$JS18)</f>
        <v/>
      </c>
      <c r="AT18" s="17">
        <f>SUMIF($CB$4:$JS$4,AT$4,$CB18:$JS18)</f>
        <v/>
      </c>
      <c r="AU18" s="17">
        <f>SUMIF($CB$4:$JS$4,AU$4,$CB18:$JS18)</f>
        <v/>
      </c>
      <c r="AV18" s="17">
        <f>SUMIF($CB$4:$JS$4,AV$4,$CB18:$JS18)</f>
        <v/>
      </c>
      <c r="AW18" s="17">
        <f>SUMIF($CB$4:$JS$4,AW$4,$CB18:$JS18)</f>
        <v/>
      </c>
      <c r="AX18" s="17">
        <f>SUMIF($CB$4:$JS$4,AX$4,$CB18:$JS18)</f>
        <v/>
      </c>
      <c r="AY18" s="17">
        <f>SUMIF($CB$4:$JS$4,AY$4,$CB18:$JS18)</f>
        <v/>
      </c>
      <c r="AZ18" s="17">
        <f>SUMIF($CB$4:$JS$4,AZ$4,$CB18:$JS18)</f>
        <v/>
      </c>
      <c r="BA18" s="17">
        <f>SUMIF($CB$4:$JS$4,BA$4,$CB18:$JS18)</f>
        <v/>
      </c>
      <c r="BB18" s="17">
        <f>SUMIF($CB$4:$JS$4,BB$4,$CB18:$JS18)</f>
        <v/>
      </c>
      <c r="BC18" s="17">
        <f>SUMIF($CB$4:$JS$4,BC$4,$CB18:$JS18)</f>
        <v/>
      </c>
      <c r="BD18" s="17">
        <f>SUMIF($CB$4:$JS$4,BD$4,$CB18:$JS18)</f>
        <v/>
      </c>
      <c r="BE18" s="17">
        <f>SUMIF($CB$4:$JS$4,BE$4,$CB18:$JS18)</f>
        <v/>
      </c>
      <c r="BF18" s="17">
        <f>SUMIF($CB$4:$JS$4,BF$4,$CB18:$JS18)</f>
        <v/>
      </c>
      <c r="BG18" s="17">
        <f>SUMIF($CB$4:$JS$4,BG$4,$CB18:$JS18)</f>
        <v/>
      </c>
      <c r="BH18" s="17">
        <f>SUMIF($CB$4:$JS$4,BH$4,$CB18:$JS18)</f>
        <v/>
      </c>
      <c r="BI18" s="17">
        <f>SUMIF($CB$4:$JS$4,BI$4,$CB18:$JS18)</f>
        <v/>
      </c>
      <c r="BJ18" s="17">
        <f>SUMIF($CB$4:$JS$4,BJ$4,$CB18:$JS18)</f>
        <v/>
      </c>
      <c r="BK18" s="17">
        <f>SUMIF($CB$4:$JS$4,BK$4,$CB18:$JS18)</f>
        <v/>
      </c>
      <c r="BL18" s="17">
        <f>SUMIF($CB$4:$JS$4,BL$4,$CB18:$JS18)</f>
        <v/>
      </c>
      <c r="BM18" s="17">
        <f>SUMIF($CB$4:$JS$4,BM$4,$CB18:$JS18)</f>
        <v/>
      </c>
      <c r="BN18" s="17">
        <f>SUMIF($CB$4:$JS$4,BN$4,$CB18:$JS18)</f>
        <v/>
      </c>
      <c r="BO18" s="17">
        <f>SUMIF($CB$4:$JS$4,BO$4,$CB18:$JS18)</f>
        <v/>
      </c>
      <c r="BP18" s="17">
        <f>SUMIF($CB$4:$JS$4,BP$4,$CB18:$JS18)</f>
        <v/>
      </c>
      <c r="BQ18" s="17">
        <f>SUMIF($CB$4:$JS$4,BQ$4,$CB18:$JS18)</f>
        <v/>
      </c>
      <c r="BR18" s="17">
        <f>SUMIF($CB$4:$JS$4,BR$4,$CB18:$JS18)</f>
        <v/>
      </c>
      <c r="BS18" s="17">
        <f>SUMIF($CB$4:$JS$4,BS$4,$CB18:$JS18)</f>
        <v/>
      </c>
      <c r="BT18" s="17">
        <f>SUMIF($CB$4:$JS$4,BT$4,$CB18:$JS18)</f>
        <v/>
      </c>
      <c r="BU18" s="17">
        <f>SUMIF($CB$4:$JS$4,BU$4,$CB18:$JS18)</f>
        <v/>
      </c>
      <c r="BV18" s="17">
        <f>SUMIF($CB$4:$JS$4,BV$4,$CB18:$JS18)</f>
        <v/>
      </c>
      <c r="BW18" s="17">
        <f>SUMIF($CB$4:$JS$4,BW$4,$CB18:$JS18)</f>
        <v/>
      </c>
      <c r="BX18" s="17">
        <f>SUMIF($CB$4:$JS$4,"&gt;"&amp;'VALOR POR PL'!$P$8,$CB18:$JS18)</f>
        <v/>
      </c>
      <c r="BY18" s="17">
        <f>SUM($CB18:$JS18)</f>
        <v/>
      </c>
      <c r="CB18" s="56">
        <f>IF(OR(CB$4="",$B18=""),0,SUMIF('DADOS BRUTOS'!$A$3:$A$500,$B18,'DADOS BRUTOS'!B$3:B$500)+IF($C18="",0,SUMIF('DADOS BRUTOS'!$A$3:$A$500,$C18,'DADOS BRUTOS'!B$3:B$500)))</f>
        <v/>
      </c>
      <c r="CC18" s="56">
        <f>IF(OR(CC$4="",$B18=""),0,SUMIF('DADOS BRUTOS'!$A$3:$A$500,$B18,'DADOS BRUTOS'!C$3:C$500)+IF($C18="",0,SUMIF('DADOS BRUTOS'!$A$3:$A$500,$C18,'DADOS BRUTOS'!C$3:C$500)))</f>
        <v/>
      </c>
      <c r="CD18" s="56">
        <f>IF(OR(CD$4="",$B18=""),0,SUMIF('DADOS BRUTOS'!$A$3:$A$500,$B18,'DADOS BRUTOS'!D$3:D$500)+IF($C18="",0,SUMIF('DADOS BRUTOS'!$A$3:$A$500,$C18,'DADOS BRUTOS'!D$3:D$500)))</f>
        <v/>
      </c>
      <c r="CE18" s="56">
        <f>IF(OR(CE$4="",$B18=""),0,SUMIF('DADOS BRUTOS'!$A$3:$A$500,$B18,'DADOS BRUTOS'!E$3:E$500)+IF($C18="",0,SUMIF('DADOS BRUTOS'!$A$3:$A$500,$C18,'DADOS BRUTOS'!E$3:E$500)))</f>
        <v/>
      </c>
      <c r="CF18" s="56">
        <f>IF(OR(CF$4="",$B18=""),0,SUMIF('DADOS BRUTOS'!$A$3:$A$500,$B18,'DADOS BRUTOS'!F$3:F$500)+IF($C18="",0,SUMIF('DADOS BRUTOS'!$A$3:$A$500,$C18,'DADOS BRUTOS'!F$3:F$500)))</f>
        <v/>
      </c>
      <c r="CG18" s="56">
        <f>IF(OR(CG$4="",$B18=""),0,SUMIF('DADOS BRUTOS'!$A$3:$A$500,$B18,'DADOS BRUTOS'!G$3:G$500)+IF($C18="",0,SUMIF('DADOS BRUTOS'!$A$3:$A$500,$C18,'DADOS BRUTOS'!G$3:G$500)))</f>
        <v/>
      </c>
      <c r="CH18" s="56">
        <f>IF(OR(CH$4="",$B18=""),0,SUMIF('DADOS BRUTOS'!$A$3:$A$500,$B18,'DADOS BRUTOS'!H$3:H$500)+IF($C18="",0,SUMIF('DADOS BRUTOS'!$A$3:$A$500,$C18,'DADOS BRUTOS'!H$3:H$500)))</f>
        <v/>
      </c>
      <c r="CI18" s="56">
        <f>IF(OR(CI$4="",$B18=""),0,SUMIF('DADOS BRUTOS'!$A$3:$A$500,$B18,'DADOS BRUTOS'!I$3:I$500)+IF($C18="",0,SUMIF('DADOS BRUTOS'!$A$3:$A$500,$C18,'DADOS BRUTOS'!I$3:I$500)))</f>
        <v/>
      </c>
      <c r="CJ18" s="56">
        <f>IF(OR(CJ$4="",$B18=""),0,SUMIF('DADOS BRUTOS'!$A$3:$A$500,$B18,'DADOS BRUTOS'!J$3:J$500)+IF($C18="",0,SUMIF('DADOS BRUTOS'!$A$3:$A$500,$C18,'DADOS BRUTOS'!J$3:J$500)))</f>
        <v/>
      </c>
      <c r="CK18" s="56">
        <f>IF(OR(CK$4="",$B18=""),0,SUMIF('DADOS BRUTOS'!$A$3:$A$500,$B18,'DADOS BRUTOS'!K$3:K$500)+IF($C18="",0,SUMIF('DADOS BRUTOS'!$A$3:$A$500,$C18,'DADOS BRUTOS'!K$3:K$500)))</f>
        <v/>
      </c>
      <c r="CL18" s="56">
        <f>IF(OR(CL$4="",$B18=""),0,SUMIF('DADOS BRUTOS'!$A$3:$A$500,$B18,'DADOS BRUTOS'!L$3:L$500)+IF($C18="",0,SUMIF('DADOS BRUTOS'!$A$3:$A$500,$C18,'DADOS BRUTOS'!L$3:L$500)))</f>
        <v/>
      </c>
      <c r="CM18" s="56">
        <f>IF(OR(CM$4="",$B18=""),0,SUMIF('DADOS BRUTOS'!$A$3:$A$500,$B18,'DADOS BRUTOS'!M$3:M$500)+IF($C18="",0,SUMIF('DADOS BRUTOS'!$A$3:$A$500,$C18,'DADOS BRUTOS'!M$3:M$500)))</f>
        <v/>
      </c>
      <c r="CN18" s="56">
        <f>IF(OR(CN$4="",$B18=""),0,SUMIF('DADOS BRUTOS'!$A$3:$A$500,$B18,'DADOS BRUTOS'!N$3:N$500)+IF($C18="",0,SUMIF('DADOS BRUTOS'!$A$3:$A$500,$C18,'DADOS BRUTOS'!N$3:N$500)))</f>
        <v/>
      </c>
      <c r="CO18" s="56">
        <f>IF(OR(CO$4="",$B18=""),0,SUMIF('DADOS BRUTOS'!$A$3:$A$500,$B18,'DADOS BRUTOS'!O$3:O$500)+IF($C18="",0,SUMIF('DADOS BRUTOS'!$A$3:$A$500,$C18,'DADOS BRUTOS'!O$3:O$500)))</f>
        <v/>
      </c>
      <c r="CP18" s="56">
        <f>IF(OR(CP$4="",$B18=""),0,SUMIF('DADOS BRUTOS'!$A$3:$A$500,$B18,'DADOS BRUTOS'!P$3:P$500)+IF($C18="",0,SUMIF('DADOS BRUTOS'!$A$3:$A$500,$C18,'DADOS BRUTOS'!P$3:P$500)))</f>
        <v/>
      </c>
      <c r="CQ18" s="56">
        <f>IF(OR(CQ$4="",$B18=""),0,SUMIF('DADOS BRUTOS'!$A$3:$A$500,$B18,'DADOS BRUTOS'!Q$3:Q$500)+IF($C18="",0,SUMIF('DADOS BRUTOS'!$A$3:$A$500,$C18,'DADOS BRUTOS'!Q$3:Q$500)))</f>
        <v/>
      </c>
      <c r="CR18" s="56">
        <f>IF(OR(CR$4="",$B18=""),0,SUMIF('DADOS BRUTOS'!$A$3:$A$500,$B18,'DADOS BRUTOS'!R$3:R$500)+IF($C18="",0,SUMIF('DADOS BRUTOS'!$A$3:$A$500,$C18,'DADOS BRUTOS'!R$3:R$500)))</f>
        <v/>
      </c>
      <c r="CS18" s="56">
        <f>IF(OR(CS$4="",$B18=""),0,SUMIF('DADOS BRUTOS'!$A$3:$A$500,$B18,'DADOS BRUTOS'!S$3:S$500)+IF($C18="",0,SUMIF('DADOS BRUTOS'!$A$3:$A$500,$C18,'DADOS BRUTOS'!S$3:S$500)))</f>
        <v/>
      </c>
      <c r="CT18" s="56">
        <f>IF(OR(CT$4="",$B18=""),0,SUMIF('DADOS BRUTOS'!$A$3:$A$500,$B18,'DADOS BRUTOS'!T$3:T$500)+IF($C18="",0,SUMIF('DADOS BRUTOS'!$A$3:$A$500,$C18,'DADOS BRUTOS'!T$3:T$500)))</f>
        <v/>
      </c>
      <c r="CU18" s="56">
        <f>IF(OR(CU$4="",$B18=""),0,SUMIF('DADOS BRUTOS'!$A$3:$A$500,$B18,'DADOS BRUTOS'!U$3:U$500)+IF($C18="",0,SUMIF('DADOS BRUTOS'!$A$3:$A$500,$C18,'DADOS BRUTOS'!U$3:U$500)))</f>
        <v/>
      </c>
      <c r="CV18" s="56">
        <f>IF(OR(CV$4="",$B18=""),0,SUMIF('DADOS BRUTOS'!$A$3:$A$500,$B18,'DADOS BRUTOS'!V$3:V$500)+IF($C18="",0,SUMIF('DADOS BRUTOS'!$A$3:$A$500,$C18,'DADOS BRUTOS'!V$3:V$500)))</f>
        <v/>
      </c>
      <c r="CW18" s="56">
        <f>IF(OR(CW$4="",$B18=""),0,SUMIF('DADOS BRUTOS'!$A$3:$A$500,$B18,'DADOS BRUTOS'!W$3:W$500)+IF($C18="",0,SUMIF('DADOS BRUTOS'!$A$3:$A$500,$C18,'DADOS BRUTOS'!W$3:W$500)))</f>
        <v/>
      </c>
      <c r="CX18" s="56">
        <f>IF(OR(CX$4="",$B18=""),0,SUMIF('DADOS BRUTOS'!$A$3:$A$500,$B18,'DADOS BRUTOS'!X$3:X$500)+IF($C18="",0,SUMIF('DADOS BRUTOS'!$A$3:$A$500,$C18,'DADOS BRUTOS'!X$3:X$500)))</f>
        <v/>
      </c>
      <c r="CY18" s="56">
        <f>IF(OR(CY$4="",$B18=""),0,SUMIF('DADOS BRUTOS'!$A$3:$A$500,$B18,'DADOS BRUTOS'!Y$3:Y$500)+IF($C18="",0,SUMIF('DADOS BRUTOS'!$A$3:$A$500,$C18,'DADOS BRUTOS'!Y$3:Y$500)))</f>
        <v/>
      </c>
      <c r="CZ18" s="56">
        <f>IF(OR(CZ$4="",$B18=""),0,SUMIF('DADOS BRUTOS'!$A$3:$A$500,$B18,'DADOS BRUTOS'!Z$3:Z$500)+IF($C18="",0,SUMIF('DADOS BRUTOS'!$A$3:$A$500,$C18,'DADOS BRUTOS'!Z$3:Z$500)))</f>
        <v/>
      </c>
      <c r="DA18" s="56">
        <f>IF(OR(DA$4="",$B18=""),0,SUMIF('DADOS BRUTOS'!$A$3:$A$500,$B18,'DADOS BRUTOS'!AA$3:AA$500)+IF($C18="",0,SUMIF('DADOS BRUTOS'!$A$3:$A$500,$C18,'DADOS BRUTOS'!AA$3:AA$500)))</f>
        <v/>
      </c>
      <c r="DB18" s="56">
        <f>IF(OR(DB$4="",$B18=""),0,SUMIF('DADOS BRUTOS'!$A$3:$A$500,$B18,'DADOS BRUTOS'!AB$3:AB$500)+IF($C18="",0,SUMIF('DADOS BRUTOS'!$A$3:$A$500,$C18,'DADOS BRUTOS'!AB$3:AB$500)))</f>
        <v/>
      </c>
      <c r="DC18" s="56">
        <f>IF(OR(DC$4="",$B18=""),0,SUMIF('DADOS BRUTOS'!$A$3:$A$500,$B18,'DADOS BRUTOS'!AC$3:AC$500)+IF($C18="",0,SUMIF('DADOS BRUTOS'!$A$3:$A$500,$C18,'DADOS BRUTOS'!AC$3:AC$500)))</f>
        <v/>
      </c>
      <c r="DD18" s="56">
        <f>IF(OR(DD$4="",$B18=""),0,SUMIF('DADOS BRUTOS'!$A$3:$A$500,$B18,'DADOS BRUTOS'!AD$3:AD$500)+IF($C18="",0,SUMIF('DADOS BRUTOS'!$A$3:$A$500,$C18,'DADOS BRUTOS'!AD$3:AD$500)))</f>
        <v/>
      </c>
      <c r="DE18" s="56">
        <f>IF(OR(DE$4="",$B18=""),0,SUMIF('DADOS BRUTOS'!$A$3:$A$500,$B18,'DADOS BRUTOS'!AE$3:AE$500)+IF($C18="",0,SUMIF('DADOS BRUTOS'!$A$3:$A$500,$C18,'DADOS BRUTOS'!AE$3:AE$500)))</f>
        <v/>
      </c>
      <c r="DF18" s="56">
        <f>IF(OR(DF$4="",$B18=""),0,SUMIF('DADOS BRUTOS'!$A$3:$A$500,$B18,'DADOS BRUTOS'!AF$3:AF$500)+IF($C18="",0,SUMIF('DADOS BRUTOS'!$A$3:$A$500,$C18,'DADOS BRUTOS'!AF$3:AF$500)))</f>
        <v/>
      </c>
      <c r="DG18" s="56">
        <f>IF(OR(DG$4="",$B18=""),0,SUMIF('DADOS BRUTOS'!$A$3:$A$500,$B18,'DADOS BRUTOS'!AG$3:AG$500)+IF($C18="",0,SUMIF('DADOS BRUTOS'!$A$3:$A$500,$C18,'DADOS BRUTOS'!AG$3:AG$500)))</f>
        <v/>
      </c>
      <c r="DH18" s="56">
        <f>IF(OR(DH$4="",$B18=""),0,SUMIF('DADOS BRUTOS'!$A$3:$A$500,$B18,'DADOS BRUTOS'!AH$3:AH$500)+IF($C18="",0,SUMIF('DADOS BRUTOS'!$A$3:$A$500,$C18,'DADOS BRUTOS'!AH$3:AH$500)))</f>
        <v/>
      </c>
      <c r="DI18" s="56">
        <f>IF(OR(DI$4="",$B18=""),0,SUMIF('DADOS BRUTOS'!$A$3:$A$500,$B18,'DADOS BRUTOS'!AI$3:AI$500)+IF($C18="",0,SUMIF('DADOS BRUTOS'!$A$3:$A$500,$C18,'DADOS BRUTOS'!AI$3:AI$500)))</f>
        <v/>
      </c>
      <c r="DJ18" s="56">
        <f>IF(OR(DJ$4="",$B18=""),0,SUMIF('DADOS BRUTOS'!$A$3:$A$500,$B18,'DADOS BRUTOS'!AJ$3:AJ$500)+IF($C18="",0,SUMIF('DADOS BRUTOS'!$A$3:$A$500,$C18,'DADOS BRUTOS'!AJ$3:AJ$500)))</f>
        <v/>
      </c>
      <c r="DK18" s="56">
        <f>IF(OR(DK$4="",$B18=""),0,SUMIF('DADOS BRUTOS'!$A$3:$A$500,$B18,'DADOS BRUTOS'!AK$3:AK$500)+IF($C18="",0,SUMIF('DADOS BRUTOS'!$A$3:$A$500,$C18,'DADOS BRUTOS'!AK$3:AK$500)))</f>
        <v/>
      </c>
      <c r="DL18" s="56">
        <f>IF(OR(DL$4="",$B18=""),0,SUMIF('DADOS BRUTOS'!$A$3:$A$500,$B18,'DADOS BRUTOS'!AL$3:AL$500)+IF($C18="",0,SUMIF('DADOS BRUTOS'!$A$3:$A$500,$C18,'DADOS BRUTOS'!AL$3:AL$500)))</f>
        <v/>
      </c>
      <c r="DM18" s="56">
        <f>IF(OR(DM$4="",$B18=""),0,SUMIF('DADOS BRUTOS'!$A$3:$A$500,$B18,'DADOS BRUTOS'!AM$3:AM$500)+IF($C18="",0,SUMIF('DADOS BRUTOS'!$A$3:$A$500,$C18,'DADOS BRUTOS'!AM$3:AM$500)))</f>
        <v/>
      </c>
      <c r="DN18" s="56">
        <f>IF(OR(DN$4="",$B18=""),0,SUMIF('DADOS BRUTOS'!$A$3:$A$500,$B18,'DADOS BRUTOS'!AN$3:AN$500)+IF($C18="",0,SUMIF('DADOS BRUTOS'!$A$3:$A$500,$C18,'DADOS BRUTOS'!AN$3:AN$500)))</f>
        <v/>
      </c>
      <c r="DO18" s="56">
        <f>IF(OR(DO$4="",$B18=""),0,SUMIF('DADOS BRUTOS'!$A$3:$A$500,$B18,'DADOS BRUTOS'!AO$3:AO$500)+IF($C18="",0,SUMIF('DADOS BRUTOS'!$A$3:$A$500,$C18,'DADOS BRUTOS'!AO$3:AO$500)))</f>
        <v/>
      </c>
      <c r="DP18" s="56">
        <f>IF(OR(DP$4="",$B18=""),0,SUMIF('DADOS BRUTOS'!$A$3:$A$500,$B18,'DADOS BRUTOS'!AP$3:AP$500)+IF($C18="",0,SUMIF('DADOS BRUTOS'!$A$3:$A$500,$C18,'DADOS BRUTOS'!AP$3:AP$500)))</f>
        <v/>
      </c>
      <c r="DQ18" s="56">
        <f>IF(OR(DQ$4="",$B18=""),0,SUMIF('DADOS BRUTOS'!$A$3:$A$500,$B18,'DADOS BRUTOS'!AQ$3:AQ$500)+IF($C18="",0,SUMIF('DADOS BRUTOS'!$A$3:$A$500,$C18,'DADOS BRUTOS'!AQ$3:AQ$500)))</f>
        <v/>
      </c>
      <c r="DR18" s="56">
        <f>IF(OR(DR$4="",$B18=""),0,SUMIF('DADOS BRUTOS'!$A$3:$A$500,$B18,'DADOS BRUTOS'!AR$3:AR$500)+IF($C18="",0,SUMIF('DADOS BRUTOS'!$A$3:$A$500,$C18,'DADOS BRUTOS'!AR$3:AR$500)))</f>
        <v/>
      </c>
      <c r="DS18" s="56">
        <f>IF(OR(DS$4="",$B18=""),0,SUMIF('DADOS BRUTOS'!$A$3:$A$500,$B18,'DADOS BRUTOS'!AS$3:AS$500)+IF($C18="",0,SUMIF('DADOS BRUTOS'!$A$3:$A$500,$C18,'DADOS BRUTOS'!AS$3:AS$500)))</f>
        <v/>
      </c>
      <c r="DT18" s="56">
        <f>IF(OR(DT$4="",$B18=""),0,SUMIF('DADOS BRUTOS'!$A$3:$A$500,$B18,'DADOS BRUTOS'!AT$3:AT$500)+IF($C18="",0,SUMIF('DADOS BRUTOS'!$A$3:$A$500,$C18,'DADOS BRUTOS'!AT$3:AT$500)))</f>
        <v/>
      </c>
      <c r="DU18" s="56">
        <f>IF(OR(DU$4="",$B18=""),0,SUMIF('DADOS BRUTOS'!$A$3:$A$500,$B18,'DADOS BRUTOS'!AU$3:AU$500)+IF($C18="",0,SUMIF('DADOS BRUTOS'!$A$3:$A$500,$C18,'DADOS BRUTOS'!AU$3:AU$500)))</f>
        <v/>
      </c>
      <c r="DV18" s="56">
        <f>IF(OR(DV$4="",$B18=""),0,SUMIF('DADOS BRUTOS'!$A$3:$A$500,$B18,'DADOS BRUTOS'!AV$3:AV$500)+IF($C18="",0,SUMIF('DADOS BRUTOS'!$A$3:$A$500,$C18,'DADOS BRUTOS'!AV$3:AV$500)))</f>
        <v/>
      </c>
      <c r="DW18" s="56">
        <f>IF(OR(DW$4="",$B18=""),0,SUMIF('DADOS BRUTOS'!$A$3:$A$500,$B18,'DADOS BRUTOS'!AW$3:AW$500)+IF($C18="",0,SUMIF('DADOS BRUTOS'!$A$3:$A$500,$C18,'DADOS BRUTOS'!AW$3:AW$500)))</f>
        <v/>
      </c>
      <c r="DX18" s="56">
        <f>IF(OR(DX$4="",$B18=""),0,SUMIF('DADOS BRUTOS'!$A$3:$A$500,$B18,'DADOS BRUTOS'!AX$3:AX$500)+IF($C18="",0,SUMIF('DADOS BRUTOS'!$A$3:$A$500,$C18,'DADOS BRUTOS'!AX$3:AX$500)))</f>
        <v/>
      </c>
      <c r="DY18" s="56">
        <f>IF(OR(DY$4="",$B18=""),0,SUMIF('DADOS BRUTOS'!$A$3:$A$500,$B18,'DADOS BRUTOS'!AY$3:AY$500)+IF($C18="",0,SUMIF('DADOS BRUTOS'!$A$3:$A$500,$C18,'DADOS BRUTOS'!AY$3:AY$500)))</f>
        <v/>
      </c>
      <c r="DZ18" s="56">
        <f>IF(OR(DZ$4="",$B18=""),0,SUMIF('DADOS BRUTOS'!$A$3:$A$500,$B18,'DADOS BRUTOS'!AZ$3:AZ$500)+IF($C18="",0,SUMIF('DADOS BRUTOS'!$A$3:$A$500,$C18,'DADOS BRUTOS'!AZ$3:AZ$500)))</f>
        <v/>
      </c>
      <c r="EA18" s="56">
        <f>IF(OR(EA$4="",$B18=""),0,SUMIF('DADOS BRUTOS'!$A$3:$A$500,$B18,'DADOS BRUTOS'!BA$3:BA$500)+IF($C18="",0,SUMIF('DADOS BRUTOS'!$A$3:$A$500,$C18,'DADOS BRUTOS'!BA$3:BA$500)))</f>
        <v/>
      </c>
      <c r="EB18" s="56">
        <f>IF(OR(EB$4="",$B18=""),0,SUMIF('DADOS BRUTOS'!$A$3:$A$500,$B18,'DADOS BRUTOS'!BB$3:BB$500)+IF($C18="",0,SUMIF('DADOS BRUTOS'!$A$3:$A$500,$C18,'DADOS BRUTOS'!BB$3:BB$500)))</f>
        <v/>
      </c>
      <c r="EC18" s="56">
        <f>IF(OR(EC$4="",$B18=""),0,SUMIF('DADOS BRUTOS'!$A$3:$A$500,$B18,'DADOS BRUTOS'!BC$3:BC$500)+IF($C18="",0,SUMIF('DADOS BRUTOS'!$A$3:$A$500,$C18,'DADOS BRUTOS'!BC$3:BC$500)))</f>
        <v/>
      </c>
      <c r="ED18" s="56">
        <f>IF(OR(ED$4="",$B18=""),0,SUMIF('DADOS BRUTOS'!$A$3:$A$500,$B18,'DADOS BRUTOS'!BD$3:BD$500)+IF($C18="",0,SUMIF('DADOS BRUTOS'!$A$3:$A$500,$C18,'DADOS BRUTOS'!BD$3:BD$500)))</f>
        <v/>
      </c>
      <c r="EE18" s="56">
        <f>IF(OR(EE$4="",$B18=""),0,SUMIF('DADOS BRUTOS'!$A$3:$A$500,$B18,'DADOS BRUTOS'!BE$3:BE$500)+IF($C18="",0,SUMIF('DADOS BRUTOS'!$A$3:$A$500,$C18,'DADOS BRUTOS'!BE$3:BE$500)))</f>
        <v/>
      </c>
      <c r="EF18" s="56">
        <f>IF(OR(EF$4="",$B18=""),0,SUMIF('DADOS BRUTOS'!$A$3:$A$500,$B18,'DADOS BRUTOS'!BF$3:BF$500)+IF($C18="",0,SUMIF('DADOS BRUTOS'!$A$3:$A$500,$C18,'DADOS BRUTOS'!BF$3:BF$500)))</f>
        <v/>
      </c>
      <c r="EG18" s="56">
        <f>IF(OR(EG$4="",$B18=""),0,SUMIF('DADOS BRUTOS'!$A$3:$A$500,$B18,'DADOS BRUTOS'!BG$3:BG$500)+IF($C18="",0,SUMIF('DADOS BRUTOS'!$A$3:$A$500,$C18,'DADOS BRUTOS'!BG$3:BG$500)))</f>
        <v/>
      </c>
      <c r="EH18" s="56">
        <f>IF(OR(EH$4="",$B18=""),0,SUMIF('DADOS BRUTOS'!$A$3:$A$500,$B18,'DADOS BRUTOS'!BH$3:BH$500)+IF($C18="",0,SUMIF('DADOS BRUTOS'!$A$3:$A$500,$C18,'DADOS BRUTOS'!BH$3:BH$500)))</f>
        <v/>
      </c>
      <c r="EI18" s="56">
        <f>IF(OR(EI$4="",$B18=""),0,SUMIF('DADOS BRUTOS'!$A$3:$A$500,$B18,'DADOS BRUTOS'!BI$3:BI$500)+IF($C18="",0,SUMIF('DADOS BRUTOS'!$A$3:$A$500,$C18,'DADOS BRUTOS'!BI$3:BI$500)))</f>
        <v/>
      </c>
      <c r="EJ18" s="56">
        <f>IF(OR(EJ$4="",$B18=""),0,SUMIF('DADOS BRUTOS'!$A$3:$A$500,$B18,'DADOS BRUTOS'!BJ$3:BJ$500)+IF($C18="",0,SUMIF('DADOS BRUTOS'!$A$3:$A$500,$C18,'DADOS BRUTOS'!BJ$3:BJ$500)))</f>
        <v/>
      </c>
      <c r="EK18" s="56">
        <f>IF(OR(EK$4="",$B18=""),0,SUMIF('DADOS BRUTOS'!$A$3:$A$500,$B18,'DADOS BRUTOS'!BK$3:BK$500)+IF($C18="",0,SUMIF('DADOS BRUTOS'!$A$3:$A$500,$C18,'DADOS BRUTOS'!BK$3:BK$500)))</f>
        <v/>
      </c>
      <c r="EL18" s="56">
        <f>IF(OR(EL$4="",$B18=""),0,SUMIF('DADOS BRUTOS'!$A$3:$A$500,$B18,'DADOS BRUTOS'!BL$3:BL$500)+IF($C18="",0,SUMIF('DADOS BRUTOS'!$A$3:$A$500,$C18,'DADOS BRUTOS'!BL$3:BL$500)))</f>
        <v/>
      </c>
      <c r="EM18" s="56">
        <f>IF(OR(EM$4="",$B18=""),0,SUMIF('DADOS BRUTOS'!$A$3:$A$500,$B18,'DADOS BRUTOS'!BM$3:BM$500)+IF($C18="",0,SUMIF('DADOS BRUTOS'!$A$3:$A$500,$C18,'DADOS BRUTOS'!BM$3:BM$500)))</f>
        <v/>
      </c>
      <c r="EN18" s="56">
        <f>IF(OR(EN$4="",$B18=""),0,SUMIF('DADOS BRUTOS'!$A$3:$A$500,$B18,'DADOS BRUTOS'!BN$3:BN$500)+IF($C18="",0,SUMIF('DADOS BRUTOS'!$A$3:$A$500,$C18,'DADOS BRUTOS'!BN$3:BN$500)))</f>
        <v/>
      </c>
      <c r="EO18" s="56">
        <f>IF(OR(EO$4="",$B18=""),0,SUMIF('DADOS BRUTOS'!$A$3:$A$500,$B18,'DADOS BRUTOS'!BO$3:BO$500)+IF($C18="",0,SUMIF('DADOS BRUTOS'!$A$3:$A$500,$C18,'DADOS BRUTOS'!BO$3:BO$500)))</f>
        <v/>
      </c>
      <c r="EP18" s="56">
        <f>IF(OR(EP$4="",$B18=""),0,SUMIF('DADOS BRUTOS'!$A$3:$A$500,$B18,'DADOS BRUTOS'!BP$3:BP$500)+IF($C18="",0,SUMIF('DADOS BRUTOS'!$A$3:$A$500,$C18,'DADOS BRUTOS'!BP$3:BP$500)))</f>
        <v/>
      </c>
      <c r="EQ18" s="56">
        <f>IF(OR(EQ$4="",$B18=""),0,SUMIF('DADOS BRUTOS'!$A$3:$A$500,$B18,'DADOS BRUTOS'!BQ$3:BQ$500)+IF($C18="",0,SUMIF('DADOS BRUTOS'!$A$3:$A$500,$C18,'DADOS BRUTOS'!BQ$3:BQ$500)))</f>
        <v/>
      </c>
      <c r="ER18" s="56">
        <f>IF(OR(ER$4="",$B18=""),0,SUMIF('DADOS BRUTOS'!$A$3:$A$500,$B18,'DADOS BRUTOS'!BR$3:BR$500)+IF($C18="",0,SUMIF('DADOS BRUTOS'!$A$3:$A$500,$C18,'DADOS BRUTOS'!BR$3:BR$500)))</f>
        <v/>
      </c>
      <c r="ES18" s="56">
        <f>IF(OR(ES$4="",$B18=""),0,SUMIF('DADOS BRUTOS'!$A$3:$A$500,$B18,'DADOS BRUTOS'!BS$3:BS$500)+IF($C18="",0,SUMIF('DADOS BRUTOS'!$A$3:$A$500,$C18,'DADOS BRUTOS'!BS$3:BS$500)))</f>
        <v/>
      </c>
      <c r="ET18" s="56">
        <f>IF(OR(ET$4="",$B18=""),0,SUMIF('DADOS BRUTOS'!$A$3:$A$500,$B18,'DADOS BRUTOS'!BT$3:BT$500)+IF($C18="",0,SUMIF('DADOS BRUTOS'!$A$3:$A$500,$C18,'DADOS BRUTOS'!BT$3:BT$500)))</f>
        <v/>
      </c>
      <c r="EU18" s="56">
        <f>IF(OR(EU$4="",$B18=""),0,SUMIF('DADOS BRUTOS'!$A$3:$A$500,$B18,'DADOS BRUTOS'!BU$3:BU$500)+IF($C18="",0,SUMIF('DADOS BRUTOS'!$A$3:$A$500,$C18,'DADOS BRUTOS'!BU$3:BU$500)))</f>
        <v/>
      </c>
      <c r="EV18" s="56">
        <f>IF(OR(EV$4="",$B18=""),0,SUMIF('DADOS BRUTOS'!$A$3:$A$500,$B18,'DADOS BRUTOS'!BV$3:BV$500)+IF($C18="",0,SUMIF('DADOS BRUTOS'!$A$3:$A$500,$C18,'DADOS BRUTOS'!BV$3:BV$500)))</f>
        <v/>
      </c>
      <c r="EW18" s="56">
        <f>IF(OR(EW$4="",$B18=""),0,SUMIF('DADOS BRUTOS'!$A$3:$A$500,$B18,'DADOS BRUTOS'!BW$3:BW$500)+IF($C18="",0,SUMIF('DADOS BRUTOS'!$A$3:$A$500,$C18,'DADOS BRUTOS'!BW$3:BW$500)))</f>
        <v/>
      </c>
      <c r="EX18" s="56">
        <f>IF(OR(EX$4="",$B18=""),0,SUMIF('DADOS BRUTOS'!$A$3:$A$500,$B18,'DADOS BRUTOS'!BX$3:BX$500)+IF($C18="",0,SUMIF('DADOS BRUTOS'!$A$3:$A$500,$C18,'DADOS BRUTOS'!BX$3:BX$500)))</f>
        <v/>
      </c>
      <c r="EY18" s="56">
        <f>IF(OR(EY$4="",$B18=""),0,SUMIF('DADOS BRUTOS'!$A$3:$A$500,$B18,'DADOS BRUTOS'!BY$3:BY$500)+IF($C18="",0,SUMIF('DADOS BRUTOS'!$A$3:$A$500,$C18,'DADOS BRUTOS'!BY$3:BY$500)))</f>
        <v/>
      </c>
      <c r="EZ18" s="56">
        <f>IF(OR(EZ$4="",$B18=""),0,SUMIF('DADOS BRUTOS'!$A$3:$A$500,$B18,'DADOS BRUTOS'!BZ$3:BZ$500)+IF($C18="",0,SUMIF('DADOS BRUTOS'!$A$3:$A$500,$C18,'DADOS BRUTOS'!BZ$3:BZ$500)))</f>
        <v/>
      </c>
      <c r="FA18" s="56">
        <f>IF(OR(FA$4="",$B18=""),0,SUMIF('DADOS BRUTOS'!$A$3:$A$500,$B18,'DADOS BRUTOS'!CA$3:CA$500)+IF($C18="",0,SUMIF('DADOS BRUTOS'!$A$3:$A$500,$C18,'DADOS BRUTOS'!CA$3:CA$500)))</f>
        <v/>
      </c>
      <c r="FB18" s="56">
        <f>IF(OR(FB$4="",$B18=""),0,SUMIF('DADOS BRUTOS'!$A$3:$A$500,$B18,'DADOS BRUTOS'!CB$3:CB$500)+IF($C18="",0,SUMIF('DADOS BRUTOS'!$A$3:$A$500,$C18,'DADOS BRUTOS'!CB$3:CB$500)))</f>
        <v/>
      </c>
      <c r="FC18" s="56">
        <f>IF(OR(FC$4="",$B18=""),0,SUMIF('DADOS BRUTOS'!$A$3:$A$500,$B18,'DADOS BRUTOS'!CC$3:CC$500)+IF($C18="",0,SUMIF('DADOS BRUTOS'!$A$3:$A$500,$C18,'DADOS BRUTOS'!CC$3:CC$500)))</f>
        <v/>
      </c>
      <c r="FD18" s="56">
        <f>IF(OR(FD$4="",$B18=""),0,SUMIF('DADOS BRUTOS'!$A$3:$A$500,$B18,'DADOS BRUTOS'!CD$3:CD$500)+IF($C18="",0,SUMIF('DADOS BRUTOS'!$A$3:$A$500,$C18,'DADOS BRUTOS'!CD$3:CD$500)))</f>
        <v/>
      </c>
      <c r="FE18" s="56">
        <f>IF(OR(FE$4="",$B18=""),0,SUMIF('DADOS BRUTOS'!$A$3:$A$500,$B18,'DADOS BRUTOS'!CE$3:CE$500)+IF($C18="",0,SUMIF('DADOS BRUTOS'!$A$3:$A$500,$C18,'DADOS BRUTOS'!CE$3:CE$500)))</f>
        <v/>
      </c>
      <c r="FF18" s="56">
        <f>IF(OR(FF$4="",$B18=""),0,SUMIF('DADOS BRUTOS'!$A$3:$A$500,$B18,'DADOS BRUTOS'!CF$3:CF$500)+IF($C18="",0,SUMIF('DADOS BRUTOS'!$A$3:$A$500,$C18,'DADOS BRUTOS'!CF$3:CF$500)))</f>
        <v/>
      </c>
      <c r="FG18" s="56">
        <f>IF(OR(FG$4="",$B18=""),0,SUMIF('DADOS BRUTOS'!$A$3:$A$500,$B18,'DADOS BRUTOS'!CG$3:CG$500)+IF($C18="",0,SUMIF('DADOS BRUTOS'!$A$3:$A$500,$C18,'DADOS BRUTOS'!CG$3:CG$500)))</f>
        <v/>
      </c>
      <c r="FH18" s="56">
        <f>IF(OR(FH$4="",$B18=""),0,SUMIF('DADOS BRUTOS'!$A$3:$A$500,$B18,'DADOS BRUTOS'!CH$3:CH$500)+IF($C18="",0,SUMIF('DADOS BRUTOS'!$A$3:$A$500,$C18,'DADOS BRUTOS'!CH$3:CH$500)))</f>
        <v/>
      </c>
      <c r="FI18" s="56">
        <f>IF(OR(FI$4="",$B18=""),0,SUMIF('DADOS BRUTOS'!$A$3:$A$500,$B18,'DADOS BRUTOS'!CI$3:CI$500)+IF($C18="",0,SUMIF('DADOS BRUTOS'!$A$3:$A$500,$C18,'DADOS BRUTOS'!CI$3:CI$500)))</f>
        <v/>
      </c>
      <c r="FJ18" s="56">
        <f>IF(OR(FJ$4="",$B18=""),0,SUMIF('DADOS BRUTOS'!$A$3:$A$500,$B18,'DADOS BRUTOS'!CJ$3:CJ$500)+IF($C18="",0,SUMIF('DADOS BRUTOS'!$A$3:$A$500,$C18,'DADOS BRUTOS'!CJ$3:CJ$500)))</f>
        <v/>
      </c>
      <c r="FK18" s="56">
        <f>IF(OR(FK$4="",$B18=""),0,SUMIF('DADOS BRUTOS'!$A$3:$A$500,$B18,'DADOS BRUTOS'!CK$3:CK$500)+IF($C18="",0,SUMIF('DADOS BRUTOS'!$A$3:$A$500,$C18,'DADOS BRUTOS'!CK$3:CK$500)))</f>
        <v/>
      </c>
      <c r="FL18" s="56">
        <f>IF(OR(FL$4="",$B18=""),0,SUMIF('DADOS BRUTOS'!$A$3:$A$500,$B18,'DADOS BRUTOS'!CL$3:CL$500)+IF($C18="",0,SUMIF('DADOS BRUTOS'!$A$3:$A$500,$C18,'DADOS BRUTOS'!CL$3:CL$500)))</f>
        <v/>
      </c>
      <c r="FM18" s="56">
        <f>IF(OR(FM$4="",$B18=""),0,SUMIF('DADOS BRUTOS'!$A$3:$A$500,$B18,'DADOS BRUTOS'!CM$3:CM$500)+IF($C18="",0,SUMIF('DADOS BRUTOS'!$A$3:$A$500,$C18,'DADOS BRUTOS'!CM$3:CM$500)))</f>
        <v/>
      </c>
      <c r="FN18" s="56">
        <f>IF(OR(FN$4="",$B18=""),0,SUMIF('DADOS BRUTOS'!$A$3:$A$500,$B18,'DADOS BRUTOS'!CN$3:CN$500)+IF($C18="",0,SUMIF('DADOS BRUTOS'!$A$3:$A$500,$C18,'DADOS BRUTOS'!CN$3:CN$500)))</f>
        <v/>
      </c>
      <c r="FO18" s="56">
        <f>IF(OR(FO$4="",$B18=""),0,SUMIF('DADOS BRUTOS'!$A$3:$A$500,$B18,'DADOS BRUTOS'!CO$3:CO$500)+IF($C18="",0,SUMIF('DADOS BRUTOS'!$A$3:$A$500,$C18,'DADOS BRUTOS'!CO$3:CO$500)))</f>
        <v/>
      </c>
      <c r="FP18" s="56">
        <f>IF(OR(FP$4="",$B18=""),0,SUMIF('DADOS BRUTOS'!$A$3:$A$500,$B18,'DADOS BRUTOS'!CP$3:CP$500)+IF($C18="",0,SUMIF('DADOS BRUTOS'!$A$3:$A$500,$C18,'DADOS BRUTOS'!CP$3:CP$500)))</f>
        <v/>
      </c>
      <c r="FQ18" s="56">
        <f>IF(OR(FQ$4="",$B18=""),0,SUMIF('DADOS BRUTOS'!$A$3:$A$500,$B18,'DADOS BRUTOS'!CQ$3:CQ$500)+IF($C18="",0,SUMIF('DADOS BRUTOS'!$A$3:$A$500,$C18,'DADOS BRUTOS'!CQ$3:CQ$500)))</f>
        <v/>
      </c>
      <c r="FR18" s="56">
        <f>IF(OR(FR$4="",$B18=""),0,SUMIF('DADOS BRUTOS'!$A$3:$A$500,$B18,'DADOS BRUTOS'!CR$3:CR$500)+IF($C18="",0,SUMIF('DADOS BRUTOS'!$A$3:$A$500,$C18,'DADOS BRUTOS'!CR$3:CR$500)))</f>
        <v/>
      </c>
      <c r="FS18" s="56">
        <f>IF(OR(FS$4="",$B18=""),0,SUMIF('DADOS BRUTOS'!$A$3:$A$500,$B18,'DADOS BRUTOS'!CS$3:CS$500)+IF($C18="",0,SUMIF('DADOS BRUTOS'!$A$3:$A$500,$C18,'DADOS BRUTOS'!CS$3:CS$500)))</f>
        <v/>
      </c>
      <c r="FT18" s="56">
        <f>IF(OR(FT$4="",$B18=""),0,SUMIF('DADOS BRUTOS'!$A$3:$A$500,$B18,'DADOS BRUTOS'!CT$3:CT$500)+IF($C18="",0,SUMIF('DADOS BRUTOS'!$A$3:$A$500,$C18,'DADOS BRUTOS'!CT$3:CT$500)))</f>
        <v/>
      </c>
      <c r="FU18" s="56">
        <f>IF(OR(FU$4="",$B18=""),0,SUMIF('DADOS BRUTOS'!$A$3:$A$500,$B18,'DADOS BRUTOS'!CU$3:CU$500)+IF($C18="",0,SUMIF('DADOS BRUTOS'!$A$3:$A$500,$C18,'DADOS BRUTOS'!CU$3:CU$500)))</f>
        <v/>
      </c>
      <c r="FV18" s="56">
        <f>IF(OR(FV$4="",$B18=""),0,SUMIF('DADOS BRUTOS'!$A$3:$A$500,$B18,'DADOS BRUTOS'!CV$3:CV$500)+IF($C18="",0,SUMIF('DADOS BRUTOS'!$A$3:$A$500,$C18,'DADOS BRUTOS'!CV$3:CV$500)))</f>
        <v/>
      </c>
      <c r="FW18" s="56">
        <f>IF(OR(FW$4="",$B18=""),0,SUMIF('DADOS BRUTOS'!$A$3:$A$500,$B18,'DADOS BRUTOS'!CW$3:CW$500)+IF($C18="",0,SUMIF('DADOS BRUTOS'!$A$3:$A$500,$C18,'DADOS BRUTOS'!CW$3:CW$500)))</f>
        <v/>
      </c>
      <c r="FX18" s="56">
        <f>IF(OR(FX$4="",$B18=""),0,SUMIF('DADOS BRUTOS'!$A$3:$A$500,$B18,'DADOS BRUTOS'!CX$3:CX$500)+IF($C18="",0,SUMIF('DADOS BRUTOS'!$A$3:$A$500,$C18,'DADOS BRUTOS'!CX$3:CX$500)))</f>
        <v/>
      </c>
      <c r="FY18" s="56">
        <f>IF(OR(FY$4="",$B18=""),0,SUMIF('DADOS BRUTOS'!$A$3:$A$500,$B18,'DADOS BRUTOS'!CY$3:CY$500)+IF($C18="",0,SUMIF('DADOS BRUTOS'!$A$3:$A$500,$C18,'DADOS BRUTOS'!CY$3:CY$500)))</f>
        <v/>
      </c>
      <c r="FZ18" s="56">
        <f>IF(OR(FZ$4="",$B18=""),0,SUMIF('DADOS BRUTOS'!$A$3:$A$500,$B18,'DADOS BRUTOS'!CZ$3:CZ$500)+IF($C18="",0,SUMIF('DADOS BRUTOS'!$A$3:$A$500,$C18,'DADOS BRUTOS'!CZ$3:CZ$500)))</f>
        <v/>
      </c>
      <c r="GA18" s="56">
        <f>IF(OR(GA$4="",$B18=""),0,SUMIF('DADOS BRUTOS'!$A$3:$A$500,$B18,'DADOS BRUTOS'!DA$3:DA$500)+IF($C18="",0,SUMIF('DADOS BRUTOS'!$A$3:$A$500,$C18,'DADOS BRUTOS'!DA$3:DA$500)))</f>
        <v/>
      </c>
      <c r="GB18" s="56">
        <f>IF(OR(GB$4="",$B18=""),0,SUMIF('DADOS BRUTOS'!$A$3:$A$500,$B18,'DADOS BRUTOS'!DB$3:DB$500)+IF($C18="",0,SUMIF('DADOS BRUTOS'!$A$3:$A$500,$C18,'DADOS BRUTOS'!DB$3:DB$500)))</f>
        <v/>
      </c>
      <c r="GC18" s="56">
        <f>IF(OR(GC$4="",$B18=""),0,SUMIF('DADOS BRUTOS'!$A$3:$A$500,$B18,'DADOS BRUTOS'!DC$3:DC$500)+IF($C18="",0,SUMIF('DADOS BRUTOS'!$A$3:$A$500,$C18,'DADOS BRUTOS'!DC$3:DC$500)))</f>
        <v/>
      </c>
      <c r="GD18" s="56">
        <f>IF(OR(GD$4="",$B18=""),0,SUMIF('DADOS BRUTOS'!$A$3:$A$500,$B18,'DADOS BRUTOS'!DD$3:DD$500)+IF($C18="",0,SUMIF('DADOS BRUTOS'!$A$3:$A$500,$C18,'DADOS BRUTOS'!DD$3:DD$500)))</f>
        <v/>
      </c>
      <c r="GE18" s="56">
        <f>IF(OR(GE$4="",$B18=""),0,SUMIF('DADOS BRUTOS'!$A$3:$A$500,$B18,'DADOS BRUTOS'!DE$3:DE$500)+IF($C18="",0,SUMIF('DADOS BRUTOS'!$A$3:$A$500,$C18,'DADOS BRUTOS'!DE$3:DE$500)))</f>
        <v/>
      </c>
      <c r="GF18" s="56">
        <f>IF(OR(GF$4="",$B18=""),0,SUMIF('DADOS BRUTOS'!$A$3:$A$500,$B18,'DADOS BRUTOS'!DF$3:DF$500)+IF($C18="",0,SUMIF('DADOS BRUTOS'!$A$3:$A$500,$C18,'DADOS BRUTOS'!DF$3:DF$500)))</f>
        <v/>
      </c>
      <c r="GG18" s="56">
        <f>IF(OR(GG$4="",$B18=""),0,SUMIF('DADOS BRUTOS'!$A$3:$A$500,$B18,'DADOS BRUTOS'!DG$3:DG$500)+IF($C18="",0,SUMIF('DADOS BRUTOS'!$A$3:$A$500,$C18,'DADOS BRUTOS'!DG$3:DG$500)))</f>
        <v/>
      </c>
      <c r="GH18" s="56">
        <f>IF(OR(GH$4="",$B18=""),0,SUMIF('DADOS BRUTOS'!$A$3:$A$500,$B18,'DADOS BRUTOS'!DH$3:DH$500)+IF($C18="",0,SUMIF('DADOS BRUTOS'!$A$3:$A$500,$C18,'DADOS BRUTOS'!DH$3:DH$500)))</f>
        <v/>
      </c>
      <c r="GI18" s="56">
        <f>IF(OR(GI$4="",$B18=""),0,SUMIF('DADOS BRUTOS'!$A$3:$A$500,$B18,'DADOS BRUTOS'!DI$3:DI$500)+IF($C18="",0,SUMIF('DADOS BRUTOS'!$A$3:$A$500,$C18,'DADOS BRUTOS'!DI$3:DI$500)))</f>
        <v/>
      </c>
      <c r="GJ18" s="56">
        <f>IF(OR(GJ$4="",$B18=""),0,SUMIF('DADOS BRUTOS'!$A$3:$A$500,$B18,'DADOS BRUTOS'!DJ$3:DJ$500)+IF($C18="",0,SUMIF('DADOS BRUTOS'!$A$3:$A$500,$C18,'DADOS BRUTOS'!DJ$3:DJ$500)))</f>
        <v/>
      </c>
      <c r="GK18" s="56">
        <f>IF(OR(GK$4="",$B18=""),0,SUMIF('DADOS BRUTOS'!$A$3:$A$500,$B18,'DADOS BRUTOS'!DK$3:DK$500)+IF($C18="",0,SUMIF('DADOS BRUTOS'!$A$3:$A$500,$C18,'DADOS BRUTOS'!DK$3:DK$500)))</f>
        <v/>
      </c>
      <c r="GL18" s="56">
        <f>IF(OR(GL$4="",$B18=""),0,SUMIF('DADOS BRUTOS'!$A$3:$A$500,$B18,'DADOS BRUTOS'!DL$3:DL$500)+IF($C18="",0,SUMIF('DADOS BRUTOS'!$A$3:$A$500,$C18,'DADOS BRUTOS'!DL$3:DL$500)))</f>
        <v/>
      </c>
      <c r="GM18" s="56">
        <f>IF(OR(GM$4="",$B18=""),0,SUMIF('DADOS BRUTOS'!$A$3:$A$500,$B18,'DADOS BRUTOS'!DM$3:DM$500)+IF($C18="",0,SUMIF('DADOS BRUTOS'!$A$3:$A$500,$C18,'DADOS BRUTOS'!DM$3:DM$500)))</f>
        <v/>
      </c>
      <c r="GN18" s="56">
        <f>IF(OR(GN$4="",$B18=""),0,SUMIF('DADOS BRUTOS'!$A$3:$A$500,$B18,'DADOS BRUTOS'!DN$3:DN$500)+IF($C18="",0,SUMIF('DADOS BRUTOS'!$A$3:$A$500,$C18,'DADOS BRUTOS'!DN$3:DN$500)))</f>
        <v/>
      </c>
      <c r="GO18" s="56">
        <f>IF(OR(GO$4="",$B18=""),0,SUMIF('DADOS BRUTOS'!$A$3:$A$500,$B18,'DADOS BRUTOS'!DO$3:DO$500)+IF($C18="",0,SUMIF('DADOS BRUTOS'!$A$3:$A$500,$C18,'DADOS BRUTOS'!DO$3:DO$500)))</f>
        <v/>
      </c>
      <c r="GP18" s="56">
        <f>IF(OR(GP$4="",$B18=""),0,SUMIF('DADOS BRUTOS'!$A$3:$A$500,$B18,'DADOS BRUTOS'!DP$3:DP$500)+IF($C18="",0,SUMIF('DADOS BRUTOS'!$A$3:$A$500,$C18,'DADOS BRUTOS'!DP$3:DP$500)))</f>
        <v/>
      </c>
      <c r="GQ18" s="56">
        <f>IF(OR(GQ$4="",$B18=""),0,SUMIF('DADOS BRUTOS'!$A$3:$A$500,$B18,'DADOS BRUTOS'!DQ$3:DQ$500)+IF($C18="",0,SUMIF('DADOS BRUTOS'!$A$3:$A$500,$C18,'DADOS BRUTOS'!DQ$3:DQ$500)))</f>
        <v/>
      </c>
      <c r="GR18" s="56">
        <f>IF(OR(GR$4="",$B18=""),0,SUMIF('DADOS BRUTOS'!$A$3:$A$500,$B18,'DADOS BRUTOS'!DR$3:DR$500)+IF($C18="",0,SUMIF('DADOS BRUTOS'!$A$3:$A$500,$C18,'DADOS BRUTOS'!DR$3:DR$500)))</f>
        <v/>
      </c>
      <c r="GS18" s="56">
        <f>IF(OR(GS$4="",$B18=""),0,SUMIF('DADOS BRUTOS'!$A$3:$A$500,$B18,'DADOS BRUTOS'!DS$3:DS$500)+IF($C18="",0,SUMIF('DADOS BRUTOS'!$A$3:$A$500,$C18,'DADOS BRUTOS'!DS$3:DS$500)))</f>
        <v/>
      </c>
      <c r="GT18" s="56">
        <f>IF(OR(GT$4="",$B18=""),0,SUMIF('DADOS BRUTOS'!$A$3:$A$500,$B18,'DADOS BRUTOS'!DT$3:DT$500)+IF($C18="",0,SUMIF('DADOS BRUTOS'!$A$3:$A$500,$C18,'DADOS BRUTOS'!DT$3:DT$500)))</f>
        <v/>
      </c>
      <c r="GU18" s="56">
        <f>IF(OR(GU$4="",$B18=""),0,SUMIF('DADOS BRUTOS'!$A$3:$A$500,$B18,'DADOS BRUTOS'!DU$3:DU$500)+IF($C18="",0,SUMIF('DADOS BRUTOS'!$A$3:$A$500,$C18,'DADOS BRUTOS'!DU$3:DU$500)))</f>
        <v/>
      </c>
      <c r="GV18" s="56">
        <f>IF(OR(GV$4="",$B18=""),0,SUMIF('DADOS BRUTOS'!$A$3:$A$500,$B18,'DADOS BRUTOS'!DV$3:DV$500)+IF($C18="",0,SUMIF('DADOS BRUTOS'!$A$3:$A$500,$C18,'DADOS BRUTOS'!DV$3:DV$500)))</f>
        <v/>
      </c>
      <c r="GW18" s="56">
        <f>IF(OR(GW$4="",$B18=""),0,SUMIF('DADOS BRUTOS'!$A$3:$A$500,$B18,'DADOS BRUTOS'!DW$3:DW$500)+IF($C18="",0,SUMIF('DADOS BRUTOS'!$A$3:$A$500,$C18,'DADOS BRUTOS'!DW$3:DW$500)))</f>
        <v/>
      </c>
      <c r="GX18" s="56">
        <f>IF(OR(GX$4="",$B18=""),0,SUMIF('DADOS BRUTOS'!$A$3:$A$500,$B18,'DADOS BRUTOS'!DX$3:DX$500)+IF($C18="",0,SUMIF('DADOS BRUTOS'!$A$3:$A$500,$C18,'DADOS BRUTOS'!DX$3:DX$500)))</f>
        <v/>
      </c>
      <c r="GY18" s="56">
        <f>IF(OR(GY$4="",$B18=""),0,SUMIF('DADOS BRUTOS'!$A$3:$A$500,$B18,'DADOS BRUTOS'!DY$3:DY$500)+IF($C18="",0,SUMIF('DADOS BRUTOS'!$A$3:$A$500,$C18,'DADOS BRUTOS'!DY$3:DY$500)))</f>
        <v/>
      </c>
      <c r="GZ18" s="56">
        <f>IF(OR(GZ$4="",$B18=""),0,SUMIF('DADOS BRUTOS'!$A$3:$A$500,$B18,'DADOS BRUTOS'!DZ$3:DZ$500)+IF($C18="",0,SUMIF('DADOS BRUTOS'!$A$3:$A$500,$C18,'DADOS BRUTOS'!DZ$3:DZ$500)))</f>
        <v/>
      </c>
      <c r="HA18" s="56">
        <f>IF(OR(HA$4="",$B18=""),0,SUMIF('DADOS BRUTOS'!$A$3:$A$500,$B18,'DADOS BRUTOS'!EA$3:EA$500)+IF($C18="",0,SUMIF('DADOS BRUTOS'!$A$3:$A$500,$C18,'DADOS BRUTOS'!EA$3:EA$500)))</f>
        <v/>
      </c>
      <c r="HB18" s="56">
        <f>IF(OR(HB$4="",$B18=""),0,SUMIF('DADOS BRUTOS'!$A$3:$A$500,$B18,'DADOS BRUTOS'!EB$3:EB$500)+IF($C18="",0,SUMIF('DADOS BRUTOS'!$A$3:$A$500,$C18,'DADOS BRUTOS'!EB$3:EB$500)))</f>
        <v/>
      </c>
      <c r="HC18" s="56">
        <f>IF(OR(HC$4="",$B18=""),0,SUMIF('DADOS BRUTOS'!$A$3:$A$500,$B18,'DADOS BRUTOS'!EC$3:EC$500)+IF($C18="",0,SUMIF('DADOS BRUTOS'!$A$3:$A$500,$C18,'DADOS BRUTOS'!EC$3:EC$500)))</f>
        <v/>
      </c>
      <c r="HD18" s="56">
        <f>IF(OR(HD$4="",$B18=""),0,SUMIF('DADOS BRUTOS'!$A$3:$A$500,$B18,'DADOS BRUTOS'!ED$3:ED$500)+IF($C18="",0,SUMIF('DADOS BRUTOS'!$A$3:$A$500,$C18,'DADOS BRUTOS'!ED$3:ED$500)))</f>
        <v/>
      </c>
      <c r="HE18" s="56">
        <f>IF(OR(HE$4="",$B18=""),0,SUMIF('DADOS BRUTOS'!$A$3:$A$500,$B18,'DADOS BRUTOS'!EE$3:EE$500)+IF($C18="",0,SUMIF('DADOS BRUTOS'!$A$3:$A$500,$C18,'DADOS BRUTOS'!EE$3:EE$500)))</f>
        <v/>
      </c>
      <c r="HF18" s="56">
        <f>IF(OR(HF$4="",$B18=""),0,SUMIF('DADOS BRUTOS'!$A$3:$A$500,$B18,'DADOS BRUTOS'!EF$3:EF$500)+IF($C18="",0,SUMIF('DADOS BRUTOS'!$A$3:$A$500,$C18,'DADOS BRUTOS'!EF$3:EF$500)))</f>
        <v/>
      </c>
      <c r="HG18" s="56">
        <f>IF(OR(HG$4="",$B18=""),0,SUMIF('DADOS BRUTOS'!$A$3:$A$500,$B18,'DADOS BRUTOS'!EG$3:EG$500)+IF($C18="",0,SUMIF('DADOS BRUTOS'!$A$3:$A$500,$C18,'DADOS BRUTOS'!EG$3:EG$500)))</f>
        <v/>
      </c>
      <c r="HH18" s="56">
        <f>IF(OR(HH$4="",$B18=""),0,SUMIF('DADOS BRUTOS'!$A$3:$A$500,$B18,'DADOS BRUTOS'!EH$3:EH$500)+IF($C18="",0,SUMIF('DADOS BRUTOS'!$A$3:$A$500,$C18,'DADOS BRUTOS'!EH$3:EH$500)))</f>
        <v/>
      </c>
      <c r="HI18" s="56">
        <f>IF(OR(HI$4="",$B18=""),0,SUMIF('DADOS BRUTOS'!$A$3:$A$500,$B18,'DADOS BRUTOS'!EI$3:EI$500)+IF($C18="",0,SUMIF('DADOS BRUTOS'!$A$3:$A$500,$C18,'DADOS BRUTOS'!EI$3:EI$500)))</f>
        <v/>
      </c>
      <c r="HJ18" s="56">
        <f>IF(OR(HJ$4="",$B18=""),0,SUMIF('DADOS BRUTOS'!$A$3:$A$500,$B18,'DADOS BRUTOS'!EJ$3:EJ$500)+IF($C18="",0,SUMIF('DADOS BRUTOS'!$A$3:$A$500,$C18,'DADOS BRUTOS'!EJ$3:EJ$500)))</f>
        <v/>
      </c>
      <c r="HK18" s="56">
        <f>IF(OR(HK$4="",$B18=""),0,SUMIF('DADOS BRUTOS'!$A$3:$A$500,$B18,'DADOS BRUTOS'!EK$3:EK$500)+IF($C18="",0,SUMIF('DADOS BRUTOS'!$A$3:$A$500,$C18,'DADOS BRUTOS'!EK$3:EK$500)))</f>
        <v/>
      </c>
      <c r="HL18" s="56">
        <f>IF(OR(HL$4="",$B18=""),0,SUMIF('DADOS BRUTOS'!$A$3:$A$500,$B18,'DADOS BRUTOS'!EL$3:EL$500)+IF($C18="",0,SUMIF('DADOS BRUTOS'!$A$3:$A$500,$C18,'DADOS BRUTOS'!EL$3:EL$500)))</f>
        <v/>
      </c>
      <c r="HM18" s="56">
        <f>IF(OR(HM$4="",$B18=""),0,SUMIF('DADOS BRUTOS'!$A$3:$A$500,$B18,'DADOS BRUTOS'!EM$3:EM$500)+IF($C18="",0,SUMIF('DADOS BRUTOS'!$A$3:$A$500,$C18,'DADOS BRUTOS'!EM$3:EM$500)))</f>
        <v/>
      </c>
      <c r="HN18" s="56">
        <f>IF(OR(HN$4="",$B18=""),0,SUMIF('DADOS BRUTOS'!$A$3:$A$500,$B18,'DADOS BRUTOS'!EN$3:EN$500)+IF($C18="",0,SUMIF('DADOS BRUTOS'!$A$3:$A$500,$C18,'DADOS BRUTOS'!EN$3:EN$500)))</f>
        <v/>
      </c>
      <c r="HO18" s="56">
        <f>IF(OR(HO$4="",$B18=""),0,SUMIF('DADOS BRUTOS'!$A$3:$A$500,$B18,'DADOS BRUTOS'!EO$3:EO$500)+IF($C18="",0,SUMIF('DADOS BRUTOS'!$A$3:$A$500,$C18,'DADOS BRUTOS'!EO$3:EO$500)))</f>
        <v/>
      </c>
      <c r="HP18" s="56">
        <f>IF(OR(HP$4="",$B18=""),0,SUMIF('DADOS BRUTOS'!$A$3:$A$500,$B18,'DADOS BRUTOS'!EP$3:EP$500)+IF($C18="",0,SUMIF('DADOS BRUTOS'!$A$3:$A$500,$C18,'DADOS BRUTOS'!EP$3:EP$500)))</f>
        <v/>
      </c>
      <c r="HQ18" s="56">
        <f>IF(OR(HQ$4="",$B18=""),0,SUMIF('DADOS BRUTOS'!$A$3:$A$500,$B18,'DADOS BRUTOS'!EQ$3:EQ$500)+IF($C18="",0,SUMIF('DADOS BRUTOS'!$A$3:$A$500,$C18,'DADOS BRUTOS'!EQ$3:EQ$500)))</f>
        <v/>
      </c>
      <c r="HR18" s="56">
        <f>IF(OR(HR$4="",$B18=""),0,SUMIF('DADOS BRUTOS'!$A$3:$A$500,$B18,'DADOS BRUTOS'!ER$3:ER$500)+IF($C18="",0,SUMIF('DADOS BRUTOS'!$A$3:$A$500,$C18,'DADOS BRUTOS'!ER$3:ER$500)))</f>
        <v/>
      </c>
      <c r="HS18" s="56">
        <f>IF(OR(HS$4="",$B18=""),0,SUMIF('DADOS BRUTOS'!$A$3:$A$500,$B18,'DADOS BRUTOS'!ES$3:ES$500)+IF($C18="",0,SUMIF('DADOS BRUTOS'!$A$3:$A$500,$C18,'DADOS BRUTOS'!ES$3:ES$500)))</f>
        <v/>
      </c>
      <c r="HT18" s="56">
        <f>IF(OR(HT$4="",$B18=""),0,SUMIF('DADOS BRUTOS'!$A$3:$A$500,$B18,'DADOS BRUTOS'!ET$3:ET$500)+IF($C18="",0,SUMIF('DADOS BRUTOS'!$A$3:$A$500,$C18,'DADOS BRUTOS'!ET$3:ET$500)))</f>
        <v/>
      </c>
      <c r="HU18" s="56">
        <f>IF(OR(HU$4="",$B18=""),0,SUMIF('DADOS BRUTOS'!$A$3:$A$500,$B18,'DADOS BRUTOS'!EU$3:EU$500)+IF($C18="",0,SUMIF('DADOS BRUTOS'!$A$3:$A$500,$C18,'DADOS BRUTOS'!EU$3:EU$500)))</f>
        <v/>
      </c>
      <c r="HV18" s="56">
        <f>IF(OR(HV$4="",$B18=""),0,SUMIF('DADOS BRUTOS'!$A$3:$A$500,$B18,'DADOS BRUTOS'!EV$3:EV$500)+IF($C18="",0,SUMIF('DADOS BRUTOS'!$A$3:$A$500,$C18,'DADOS BRUTOS'!EV$3:EV$500)))</f>
        <v/>
      </c>
      <c r="HW18" s="56">
        <f>IF(OR(HW$4="",$B18=""),0,SUMIF('DADOS BRUTOS'!$A$3:$A$500,$B18,'DADOS BRUTOS'!EW$3:EW$500)+IF($C18="",0,SUMIF('DADOS BRUTOS'!$A$3:$A$500,$C18,'DADOS BRUTOS'!EW$3:EW$500)))</f>
        <v/>
      </c>
      <c r="HX18" s="56">
        <f>IF(OR(HX$4="",$B18=""),0,SUMIF('DADOS BRUTOS'!$A$3:$A$500,$B18,'DADOS BRUTOS'!EX$3:EX$500)+IF($C18="",0,SUMIF('DADOS BRUTOS'!$A$3:$A$500,$C18,'DADOS BRUTOS'!EX$3:EX$500)))</f>
        <v/>
      </c>
      <c r="HY18" s="56">
        <f>IF(OR(HY$4="",$B18=""),0,SUMIF('DADOS BRUTOS'!$A$3:$A$500,$B18,'DADOS BRUTOS'!EY$3:EY$500)+IF($C18="",0,SUMIF('DADOS BRUTOS'!$A$3:$A$500,$C18,'DADOS BRUTOS'!EY$3:EY$500)))</f>
        <v/>
      </c>
      <c r="HZ18" s="56">
        <f>IF(OR(HZ$4="",$B18=""),0,SUMIF('DADOS BRUTOS'!$A$3:$A$500,$B18,'DADOS BRUTOS'!EZ$3:EZ$500)+IF($C18="",0,SUMIF('DADOS BRUTOS'!$A$3:$A$500,$C18,'DADOS BRUTOS'!EZ$3:EZ$500)))</f>
        <v/>
      </c>
      <c r="IA18" s="56">
        <f>IF(OR(IA$4="",$B18=""),0,SUMIF('DADOS BRUTOS'!$A$3:$A$500,$B18,'DADOS BRUTOS'!FA$3:FA$500)+IF($C18="",0,SUMIF('DADOS BRUTOS'!$A$3:$A$500,$C18,'DADOS BRUTOS'!FA$3:FA$500)))</f>
        <v/>
      </c>
      <c r="IB18" s="56">
        <f>IF(OR(IB$4="",$B18=""),0,SUMIF('DADOS BRUTOS'!$A$3:$A$500,$B18,'DADOS BRUTOS'!FB$3:FB$500)+IF($C18="",0,SUMIF('DADOS BRUTOS'!$A$3:$A$500,$C18,'DADOS BRUTOS'!FB$3:FB$500)))</f>
        <v/>
      </c>
      <c r="IC18" s="56">
        <f>IF(OR(IC$4="",$B18=""),0,SUMIF('DADOS BRUTOS'!$A$3:$A$500,$B18,'DADOS BRUTOS'!FC$3:FC$500)+IF($C18="",0,SUMIF('DADOS BRUTOS'!$A$3:$A$500,$C18,'DADOS BRUTOS'!FC$3:FC$500)))</f>
        <v/>
      </c>
      <c r="ID18" s="56">
        <f>IF(OR(ID$4="",$B18=""),0,SUMIF('DADOS BRUTOS'!$A$3:$A$500,$B18,'DADOS BRUTOS'!FD$3:FD$500)+IF($C18="",0,SUMIF('DADOS BRUTOS'!$A$3:$A$500,$C18,'DADOS BRUTOS'!FD$3:FD$500)))</f>
        <v/>
      </c>
      <c r="IE18" s="56">
        <f>IF(OR(IE$4="",$B18=""),0,SUMIF('DADOS BRUTOS'!$A$3:$A$500,$B18,'DADOS BRUTOS'!FE$3:FE$500)+IF($C18="",0,SUMIF('DADOS BRUTOS'!$A$3:$A$500,$C18,'DADOS BRUTOS'!FE$3:FE$500)))</f>
        <v/>
      </c>
      <c r="IF18" s="56">
        <f>IF(OR(IF$4="",$B18=""),0,SUMIF('DADOS BRUTOS'!$A$3:$A$500,$B18,'DADOS BRUTOS'!FF$3:FF$500)+IF($C18="",0,SUMIF('DADOS BRUTOS'!$A$3:$A$500,$C18,'DADOS BRUTOS'!FF$3:FF$500)))</f>
        <v/>
      </c>
      <c r="IG18" s="56">
        <f>IF(OR(IG$4="",$B18=""),0,SUMIF('DADOS BRUTOS'!$A$3:$A$500,$B18,'DADOS BRUTOS'!FG$3:FG$500)+IF($C18="",0,SUMIF('DADOS BRUTOS'!$A$3:$A$500,$C18,'DADOS BRUTOS'!FG$3:FG$500)))</f>
        <v/>
      </c>
      <c r="IH18" s="56">
        <f>IF(OR(IH$4="",$B18=""),0,SUMIF('DADOS BRUTOS'!$A$3:$A$500,$B18,'DADOS BRUTOS'!FH$3:FH$500)+IF($C18="",0,SUMIF('DADOS BRUTOS'!$A$3:$A$500,$C18,'DADOS BRUTOS'!FH$3:FH$500)))</f>
        <v/>
      </c>
      <c r="II18" s="56">
        <f>IF(OR(II$4="",$B18=""),0,SUMIF('DADOS BRUTOS'!$A$3:$A$500,$B18,'DADOS BRUTOS'!FI$3:FI$500)+IF($C18="",0,SUMIF('DADOS BRUTOS'!$A$3:$A$500,$C18,'DADOS BRUTOS'!FI$3:FI$500)))</f>
        <v/>
      </c>
      <c r="IJ18" s="56">
        <f>IF(OR(IJ$4="",$B18=""),0,SUMIF('DADOS BRUTOS'!$A$3:$A$500,$B18,'DADOS BRUTOS'!FJ$3:FJ$500)+IF($C18="",0,SUMIF('DADOS BRUTOS'!$A$3:$A$500,$C18,'DADOS BRUTOS'!FJ$3:FJ$500)))</f>
        <v/>
      </c>
      <c r="IK18" s="56">
        <f>IF(OR(IK$4="",$B18=""),0,SUMIF('DADOS BRUTOS'!$A$3:$A$500,$B18,'DADOS BRUTOS'!FK$3:FK$500)+IF($C18="",0,SUMIF('DADOS BRUTOS'!$A$3:$A$500,$C18,'DADOS BRUTOS'!FK$3:FK$500)))</f>
        <v/>
      </c>
      <c r="IL18" s="56">
        <f>IF(OR(IL$4="",$B18=""),0,SUMIF('DADOS BRUTOS'!$A$3:$A$500,$B18,'DADOS BRUTOS'!FL$3:FL$500)+IF($C18="",0,SUMIF('DADOS BRUTOS'!$A$3:$A$500,$C18,'DADOS BRUTOS'!FL$3:FL$500)))</f>
        <v/>
      </c>
      <c r="IM18" s="56">
        <f>IF(OR(IM$4="",$B18=""),0,SUMIF('DADOS BRUTOS'!$A$3:$A$500,$B18,'DADOS BRUTOS'!FM$3:FM$500)+IF($C18="",0,SUMIF('DADOS BRUTOS'!$A$3:$A$500,$C18,'DADOS BRUTOS'!FM$3:FM$500)))</f>
        <v/>
      </c>
      <c r="IN18" s="56">
        <f>IF(OR(IN$4="",$B18=""),0,SUMIF('DADOS BRUTOS'!$A$3:$A$500,$B18,'DADOS BRUTOS'!FN$3:FN$500)+IF($C18="",0,SUMIF('DADOS BRUTOS'!$A$3:$A$500,$C18,'DADOS BRUTOS'!FN$3:FN$500)))</f>
        <v/>
      </c>
      <c r="IO18" s="56">
        <f>IF(OR(IO$4="",$B18=""),0,SUMIF('DADOS BRUTOS'!$A$3:$A$500,$B18,'DADOS BRUTOS'!FO$3:FO$500)+IF($C18="",0,SUMIF('DADOS BRUTOS'!$A$3:$A$500,$C18,'DADOS BRUTOS'!FO$3:FO$500)))</f>
        <v/>
      </c>
      <c r="IP18" s="56">
        <f>IF(OR(IP$4="",$B18=""),0,SUMIF('DADOS BRUTOS'!$A$3:$A$500,$B18,'DADOS BRUTOS'!FP$3:FP$500)+IF($C18="",0,SUMIF('DADOS BRUTOS'!$A$3:$A$500,$C18,'DADOS BRUTOS'!FP$3:FP$500)))</f>
        <v/>
      </c>
      <c r="IQ18" s="56">
        <f>IF(OR(IQ$4="",$B18=""),0,SUMIF('DADOS BRUTOS'!$A$3:$A$500,$B18,'DADOS BRUTOS'!FQ$3:FQ$500)+IF($C18="",0,SUMIF('DADOS BRUTOS'!$A$3:$A$500,$C18,'DADOS BRUTOS'!FQ$3:FQ$500)))</f>
        <v/>
      </c>
      <c r="IR18" s="56">
        <f>IF(OR(IR$4="",$B18=""),0,SUMIF('DADOS BRUTOS'!$A$3:$A$500,$B18,'DADOS BRUTOS'!FR$3:FR$500)+IF($C18="",0,SUMIF('DADOS BRUTOS'!$A$3:$A$500,$C18,'DADOS BRUTOS'!FR$3:FR$500)))</f>
        <v/>
      </c>
      <c r="IS18" s="56">
        <f>IF(OR(IS$4="",$B18=""),0,SUMIF('DADOS BRUTOS'!$A$3:$A$500,$B18,'DADOS BRUTOS'!FS$3:FS$500)+IF($C18="",0,SUMIF('DADOS BRUTOS'!$A$3:$A$500,$C18,'DADOS BRUTOS'!FS$3:FS$500)))</f>
        <v/>
      </c>
      <c r="IT18" s="56">
        <f>IF(OR(IT$4="",$B18=""),0,SUMIF('DADOS BRUTOS'!$A$3:$A$500,$B18,'DADOS BRUTOS'!FT$3:FT$500)+IF($C18="",0,SUMIF('DADOS BRUTOS'!$A$3:$A$500,$C18,'DADOS BRUTOS'!FT$3:FT$500)))</f>
        <v/>
      </c>
      <c r="IU18" s="56">
        <f>IF(OR(IU$4="",$B18=""),0,SUMIF('DADOS BRUTOS'!$A$3:$A$500,$B18,'DADOS BRUTOS'!FU$3:FU$500)+IF($C18="",0,SUMIF('DADOS BRUTOS'!$A$3:$A$500,$C18,'DADOS BRUTOS'!FU$3:FU$500)))</f>
        <v/>
      </c>
      <c r="IV18" s="56">
        <f>IF(OR(IV$4="",$B18=""),0,SUMIF('DADOS BRUTOS'!$A$3:$A$500,$B18,'DADOS BRUTOS'!FV$3:FV$500)+IF($C18="",0,SUMIF('DADOS BRUTOS'!$A$3:$A$500,$C18,'DADOS BRUTOS'!FV$3:FV$500)))</f>
        <v/>
      </c>
      <c r="IW18" s="56">
        <f>IF(OR(IW$4="",$B18=""),0,SUMIF('DADOS BRUTOS'!$A$3:$A$500,$B18,'DADOS BRUTOS'!FW$3:FW$500)+IF($C18="",0,SUMIF('DADOS BRUTOS'!$A$3:$A$500,$C18,'DADOS BRUTOS'!FW$3:FW$500)))</f>
        <v/>
      </c>
      <c r="IX18" s="56">
        <f>IF(OR(IX$4="",$B18=""),0,SUMIF('DADOS BRUTOS'!$A$3:$A$500,$B18,'DADOS BRUTOS'!FX$3:FX$500)+IF($C18="",0,SUMIF('DADOS BRUTOS'!$A$3:$A$500,$C18,'DADOS BRUTOS'!FX$3:FX$500)))</f>
        <v/>
      </c>
      <c r="IY18" s="56">
        <f>IF(OR(IY$4="",$B18=""),0,SUMIF('DADOS BRUTOS'!$A$3:$A$500,$B18,'DADOS BRUTOS'!FY$3:FY$500)+IF($C18="",0,SUMIF('DADOS BRUTOS'!$A$3:$A$500,$C18,'DADOS BRUTOS'!FY$3:FY$500)))</f>
        <v/>
      </c>
      <c r="IZ18" s="56">
        <f>IF(OR(IZ$4="",$B18=""),0,SUMIF('DADOS BRUTOS'!$A$3:$A$500,$B18,'DADOS BRUTOS'!FZ$3:FZ$500)+IF($C18="",0,SUMIF('DADOS BRUTOS'!$A$3:$A$500,$C18,'DADOS BRUTOS'!FZ$3:FZ$500)))</f>
        <v/>
      </c>
      <c r="JA18" s="56">
        <f>IF(OR(JA$4="",$B18=""),0,SUMIF('DADOS BRUTOS'!$A$3:$A$500,$B18,'DADOS BRUTOS'!GA$3:GA$500)+IF($C18="",0,SUMIF('DADOS BRUTOS'!$A$3:$A$500,$C18,'DADOS BRUTOS'!GA$3:GA$500)))</f>
        <v/>
      </c>
      <c r="JB18" s="56">
        <f>IF(OR(JB$4="",$B18=""),0,SUMIF('DADOS BRUTOS'!$A$3:$A$500,$B18,'DADOS BRUTOS'!GB$3:GB$500)+IF($C18="",0,SUMIF('DADOS BRUTOS'!$A$3:$A$500,$C18,'DADOS BRUTOS'!GB$3:GB$500)))</f>
        <v/>
      </c>
      <c r="JC18" s="56">
        <f>IF(OR(JC$4="",$B18=""),0,SUMIF('DADOS BRUTOS'!$A$3:$A$500,$B18,'DADOS BRUTOS'!GC$3:GC$500)+IF($C18="",0,SUMIF('DADOS BRUTOS'!$A$3:$A$500,$C18,'DADOS BRUTOS'!GC$3:GC$500)))</f>
        <v/>
      </c>
      <c r="JD18" s="56">
        <f>IF(OR(JD$4="",$B18=""),0,SUMIF('DADOS BRUTOS'!$A$3:$A$500,$B18,'DADOS BRUTOS'!GD$3:GD$500)+IF($C18="",0,SUMIF('DADOS BRUTOS'!$A$3:$A$500,$C18,'DADOS BRUTOS'!GD$3:GD$500)))</f>
        <v/>
      </c>
      <c r="JE18" s="56">
        <f>IF(OR(JE$4="",$B18=""),0,SUMIF('DADOS BRUTOS'!$A$3:$A$500,$B18,'DADOS BRUTOS'!GE$3:GE$500)+IF($C18="",0,SUMIF('DADOS BRUTOS'!$A$3:$A$500,$C18,'DADOS BRUTOS'!GE$3:GE$500)))</f>
        <v/>
      </c>
      <c r="JF18" s="56">
        <f>IF(OR(JF$4="",$B18=""),0,SUMIF('DADOS BRUTOS'!$A$3:$A$500,$B18,'DADOS BRUTOS'!GF$3:GF$500)+IF($C18="",0,SUMIF('DADOS BRUTOS'!$A$3:$A$500,$C18,'DADOS BRUTOS'!GF$3:GF$500)))</f>
        <v/>
      </c>
      <c r="JG18" s="56">
        <f>IF(OR(JG$4="",$B18=""),0,SUMIF('DADOS BRUTOS'!$A$3:$A$500,$B18,'DADOS BRUTOS'!GG$3:GG$500)+IF($C18="",0,SUMIF('DADOS BRUTOS'!$A$3:$A$500,$C18,'DADOS BRUTOS'!GG$3:GG$500)))</f>
        <v/>
      </c>
      <c r="JH18" s="56">
        <f>IF(OR(JH$4="",$B18=""),0,SUMIF('DADOS BRUTOS'!$A$3:$A$500,$B18,'DADOS BRUTOS'!GH$3:GH$500)+IF($C18="",0,SUMIF('DADOS BRUTOS'!$A$3:$A$500,$C18,'DADOS BRUTOS'!GH$3:GH$500)))</f>
        <v/>
      </c>
      <c r="JI18" s="56">
        <f>IF(OR(JI$4="",$B18=""),0,SUMIF('DADOS BRUTOS'!$A$3:$A$500,$B18,'DADOS BRUTOS'!GI$3:GI$500)+IF($C18="",0,SUMIF('DADOS BRUTOS'!$A$3:$A$500,$C18,'DADOS BRUTOS'!GI$3:GI$500)))</f>
        <v/>
      </c>
      <c r="JJ18" s="56">
        <f>IF(OR(JJ$4="",$B18=""),0,SUMIF('DADOS BRUTOS'!$A$3:$A$500,$B18,'DADOS BRUTOS'!GJ$3:GJ$500)+IF($C18="",0,SUMIF('DADOS BRUTOS'!$A$3:$A$500,$C18,'DADOS BRUTOS'!GJ$3:GJ$500)))</f>
        <v/>
      </c>
      <c r="JK18" s="56">
        <f>IF(OR(JK$4="",$B18=""),0,SUMIF('DADOS BRUTOS'!$A$3:$A$500,$B18,'DADOS BRUTOS'!GK$3:GK$500)+IF($C18="",0,SUMIF('DADOS BRUTOS'!$A$3:$A$500,$C18,'DADOS BRUTOS'!GK$3:GK$500)))</f>
        <v/>
      </c>
      <c r="JL18" s="56">
        <f>IF(OR(JL$4="",$B18=""),0,SUMIF('DADOS BRUTOS'!$A$3:$A$500,$B18,'DADOS BRUTOS'!GL$3:GL$500)+IF($C18="",0,SUMIF('DADOS BRUTOS'!$A$3:$A$500,$C18,'DADOS BRUTOS'!GL$3:GL$500)))</f>
        <v/>
      </c>
      <c r="JM18" s="56">
        <f>IF(OR(JM$4="",$B18=""),0,SUMIF('DADOS BRUTOS'!$A$3:$A$500,$B18,'DADOS BRUTOS'!GM$3:GM$500)+IF($C18="",0,SUMIF('DADOS BRUTOS'!$A$3:$A$500,$C18,'DADOS BRUTOS'!GM$3:GM$500)))</f>
        <v/>
      </c>
      <c r="JN18" s="56">
        <f>IF(OR(JN$4="",$B18=""),0,SUMIF('DADOS BRUTOS'!$A$3:$A$500,$B18,'DADOS BRUTOS'!GN$3:GN$500)+IF($C18="",0,SUMIF('DADOS BRUTOS'!$A$3:$A$500,$C18,'DADOS BRUTOS'!GN$3:GN$500)))</f>
        <v/>
      </c>
      <c r="JO18" s="56">
        <f>IF(OR(JO$4="",$B18=""),0,SUMIF('DADOS BRUTOS'!$A$3:$A$500,$B18,'DADOS BRUTOS'!GO$3:GO$500)+IF($C18="",0,SUMIF('DADOS BRUTOS'!$A$3:$A$500,$C18,'DADOS BRUTOS'!GO$3:GO$500)))</f>
        <v/>
      </c>
      <c r="JP18" s="56">
        <f>IF(OR(JP$4="",$B18=""),0,SUMIF('DADOS BRUTOS'!$A$3:$A$500,$B18,'DADOS BRUTOS'!GP$3:GP$500)+IF($C18="",0,SUMIF('DADOS BRUTOS'!$A$3:$A$500,$C18,'DADOS BRUTOS'!GP$3:GP$500)))</f>
        <v/>
      </c>
      <c r="JQ18" s="56">
        <f>IF(OR(JQ$4="",$B18=""),0,SUMIF('DADOS BRUTOS'!$A$3:$A$500,$B18,'DADOS BRUTOS'!GQ$3:GQ$500)+IF($C18="",0,SUMIF('DADOS BRUTOS'!$A$3:$A$500,$C18,'DADOS BRUTOS'!GQ$3:GQ$500)))</f>
        <v/>
      </c>
      <c r="JR18" s="56">
        <f>IF(OR(JR$4="",$B18=""),0,SUMIF('DADOS BRUTOS'!$A$3:$A$500,$B18,'DADOS BRUTOS'!GR$3:GR$500)+IF($C18="",0,SUMIF('DADOS BRUTOS'!$A$3:$A$500,$C18,'DADOS BRUTOS'!GR$3:GR$500)))</f>
        <v/>
      </c>
      <c r="JS18" s="56">
        <f>IF(OR(JS$4="",$B18=""),0,SUMIF('DADOS BRUTOS'!$A$3:$A$500,$B18,'DADOS BRUTOS'!GS$3:GS$500)+IF($C18="",0,SUMIF('DADOS BRUTOS'!$A$3:$A$500,$C18,'DADOS BRUTOS'!GS$3:GS$500)))</f>
        <v/>
      </c>
    </row>
    <row r="19">
      <c r="A19" s="34">
        <f>'VALOR POR PL'!D25</f>
        <v/>
      </c>
      <c r="B19" s="21" t="inlineStr">
        <is>
          <t>FUNDAÇÃO PROFUNDA</t>
        </is>
      </c>
      <c r="C19" s="21" t="n"/>
      <c r="D19" s="17">
        <f>SUMIF($CB$4:$JS$4,"&lt;="&amp;D$4,$CB19:$JS19)</f>
        <v/>
      </c>
      <c r="E19" s="17">
        <f>SUMIF($CB$4:$JS$4,E$4,$CB19:$JS19)</f>
        <v/>
      </c>
      <c r="F19" s="17">
        <f>SUMIF($CB$4:$JS$4,F$4,$CB19:$JS19)</f>
        <v/>
      </c>
      <c r="G19" s="17">
        <f>SUMIF($CB$4:$JS$4,G$4,$CB19:$JS19)</f>
        <v/>
      </c>
      <c r="H19" s="17">
        <f>SUMIF($CB$4:$JS$4,H$4,$CB19:$JS19)</f>
        <v/>
      </c>
      <c r="I19" s="17">
        <f>SUMIF($CB$4:$JS$4,I$4,$CB19:$JS19)</f>
        <v/>
      </c>
      <c r="J19" s="17">
        <f>SUMIF($CB$4:$JS$4,J$4,$CB19:$JS19)</f>
        <v/>
      </c>
      <c r="K19" s="17">
        <f>SUMIF($CB$4:$JS$4,K$4,$CB19:$JS19)</f>
        <v/>
      </c>
      <c r="L19" s="17">
        <f>SUMIF($CB$4:$JS$4,L$4,$CB19:$JS19)</f>
        <v/>
      </c>
      <c r="M19" s="17">
        <f>SUMIF($CB$4:$JS$4,M$4,$CB19:$JS19)</f>
        <v/>
      </c>
      <c r="N19" s="17">
        <f>SUMIF($CB$4:$JS$4,N$4,$CB19:$JS19)</f>
        <v/>
      </c>
      <c r="O19" s="17">
        <f>SUMIF($CB$4:$JS$4,O$4,$CB19:$JS19)</f>
        <v/>
      </c>
      <c r="P19" s="17">
        <f>SUMIF($CB$4:$JS$4,P$4,$CB19:$JS19)</f>
        <v/>
      </c>
      <c r="Q19" s="17">
        <f>SUMIF($CB$4:$JS$4,Q$4,$CB19:$JS19)</f>
        <v/>
      </c>
      <c r="R19" s="17">
        <f>SUMIF($CB$4:$JS$4,R$4,$CB19:$JS19)</f>
        <v/>
      </c>
      <c r="S19" s="17">
        <f>SUMIF($CB$4:$JS$4,S$4,$CB19:$JS19)</f>
        <v/>
      </c>
      <c r="T19" s="17">
        <f>SUMIF($CB$4:$JS$4,T$4,$CB19:$JS19)</f>
        <v/>
      </c>
      <c r="U19" s="17">
        <f>SUMIF($CB$4:$JS$4,U$4,$CB19:$JS19)</f>
        <v/>
      </c>
      <c r="V19" s="17">
        <f>SUMIF($CB$4:$JS$4,V$4,$CB19:$JS19)</f>
        <v/>
      </c>
      <c r="W19" s="17">
        <f>SUMIF($CB$4:$JS$4,W$4,$CB19:$JS19)</f>
        <v/>
      </c>
      <c r="X19" s="17">
        <f>SUMIF($CB$4:$JS$4,X$4,$CB19:$JS19)</f>
        <v/>
      </c>
      <c r="Y19" s="17">
        <f>SUMIF($CB$4:$JS$4,Y$4,$CB19:$JS19)</f>
        <v/>
      </c>
      <c r="Z19" s="17">
        <f>SUMIF($CB$4:$JS$4,Z$4,$CB19:$JS19)</f>
        <v/>
      </c>
      <c r="AA19" s="17">
        <f>SUMIF($CB$4:$JS$4,AA$4,$CB19:$JS19)</f>
        <v/>
      </c>
      <c r="AB19" s="17">
        <f>SUMIF($CB$4:$JS$4,AB$4,$CB19:$JS19)</f>
        <v/>
      </c>
      <c r="AC19" s="17">
        <f>SUMIF($CB$4:$JS$4,AC$4,$CB19:$JS19)</f>
        <v/>
      </c>
      <c r="AD19" s="17">
        <f>SUMIF($CB$4:$JS$4,AD$4,$CB19:$JS19)</f>
        <v/>
      </c>
      <c r="AE19" s="17">
        <f>SUMIF($CB$4:$JS$4,AE$4,$CB19:$JS19)</f>
        <v/>
      </c>
      <c r="AF19" s="17">
        <f>SUMIF($CB$4:$JS$4,AF$4,$CB19:$JS19)</f>
        <v/>
      </c>
      <c r="AG19" s="17">
        <f>SUMIF($CB$4:$JS$4,AG$4,$CB19:$JS19)</f>
        <v/>
      </c>
      <c r="AH19" s="17">
        <f>SUMIF($CB$4:$JS$4,AH$4,$CB19:$JS19)</f>
        <v/>
      </c>
      <c r="AI19" s="17">
        <f>SUMIF($CB$4:$JS$4,AI$4,$CB19:$JS19)</f>
        <v/>
      </c>
      <c r="AJ19" s="17">
        <f>SUMIF($CB$4:$JS$4,AJ$4,$CB19:$JS19)</f>
        <v/>
      </c>
      <c r="AK19" s="17">
        <f>SUMIF($CB$4:$JS$4,AK$4,$CB19:$JS19)</f>
        <v/>
      </c>
      <c r="AL19" s="17">
        <f>SUMIF($CB$4:$JS$4,AL$4,$CB19:$JS19)</f>
        <v/>
      </c>
      <c r="AM19" s="17">
        <f>SUMIF($CB$4:$JS$4,AM$4,$CB19:$JS19)</f>
        <v/>
      </c>
      <c r="AN19" s="17">
        <f>SUMIF($CB$4:$JS$4,AN$4,$CB19:$JS19)</f>
        <v/>
      </c>
      <c r="AO19" s="17">
        <f>SUMIF($CB$4:$JS$4,AO$4,$CB19:$JS19)</f>
        <v/>
      </c>
      <c r="AP19" s="17">
        <f>SUMIF($CB$4:$JS$4,AP$4,$CB19:$JS19)</f>
        <v/>
      </c>
      <c r="AQ19" s="17">
        <f>SUMIF($CB$4:$JS$4,AQ$4,$CB19:$JS19)</f>
        <v/>
      </c>
      <c r="AR19" s="17">
        <f>SUMIF($CB$4:$JS$4,AR$4,$CB19:$JS19)</f>
        <v/>
      </c>
      <c r="AS19" s="17">
        <f>SUMIF($CB$4:$JS$4,AS$4,$CB19:$JS19)</f>
        <v/>
      </c>
      <c r="AT19" s="17">
        <f>SUMIF($CB$4:$JS$4,AT$4,$CB19:$JS19)</f>
        <v/>
      </c>
      <c r="AU19" s="17">
        <f>SUMIF($CB$4:$JS$4,AU$4,$CB19:$JS19)</f>
        <v/>
      </c>
      <c r="AV19" s="17">
        <f>SUMIF($CB$4:$JS$4,AV$4,$CB19:$JS19)</f>
        <v/>
      </c>
      <c r="AW19" s="17">
        <f>SUMIF($CB$4:$JS$4,AW$4,$CB19:$JS19)</f>
        <v/>
      </c>
      <c r="AX19" s="17">
        <f>SUMIF($CB$4:$JS$4,AX$4,$CB19:$JS19)</f>
        <v/>
      </c>
      <c r="AY19" s="17">
        <f>SUMIF($CB$4:$JS$4,AY$4,$CB19:$JS19)</f>
        <v/>
      </c>
      <c r="AZ19" s="17">
        <f>SUMIF($CB$4:$JS$4,AZ$4,$CB19:$JS19)</f>
        <v/>
      </c>
      <c r="BA19" s="17">
        <f>SUMIF($CB$4:$JS$4,BA$4,$CB19:$JS19)</f>
        <v/>
      </c>
      <c r="BB19" s="17">
        <f>SUMIF($CB$4:$JS$4,BB$4,$CB19:$JS19)</f>
        <v/>
      </c>
      <c r="BC19" s="17">
        <f>SUMIF($CB$4:$JS$4,BC$4,$CB19:$JS19)</f>
        <v/>
      </c>
      <c r="BD19" s="17">
        <f>SUMIF($CB$4:$JS$4,BD$4,$CB19:$JS19)</f>
        <v/>
      </c>
      <c r="BE19" s="17">
        <f>SUMIF($CB$4:$JS$4,BE$4,$CB19:$JS19)</f>
        <v/>
      </c>
      <c r="BF19" s="17">
        <f>SUMIF($CB$4:$JS$4,BF$4,$CB19:$JS19)</f>
        <v/>
      </c>
      <c r="BG19" s="17">
        <f>SUMIF($CB$4:$JS$4,BG$4,$CB19:$JS19)</f>
        <v/>
      </c>
      <c r="BH19" s="17">
        <f>SUMIF($CB$4:$JS$4,BH$4,$CB19:$JS19)</f>
        <v/>
      </c>
      <c r="BI19" s="17">
        <f>SUMIF($CB$4:$JS$4,BI$4,$CB19:$JS19)</f>
        <v/>
      </c>
      <c r="BJ19" s="17">
        <f>SUMIF($CB$4:$JS$4,BJ$4,$CB19:$JS19)</f>
        <v/>
      </c>
      <c r="BK19" s="17">
        <f>SUMIF($CB$4:$JS$4,BK$4,$CB19:$JS19)</f>
        <v/>
      </c>
      <c r="BL19" s="17">
        <f>SUMIF($CB$4:$JS$4,BL$4,$CB19:$JS19)</f>
        <v/>
      </c>
      <c r="BM19" s="17">
        <f>SUMIF($CB$4:$JS$4,BM$4,$CB19:$JS19)</f>
        <v/>
      </c>
      <c r="BN19" s="17">
        <f>SUMIF($CB$4:$JS$4,BN$4,$CB19:$JS19)</f>
        <v/>
      </c>
      <c r="BO19" s="17">
        <f>SUMIF($CB$4:$JS$4,BO$4,$CB19:$JS19)</f>
        <v/>
      </c>
      <c r="BP19" s="17">
        <f>SUMIF($CB$4:$JS$4,BP$4,$CB19:$JS19)</f>
        <v/>
      </c>
      <c r="BQ19" s="17">
        <f>SUMIF($CB$4:$JS$4,BQ$4,$CB19:$JS19)</f>
        <v/>
      </c>
      <c r="BR19" s="17">
        <f>SUMIF($CB$4:$JS$4,BR$4,$CB19:$JS19)</f>
        <v/>
      </c>
      <c r="BS19" s="17">
        <f>SUMIF($CB$4:$JS$4,BS$4,$CB19:$JS19)</f>
        <v/>
      </c>
      <c r="BT19" s="17">
        <f>SUMIF($CB$4:$JS$4,BT$4,$CB19:$JS19)</f>
        <v/>
      </c>
      <c r="BU19" s="17">
        <f>SUMIF($CB$4:$JS$4,BU$4,$CB19:$JS19)</f>
        <v/>
      </c>
      <c r="BV19" s="17">
        <f>SUMIF($CB$4:$JS$4,BV$4,$CB19:$JS19)</f>
        <v/>
      </c>
      <c r="BW19" s="17">
        <f>SUMIF($CB$4:$JS$4,BW$4,$CB19:$JS19)</f>
        <v/>
      </c>
      <c r="BX19" s="17">
        <f>SUMIF($CB$4:$JS$4,"&gt;"&amp;'VALOR POR PL'!$P$8,$CB19:$JS19)</f>
        <v/>
      </c>
      <c r="BY19" s="17">
        <f>SUM($CB19:$JS19)</f>
        <v/>
      </c>
      <c r="CB19" s="56">
        <f>IF(OR(CB$4="",$B19=""),0,SUMIF('DADOS BRUTOS'!$A$3:$A$500,$B19,'DADOS BRUTOS'!B$3:B$500)+IF($C19="",0,SUMIF('DADOS BRUTOS'!$A$3:$A$500,$C19,'DADOS BRUTOS'!B$3:B$500)))</f>
        <v/>
      </c>
      <c r="CC19" s="56">
        <f>IF(OR(CC$4="",$B19=""),0,SUMIF('DADOS BRUTOS'!$A$3:$A$500,$B19,'DADOS BRUTOS'!C$3:C$500)+IF($C19="",0,SUMIF('DADOS BRUTOS'!$A$3:$A$500,$C19,'DADOS BRUTOS'!C$3:C$500)))</f>
        <v/>
      </c>
      <c r="CD19" s="56">
        <f>IF(OR(CD$4="",$B19=""),0,SUMIF('DADOS BRUTOS'!$A$3:$A$500,$B19,'DADOS BRUTOS'!D$3:D$500)+IF($C19="",0,SUMIF('DADOS BRUTOS'!$A$3:$A$500,$C19,'DADOS BRUTOS'!D$3:D$500)))</f>
        <v/>
      </c>
      <c r="CE19" s="56">
        <f>IF(OR(CE$4="",$B19=""),0,SUMIF('DADOS BRUTOS'!$A$3:$A$500,$B19,'DADOS BRUTOS'!E$3:E$500)+IF($C19="",0,SUMIF('DADOS BRUTOS'!$A$3:$A$500,$C19,'DADOS BRUTOS'!E$3:E$500)))</f>
        <v/>
      </c>
      <c r="CF19" s="56">
        <f>IF(OR(CF$4="",$B19=""),0,SUMIF('DADOS BRUTOS'!$A$3:$A$500,$B19,'DADOS BRUTOS'!F$3:F$500)+IF($C19="",0,SUMIF('DADOS BRUTOS'!$A$3:$A$500,$C19,'DADOS BRUTOS'!F$3:F$500)))</f>
        <v/>
      </c>
      <c r="CG19" s="56">
        <f>IF(OR(CG$4="",$B19=""),0,SUMIF('DADOS BRUTOS'!$A$3:$A$500,$B19,'DADOS BRUTOS'!G$3:G$500)+IF($C19="",0,SUMIF('DADOS BRUTOS'!$A$3:$A$500,$C19,'DADOS BRUTOS'!G$3:G$500)))</f>
        <v/>
      </c>
      <c r="CH19" s="56">
        <f>IF(OR(CH$4="",$B19=""),0,SUMIF('DADOS BRUTOS'!$A$3:$A$500,$B19,'DADOS BRUTOS'!H$3:H$500)+IF($C19="",0,SUMIF('DADOS BRUTOS'!$A$3:$A$500,$C19,'DADOS BRUTOS'!H$3:H$500)))</f>
        <v/>
      </c>
      <c r="CI19" s="56">
        <f>IF(OR(CI$4="",$B19=""),0,SUMIF('DADOS BRUTOS'!$A$3:$A$500,$B19,'DADOS BRUTOS'!I$3:I$500)+IF($C19="",0,SUMIF('DADOS BRUTOS'!$A$3:$A$500,$C19,'DADOS BRUTOS'!I$3:I$500)))</f>
        <v/>
      </c>
      <c r="CJ19" s="56">
        <f>IF(OR(CJ$4="",$B19=""),0,SUMIF('DADOS BRUTOS'!$A$3:$A$500,$B19,'DADOS BRUTOS'!J$3:J$500)+IF($C19="",0,SUMIF('DADOS BRUTOS'!$A$3:$A$500,$C19,'DADOS BRUTOS'!J$3:J$500)))</f>
        <v/>
      </c>
      <c r="CK19" s="56">
        <f>IF(OR(CK$4="",$B19=""),0,SUMIF('DADOS BRUTOS'!$A$3:$A$500,$B19,'DADOS BRUTOS'!K$3:K$500)+IF($C19="",0,SUMIF('DADOS BRUTOS'!$A$3:$A$500,$C19,'DADOS BRUTOS'!K$3:K$500)))</f>
        <v/>
      </c>
      <c r="CL19" s="56">
        <f>IF(OR(CL$4="",$B19=""),0,SUMIF('DADOS BRUTOS'!$A$3:$A$500,$B19,'DADOS BRUTOS'!L$3:L$500)+IF($C19="",0,SUMIF('DADOS BRUTOS'!$A$3:$A$500,$C19,'DADOS BRUTOS'!L$3:L$500)))</f>
        <v/>
      </c>
      <c r="CM19" s="56">
        <f>IF(OR(CM$4="",$B19=""),0,SUMIF('DADOS BRUTOS'!$A$3:$A$500,$B19,'DADOS BRUTOS'!M$3:M$500)+IF($C19="",0,SUMIF('DADOS BRUTOS'!$A$3:$A$500,$C19,'DADOS BRUTOS'!M$3:M$500)))</f>
        <v/>
      </c>
      <c r="CN19" s="56">
        <f>IF(OR(CN$4="",$B19=""),0,SUMIF('DADOS BRUTOS'!$A$3:$A$500,$B19,'DADOS BRUTOS'!N$3:N$500)+IF($C19="",0,SUMIF('DADOS BRUTOS'!$A$3:$A$500,$C19,'DADOS BRUTOS'!N$3:N$500)))</f>
        <v/>
      </c>
      <c r="CO19" s="56">
        <f>IF(OR(CO$4="",$B19=""),0,SUMIF('DADOS BRUTOS'!$A$3:$A$500,$B19,'DADOS BRUTOS'!O$3:O$500)+IF($C19="",0,SUMIF('DADOS BRUTOS'!$A$3:$A$500,$C19,'DADOS BRUTOS'!O$3:O$500)))</f>
        <v/>
      </c>
      <c r="CP19" s="56">
        <f>IF(OR(CP$4="",$B19=""),0,SUMIF('DADOS BRUTOS'!$A$3:$A$500,$B19,'DADOS BRUTOS'!P$3:P$500)+IF($C19="",0,SUMIF('DADOS BRUTOS'!$A$3:$A$500,$C19,'DADOS BRUTOS'!P$3:P$500)))</f>
        <v/>
      </c>
      <c r="CQ19" s="56">
        <f>IF(OR(CQ$4="",$B19=""),0,SUMIF('DADOS BRUTOS'!$A$3:$A$500,$B19,'DADOS BRUTOS'!Q$3:Q$500)+IF($C19="",0,SUMIF('DADOS BRUTOS'!$A$3:$A$500,$C19,'DADOS BRUTOS'!Q$3:Q$500)))</f>
        <v/>
      </c>
      <c r="CR19" s="56">
        <f>IF(OR(CR$4="",$B19=""),0,SUMIF('DADOS BRUTOS'!$A$3:$A$500,$B19,'DADOS BRUTOS'!R$3:R$500)+IF($C19="",0,SUMIF('DADOS BRUTOS'!$A$3:$A$500,$C19,'DADOS BRUTOS'!R$3:R$500)))</f>
        <v/>
      </c>
      <c r="CS19" s="56">
        <f>IF(OR(CS$4="",$B19=""),0,SUMIF('DADOS BRUTOS'!$A$3:$A$500,$B19,'DADOS BRUTOS'!S$3:S$500)+IF($C19="",0,SUMIF('DADOS BRUTOS'!$A$3:$A$500,$C19,'DADOS BRUTOS'!S$3:S$500)))</f>
        <v/>
      </c>
      <c r="CT19" s="56">
        <f>IF(OR(CT$4="",$B19=""),0,SUMIF('DADOS BRUTOS'!$A$3:$A$500,$B19,'DADOS BRUTOS'!T$3:T$500)+IF($C19="",0,SUMIF('DADOS BRUTOS'!$A$3:$A$500,$C19,'DADOS BRUTOS'!T$3:T$500)))</f>
        <v/>
      </c>
      <c r="CU19" s="56">
        <f>IF(OR(CU$4="",$B19=""),0,SUMIF('DADOS BRUTOS'!$A$3:$A$500,$B19,'DADOS BRUTOS'!U$3:U$500)+IF($C19="",0,SUMIF('DADOS BRUTOS'!$A$3:$A$500,$C19,'DADOS BRUTOS'!U$3:U$500)))</f>
        <v/>
      </c>
      <c r="CV19" s="56">
        <f>IF(OR(CV$4="",$B19=""),0,SUMIF('DADOS BRUTOS'!$A$3:$A$500,$B19,'DADOS BRUTOS'!V$3:V$500)+IF($C19="",0,SUMIF('DADOS BRUTOS'!$A$3:$A$500,$C19,'DADOS BRUTOS'!V$3:V$500)))</f>
        <v/>
      </c>
      <c r="CW19" s="56">
        <f>IF(OR(CW$4="",$B19=""),0,SUMIF('DADOS BRUTOS'!$A$3:$A$500,$B19,'DADOS BRUTOS'!W$3:W$500)+IF($C19="",0,SUMIF('DADOS BRUTOS'!$A$3:$A$500,$C19,'DADOS BRUTOS'!W$3:W$500)))</f>
        <v/>
      </c>
      <c r="CX19" s="56">
        <f>IF(OR(CX$4="",$B19=""),0,SUMIF('DADOS BRUTOS'!$A$3:$A$500,$B19,'DADOS BRUTOS'!X$3:X$500)+IF($C19="",0,SUMIF('DADOS BRUTOS'!$A$3:$A$500,$C19,'DADOS BRUTOS'!X$3:X$500)))</f>
        <v/>
      </c>
      <c r="CY19" s="56">
        <f>IF(OR(CY$4="",$B19=""),0,SUMIF('DADOS BRUTOS'!$A$3:$A$500,$B19,'DADOS BRUTOS'!Y$3:Y$500)+IF($C19="",0,SUMIF('DADOS BRUTOS'!$A$3:$A$500,$C19,'DADOS BRUTOS'!Y$3:Y$500)))</f>
        <v/>
      </c>
      <c r="CZ19" s="56">
        <f>IF(OR(CZ$4="",$B19=""),0,SUMIF('DADOS BRUTOS'!$A$3:$A$500,$B19,'DADOS BRUTOS'!Z$3:Z$500)+IF($C19="",0,SUMIF('DADOS BRUTOS'!$A$3:$A$500,$C19,'DADOS BRUTOS'!Z$3:Z$500)))</f>
        <v/>
      </c>
      <c r="DA19" s="56">
        <f>IF(OR(DA$4="",$B19=""),0,SUMIF('DADOS BRUTOS'!$A$3:$A$500,$B19,'DADOS BRUTOS'!AA$3:AA$500)+IF($C19="",0,SUMIF('DADOS BRUTOS'!$A$3:$A$500,$C19,'DADOS BRUTOS'!AA$3:AA$500)))</f>
        <v/>
      </c>
      <c r="DB19" s="56">
        <f>IF(OR(DB$4="",$B19=""),0,SUMIF('DADOS BRUTOS'!$A$3:$A$500,$B19,'DADOS BRUTOS'!AB$3:AB$500)+IF($C19="",0,SUMIF('DADOS BRUTOS'!$A$3:$A$500,$C19,'DADOS BRUTOS'!AB$3:AB$500)))</f>
        <v/>
      </c>
      <c r="DC19" s="56">
        <f>IF(OR(DC$4="",$B19=""),0,SUMIF('DADOS BRUTOS'!$A$3:$A$500,$B19,'DADOS BRUTOS'!AC$3:AC$500)+IF($C19="",0,SUMIF('DADOS BRUTOS'!$A$3:$A$500,$C19,'DADOS BRUTOS'!AC$3:AC$500)))</f>
        <v/>
      </c>
      <c r="DD19" s="56">
        <f>IF(OR(DD$4="",$B19=""),0,SUMIF('DADOS BRUTOS'!$A$3:$A$500,$B19,'DADOS BRUTOS'!AD$3:AD$500)+IF($C19="",0,SUMIF('DADOS BRUTOS'!$A$3:$A$500,$C19,'DADOS BRUTOS'!AD$3:AD$500)))</f>
        <v/>
      </c>
      <c r="DE19" s="56">
        <f>IF(OR(DE$4="",$B19=""),0,SUMIF('DADOS BRUTOS'!$A$3:$A$500,$B19,'DADOS BRUTOS'!AE$3:AE$500)+IF($C19="",0,SUMIF('DADOS BRUTOS'!$A$3:$A$500,$C19,'DADOS BRUTOS'!AE$3:AE$500)))</f>
        <v/>
      </c>
      <c r="DF19" s="56">
        <f>IF(OR(DF$4="",$B19=""),0,SUMIF('DADOS BRUTOS'!$A$3:$A$500,$B19,'DADOS BRUTOS'!AF$3:AF$500)+IF($C19="",0,SUMIF('DADOS BRUTOS'!$A$3:$A$500,$C19,'DADOS BRUTOS'!AF$3:AF$500)))</f>
        <v/>
      </c>
      <c r="DG19" s="56">
        <f>IF(OR(DG$4="",$B19=""),0,SUMIF('DADOS BRUTOS'!$A$3:$A$500,$B19,'DADOS BRUTOS'!AG$3:AG$500)+IF($C19="",0,SUMIF('DADOS BRUTOS'!$A$3:$A$500,$C19,'DADOS BRUTOS'!AG$3:AG$500)))</f>
        <v/>
      </c>
      <c r="DH19" s="56">
        <f>IF(OR(DH$4="",$B19=""),0,SUMIF('DADOS BRUTOS'!$A$3:$A$500,$B19,'DADOS BRUTOS'!AH$3:AH$500)+IF($C19="",0,SUMIF('DADOS BRUTOS'!$A$3:$A$500,$C19,'DADOS BRUTOS'!AH$3:AH$500)))</f>
        <v/>
      </c>
      <c r="DI19" s="56">
        <f>IF(OR(DI$4="",$B19=""),0,SUMIF('DADOS BRUTOS'!$A$3:$A$500,$B19,'DADOS BRUTOS'!AI$3:AI$500)+IF($C19="",0,SUMIF('DADOS BRUTOS'!$A$3:$A$500,$C19,'DADOS BRUTOS'!AI$3:AI$500)))</f>
        <v/>
      </c>
      <c r="DJ19" s="56">
        <f>IF(OR(DJ$4="",$B19=""),0,SUMIF('DADOS BRUTOS'!$A$3:$A$500,$B19,'DADOS BRUTOS'!AJ$3:AJ$500)+IF($C19="",0,SUMIF('DADOS BRUTOS'!$A$3:$A$500,$C19,'DADOS BRUTOS'!AJ$3:AJ$500)))</f>
        <v/>
      </c>
      <c r="DK19" s="56">
        <f>IF(OR(DK$4="",$B19=""),0,SUMIF('DADOS BRUTOS'!$A$3:$A$500,$B19,'DADOS BRUTOS'!AK$3:AK$500)+IF($C19="",0,SUMIF('DADOS BRUTOS'!$A$3:$A$500,$C19,'DADOS BRUTOS'!AK$3:AK$500)))</f>
        <v/>
      </c>
      <c r="DL19" s="56">
        <f>IF(OR(DL$4="",$B19=""),0,SUMIF('DADOS BRUTOS'!$A$3:$A$500,$B19,'DADOS BRUTOS'!AL$3:AL$500)+IF($C19="",0,SUMIF('DADOS BRUTOS'!$A$3:$A$500,$C19,'DADOS BRUTOS'!AL$3:AL$500)))</f>
        <v/>
      </c>
      <c r="DM19" s="56">
        <f>IF(OR(DM$4="",$B19=""),0,SUMIF('DADOS BRUTOS'!$A$3:$A$500,$B19,'DADOS BRUTOS'!AM$3:AM$500)+IF($C19="",0,SUMIF('DADOS BRUTOS'!$A$3:$A$500,$C19,'DADOS BRUTOS'!AM$3:AM$500)))</f>
        <v/>
      </c>
      <c r="DN19" s="56">
        <f>IF(OR(DN$4="",$B19=""),0,SUMIF('DADOS BRUTOS'!$A$3:$A$500,$B19,'DADOS BRUTOS'!AN$3:AN$500)+IF($C19="",0,SUMIF('DADOS BRUTOS'!$A$3:$A$500,$C19,'DADOS BRUTOS'!AN$3:AN$500)))</f>
        <v/>
      </c>
      <c r="DO19" s="56">
        <f>IF(OR(DO$4="",$B19=""),0,SUMIF('DADOS BRUTOS'!$A$3:$A$500,$B19,'DADOS BRUTOS'!AO$3:AO$500)+IF($C19="",0,SUMIF('DADOS BRUTOS'!$A$3:$A$500,$C19,'DADOS BRUTOS'!AO$3:AO$500)))</f>
        <v/>
      </c>
      <c r="DP19" s="56">
        <f>IF(OR(DP$4="",$B19=""),0,SUMIF('DADOS BRUTOS'!$A$3:$A$500,$B19,'DADOS BRUTOS'!AP$3:AP$500)+IF($C19="",0,SUMIF('DADOS BRUTOS'!$A$3:$A$500,$C19,'DADOS BRUTOS'!AP$3:AP$500)))</f>
        <v/>
      </c>
      <c r="DQ19" s="56">
        <f>IF(OR(DQ$4="",$B19=""),0,SUMIF('DADOS BRUTOS'!$A$3:$A$500,$B19,'DADOS BRUTOS'!AQ$3:AQ$500)+IF($C19="",0,SUMIF('DADOS BRUTOS'!$A$3:$A$500,$C19,'DADOS BRUTOS'!AQ$3:AQ$500)))</f>
        <v/>
      </c>
      <c r="DR19" s="56">
        <f>IF(OR(DR$4="",$B19=""),0,SUMIF('DADOS BRUTOS'!$A$3:$A$500,$B19,'DADOS BRUTOS'!AR$3:AR$500)+IF($C19="",0,SUMIF('DADOS BRUTOS'!$A$3:$A$500,$C19,'DADOS BRUTOS'!AR$3:AR$500)))</f>
        <v/>
      </c>
      <c r="DS19" s="56">
        <f>IF(OR(DS$4="",$B19=""),0,SUMIF('DADOS BRUTOS'!$A$3:$A$500,$B19,'DADOS BRUTOS'!AS$3:AS$500)+IF($C19="",0,SUMIF('DADOS BRUTOS'!$A$3:$A$500,$C19,'DADOS BRUTOS'!AS$3:AS$500)))</f>
        <v/>
      </c>
      <c r="DT19" s="56">
        <f>IF(OR(DT$4="",$B19=""),0,SUMIF('DADOS BRUTOS'!$A$3:$A$500,$B19,'DADOS BRUTOS'!AT$3:AT$500)+IF($C19="",0,SUMIF('DADOS BRUTOS'!$A$3:$A$500,$C19,'DADOS BRUTOS'!AT$3:AT$500)))</f>
        <v/>
      </c>
      <c r="DU19" s="56">
        <f>IF(OR(DU$4="",$B19=""),0,SUMIF('DADOS BRUTOS'!$A$3:$A$500,$B19,'DADOS BRUTOS'!AU$3:AU$500)+IF($C19="",0,SUMIF('DADOS BRUTOS'!$A$3:$A$500,$C19,'DADOS BRUTOS'!AU$3:AU$500)))</f>
        <v/>
      </c>
      <c r="DV19" s="56">
        <f>IF(OR(DV$4="",$B19=""),0,SUMIF('DADOS BRUTOS'!$A$3:$A$500,$B19,'DADOS BRUTOS'!AV$3:AV$500)+IF($C19="",0,SUMIF('DADOS BRUTOS'!$A$3:$A$500,$C19,'DADOS BRUTOS'!AV$3:AV$500)))</f>
        <v/>
      </c>
      <c r="DW19" s="56">
        <f>IF(OR(DW$4="",$B19=""),0,SUMIF('DADOS BRUTOS'!$A$3:$A$500,$B19,'DADOS BRUTOS'!AW$3:AW$500)+IF($C19="",0,SUMIF('DADOS BRUTOS'!$A$3:$A$500,$C19,'DADOS BRUTOS'!AW$3:AW$500)))</f>
        <v/>
      </c>
      <c r="DX19" s="56">
        <f>IF(OR(DX$4="",$B19=""),0,SUMIF('DADOS BRUTOS'!$A$3:$A$500,$B19,'DADOS BRUTOS'!AX$3:AX$500)+IF($C19="",0,SUMIF('DADOS BRUTOS'!$A$3:$A$500,$C19,'DADOS BRUTOS'!AX$3:AX$500)))</f>
        <v/>
      </c>
      <c r="DY19" s="56">
        <f>IF(OR(DY$4="",$B19=""),0,SUMIF('DADOS BRUTOS'!$A$3:$A$500,$B19,'DADOS BRUTOS'!AY$3:AY$500)+IF($C19="",0,SUMIF('DADOS BRUTOS'!$A$3:$A$500,$C19,'DADOS BRUTOS'!AY$3:AY$500)))</f>
        <v/>
      </c>
      <c r="DZ19" s="56">
        <f>IF(OR(DZ$4="",$B19=""),0,SUMIF('DADOS BRUTOS'!$A$3:$A$500,$B19,'DADOS BRUTOS'!AZ$3:AZ$500)+IF($C19="",0,SUMIF('DADOS BRUTOS'!$A$3:$A$500,$C19,'DADOS BRUTOS'!AZ$3:AZ$500)))</f>
        <v/>
      </c>
      <c r="EA19" s="56">
        <f>IF(OR(EA$4="",$B19=""),0,SUMIF('DADOS BRUTOS'!$A$3:$A$500,$B19,'DADOS BRUTOS'!BA$3:BA$500)+IF($C19="",0,SUMIF('DADOS BRUTOS'!$A$3:$A$500,$C19,'DADOS BRUTOS'!BA$3:BA$500)))</f>
        <v/>
      </c>
      <c r="EB19" s="56">
        <f>IF(OR(EB$4="",$B19=""),0,SUMIF('DADOS BRUTOS'!$A$3:$A$500,$B19,'DADOS BRUTOS'!BB$3:BB$500)+IF($C19="",0,SUMIF('DADOS BRUTOS'!$A$3:$A$500,$C19,'DADOS BRUTOS'!BB$3:BB$500)))</f>
        <v/>
      </c>
      <c r="EC19" s="56">
        <f>IF(OR(EC$4="",$B19=""),0,SUMIF('DADOS BRUTOS'!$A$3:$A$500,$B19,'DADOS BRUTOS'!BC$3:BC$500)+IF($C19="",0,SUMIF('DADOS BRUTOS'!$A$3:$A$500,$C19,'DADOS BRUTOS'!BC$3:BC$500)))</f>
        <v/>
      </c>
      <c r="ED19" s="56">
        <f>IF(OR(ED$4="",$B19=""),0,SUMIF('DADOS BRUTOS'!$A$3:$A$500,$B19,'DADOS BRUTOS'!BD$3:BD$500)+IF($C19="",0,SUMIF('DADOS BRUTOS'!$A$3:$A$500,$C19,'DADOS BRUTOS'!BD$3:BD$500)))</f>
        <v/>
      </c>
      <c r="EE19" s="56">
        <f>IF(OR(EE$4="",$B19=""),0,SUMIF('DADOS BRUTOS'!$A$3:$A$500,$B19,'DADOS BRUTOS'!BE$3:BE$500)+IF($C19="",0,SUMIF('DADOS BRUTOS'!$A$3:$A$500,$C19,'DADOS BRUTOS'!BE$3:BE$500)))</f>
        <v/>
      </c>
      <c r="EF19" s="56">
        <f>IF(OR(EF$4="",$B19=""),0,SUMIF('DADOS BRUTOS'!$A$3:$A$500,$B19,'DADOS BRUTOS'!BF$3:BF$500)+IF($C19="",0,SUMIF('DADOS BRUTOS'!$A$3:$A$500,$C19,'DADOS BRUTOS'!BF$3:BF$500)))</f>
        <v/>
      </c>
      <c r="EG19" s="56">
        <f>IF(OR(EG$4="",$B19=""),0,SUMIF('DADOS BRUTOS'!$A$3:$A$500,$B19,'DADOS BRUTOS'!BG$3:BG$500)+IF($C19="",0,SUMIF('DADOS BRUTOS'!$A$3:$A$500,$C19,'DADOS BRUTOS'!BG$3:BG$500)))</f>
        <v/>
      </c>
      <c r="EH19" s="56">
        <f>IF(OR(EH$4="",$B19=""),0,SUMIF('DADOS BRUTOS'!$A$3:$A$500,$B19,'DADOS BRUTOS'!BH$3:BH$500)+IF($C19="",0,SUMIF('DADOS BRUTOS'!$A$3:$A$500,$C19,'DADOS BRUTOS'!BH$3:BH$500)))</f>
        <v/>
      </c>
      <c r="EI19" s="56">
        <f>IF(OR(EI$4="",$B19=""),0,SUMIF('DADOS BRUTOS'!$A$3:$A$500,$B19,'DADOS BRUTOS'!BI$3:BI$500)+IF($C19="",0,SUMIF('DADOS BRUTOS'!$A$3:$A$500,$C19,'DADOS BRUTOS'!BI$3:BI$500)))</f>
        <v/>
      </c>
      <c r="EJ19" s="56">
        <f>IF(OR(EJ$4="",$B19=""),0,SUMIF('DADOS BRUTOS'!$A$3:$A$500,$B19,'DADOS BRUTOS'!BJ$3:BJ$500)+IF($C19="",0,SUMIF('DADOS BRUTOS'!$A$3:$A$500,$C19,'DADOS BRUTOS'!BJ$3:BJ$500)))</f>
        <v/>
      </c>
      <c r="EK19" s="56">
        <f>IF(OR(EK$4="",$B19=""),0,SUMIF('DADOS BRUTOS'!$A$3:$A$500,$B19,'DADOS BRUTOS'!BK$3:BK$500)+IF($C19="",0,SUMIF('DADOS BRUTOS'!$A$3:$A$500,$C19,'DADOS BRUTOS'!BK$3:BK$500)))</f>
        <v/>
      </c>
      <c r="EL19" s="56">
        <f>IF(OR(EL$4="",$B19=""),0,SUMIF('DADOS BRUTOS'!$A$3:$A$500,$B19,'DADOS BRUTOS'!BL$3:BL$500)+IF($C19="",0,SUMIF('DADOS BRUTOS'!$A$3:$A$500,$C19,'DADOS BRUTOS'!BL$3:BL$500)))</f>
        <v/>
      </c>
      <c r="EM19" s="56">
        <f>IF(OR(EM$4="",$B19=""),0,SUMIF('DADOS BRUTOS'!$A$3:$A$500,$B19,'DADOS BRUTOS'!BM$3:BM$500)+IF($C19="",0,SUMIF('DADOS BRUTOS'!$A$3:$A$500,$C19,'DADOS BRUTOS'!BM$3:BM$500)))</f>
        <v/>
      </c>
      <c r="EN19" s="56">
        <f>IF(OR(EN$4="",$B19=""),0,SUMIF('DADOS BRUTOS'!$A$3:$A$500,$B19,'DADOS BRUTOS'!BN$3:BN$500)+IF($C19="",0,SUMIF('DADOS BRUTOS'!$A$3:$A$500,$C19,'DADOS BRUTOS'!BN$3:BN$500)))</f>
        <v/>
      </c>
      <c r="EO19" s="56">
        <f>IF(OR(EO$4="",$B19=""),0,SUMIF('DADOS BRUTOS'!$A$3:$A$500,$B19,'DADOS BRUTOS'!BO$3:BO$500)+IF($C19="",0,SUMIF('DADOS BRUTOS'!$A$3:$A$500,$C19,'DADOS BRUTOS'!BO$3:BO$500)))</f>
        <v/>
      </c>
      <c r="EP19" s="56">
        <f>IF(OR(EP$4="",$B19=""),0,SUMIF('DADOS BRUTOS'!$A$3:$A$500,$B19,'DADOS BRUTOS'!BP$3:BP$500)+IF($C19="",0,SUMIF('DADOS BRUTOS'!$A$3:$A$500,$C19,'DADOS BRUTOS'!BP$3:BP$500)))</f>
        <v/>
      </c>
      <c r="EQ19" s="56">
        <f>IF(OR(EQ$4="",$B19=""),0,SUMIF('DADOS BRUTOS'!$A$3:$A$500,$B19,'DADOS BRUTOS'!BQ$3:BQ$500)+IF($C19="",0,SUMIF('DADOS BRUTOS'!$A$3:$A$500,$C19,'DADOS BRUTOS'!BQ$3:BQ$500)))</f>
        <v/>
      </c>
      <c r="ER19" s="56">
        <f>IF(OR(ER$4="",$B19=""),0,SUMIF('DADOS BRUTOS'!$A$3:$A$500,$B19,'DADOS BRUTOS'!BR$3:BR$500)+IF($C19="",0,SUMIF('DADOS BRUTOS'!$A$3:$A$500,$C19,'DADOS BRUTOS'!BR$3:BR$500)))</f>
        <v/>
      </c>
      <c r="ES19" s="56">
        <f>IF(OR(ES$4="",$B19=""),0,SUMIF('DADOS BRUTOS'!$A$3:$A$500,$B19,'DADOS BRUTOS'!BS$3:BS$500)+IF($C19="",0,SUMIF('DADOS BRUTOS'!$A$3:$A$500,$C19,'DADOS BRUTOS'!BS$3:BS$500)))</f>
        <v/>
      </c>
      <c r="ET19" s="56">
        <f>IF(OR(ET$4="",$B19=""),0,SUMIF('DADOS BRUTOS'!$A$3:$A$500,$B19,'DADOS BRUTOS'!BT$3:BT$500)+IF($C19="",0,SUMIF('DADOS BRUTOS'!$A$3:$A$500,$C19,'DADOS BRUTOS'!BT$3:BT$500)))</f>
        <v/>
      </c>
      <c r="EU19" s="56">
        <f>IF(OR(EU$4="",$B19=""),0,SUMIF('DADOS BRUTOS'!$A$3:$A$500,$B19,'DADOS BRUTOS'!BU$3:BU$500)+IF($C19="",0,SUMIF('DADOS BRUTOS'!$A$3:$A$500,$C19,'DADOS BRUTOS'!BU$3:BU$500)))</f>
        <v/>
      </c>
      <c r="EV19" s="56">
        <f>IF(OR(EV$4="",$B19=""),0,SUMIF('DADOS BRUTOS'!$A$3:$A$500,$B19,'DADOS BRUTOS'!BV$3:BV$500)+IF($C19="",0,SUMIF('DADOS BRUTOS'!$A$3:$A$500,$C19,'DADOS BRUTOS'!BV$3:BV$500)))</f>
        <v/>
      </c>
      <c r="EW19" s="56">
        <f>IF(OR(EW$4="",$B19=""),0,SUMIF('DADOS BRUTOS'!$A$3:$A$500,$B19,'DADOS BRUTOS'!BW$3:BW$500)+IF($C19="",0,SUMIF('DADOS BRUTOS'!$A$3:$A$500,$C19,'DADOS BRUTOS'!BW$3:BW$500)))</f>
        <v/>
      </c>
      <c r="EX19" s="56">
        <f>IF(OR(EX$4="",$B19=""),0,SUMIF('DADOS BRUTOS'!$A$3:$A$500,$B19,'DADOS BRUTOS'!BX$3:BX$500)+IF($C19="",0,SUMIF('DADOS BRUTOS'!$A$3:$A$500,$C19,'DADOS BRUTOS'!BX$3:BX$500)))</f>
        <v/>
      </c>
      <c r="EY19" s="56">
        <f>IF(OR(EY$4="",$B19=""),0,SUMIF('DADOS BRUTOS'!$A$3:$A$500,$B19,'DADOS BRUTOS'!BY$3:BY$500)+IF($C19="",0,SUMIF('DADOS BRUTOS'!$A$3:$A$500,$C19,'DADOS BRUTOS'!BY$3:BY$500)))</f>
        <v/>
      </c>
      <c r="EZ19" s="56">
        <f>IF(OR(EZ$4="",$B19=""),0,SUMIF('DADOS BRUTOS'!$A$3:$A$500,$B19,'DADOS BRUTOS'!BZ$3:BZ$500)+IF($C19="",0,SUMIF('DADOS BRUTOS'!$A$3:$A$500,$C19,'DADOS BRUTOS'!BZ$3:BZ$500)))</f>
        <v/>
      </c>
      <c r="FA19" s="56">
        <f>IF(OR(FA$4="",$B19=""),0,SUMIF('DADOS BRUTOS'!$A$3:$A$500,$B19,'DADOS BRUTOS'!CA$3:CA$500)+IF($C19="",0,SUMIF('DADOS BRUTOS'!$A$3:$A$500,$C19,'DADOS BRUTOS'!CA$3:CA$500)))</f>
        <v/>
      </c>
      <c r="FB19" s="56">
        <f>IF(OR(FB$4="",$B19=""),0,SUMIF('DADOS BRUTOS'!$A$3:$A$500,$B19,'DADOS BRUTOS'!CB$3:CB$500)+IF($C19="",0,SUMIF('DADOS BRUTOS'!$A$3:$A$500,$C19,'DADOS BRUTOS'!CB$3:CB$500)))</f>
        <v/>
      </c>
      <c r="FC19" s="56">
        <f>IF(OR(FC$4="",$B19=""),0,SUMIF('DADOS BRUTOS'!$A$3:$A$500,$B19,'DADOS BRUTOS'!CC$3:CC$500)+IF($C19="",0,SUMIF('DADOS BRUTOS'!$A$3:$A$500,$C19,'DADOS BRUTOS'!CC$3:CC$500)))</f>
        <v/>
      </c>
      <c r="FD19" s="56">
        <f>IF(OR(FD$4="",$B19=""),0,SUMIF('DADOS BRUTOS'!$A$3:$A$500,$B19,'DADOS BRUTOS'!CD$3:CD$500)+IF($C19="",0,SUMIF('DADOS BRUTOS'!$A$3:$A$500,$C19,'DADOS BRUTOS'!CD$3:CD$500)))</f>
        <v/>
      </c>
      <c r="FE19" s="56">
        <f>IF(OR(FE$4="",$B19=""),0,SUMIF('DADOS BRUTOS'!$A$3:$A$500,$B19,'DADOS BRUTOS'!CE$3:CE$500)+IF($C19="",0,SUMIF('DADOS BRUTOS'!$A$3:$A$500,$C19,'DADOS BRUTOS'!CE$3:CE$500)))</f>
        <v/>
      </c>
      <c r="FF19" s="56">
        <f>IF(OR(FF$4="",$B19=""),0,SUMIF('DADOS BRUTOS'!$A$3:$A$500,$B19,'DADOS BRUTOS'!CF$3:CF$500)+IF($C19="",0,SUMIF('DADOS BRUTOS'!$A$3:$A$500,$C19,'DADOS BRUTOS'!CF$3:CF$500)))</f>
        <v/>
      </c>
      <c r="FG19" s="56">
        <f>IF(OR(FG$4="",$B19=""),0,SUMIF('DADOS BRUTOS'!$A$3:$A$500,$B19,'DADOS BRUTOS'!CG$3:CG$500)+IF($C19="",0,SUMIF('DADOS BRUTOS'!$A$3:$A$500,$C19,'DADOS BRUTOS'!CG$3:CG$500)))</f>
        <v/>
      </c>
      <c r="FH19" s="56">
        <f>IF(OR(FH$4="",$B19=""),0,SUMIF('DADOS BRUTOS'!$A$3:$A$500,$B19,'DADOS BRUTOS'!CH$3:CH$500)+IF($C19="",0,SUMIF('DADOS BRUTOS'!$A$3:$A$500,$C19,'DADOS BRUTOS'!CH$3:CH$500)))</f>
        <v/>
      </c>
      <c r="FI19" s="56">
        <f>IF(OR(FI$4="",$B19=""),0,SUMIF('DADOS BRUTOS'!$A$3:$A$500,$B19,'DADOS BRUTOS'!CI$3:CI$500)+IF($C19="",0,SUMIF('DADOS BRUTOS'!$A$3:$A$500,$C19,'DADOS BRUTOS'!CI$3:CI$500)))</f>
        <v/>
      </c>
      <c r="FJ19" s="56">
        <f>IF(OR(FJ$4="",$B19=""),0,SUMIF('DADOS BRUTOS'!$A$3:$A$500,$B19,'DADOS BRUTOS'!CJ$3:CJ$500)+IF($C19="",0,SUMIF('DADOS BRUTOS'!$A$3:$A$500,$C19,'DADOS BRUTOS'!CJ$3:CJ$500)))</f>
        <v/>
      </c>
      <c r="FK19" s="56">
        <f>IF(OR(FK$4="",$B19=""),0,SUMIF('DADOS BRUTOS'!$A$3:$A$500,$B19,'DADOS BRUTOS'!CK$3:CK$500)+IF($C19="",0,SUMIF('DADOS BRUTOS'!$A$3:$A$500,$C19,'DADOS BRUTOS'!CK$3:CK$500)))</f>
        <v/>
      </c>
      <c r="FL19" s="56">
        <f>IF(OR(FL$4="",$B19=""),0,SUMIF('DADOS BRUTOS'!$A$3:$A$500,$B19,'DADOS BRUTOS'!CL$3:CL$500)+IF($C19="",0,SUMIF('DADOS BRUTOS'!$A$3:$A$500,$C19,'DADOS BRUTOS'!CL$3:CL$500)))</f>
        <v/>
      </c>
      <c r="FM19" s="56">
        <f>IF(OR(FM$4="",$B19=""),0,SUMIF('DADOS BRUTOS'!$A$3:$A$500,$B19,'DADOS BRUTOS'!CM$3:CM$500)+IF($C19="",0,SUMIF('DADOS BRUTOS'!$A$3:$A$500,$C19,'DADOS BRUTOS'!CM$3:CM$500)))</f>
        <v/>
      </c>
      <c r="FN19" s="56">
        <f>IF(OR(FN$4="",$B19=""),0,SUMIF('DADOS BRUTOS'!$A$3:$A$500,$B19,'DADOS BRUTOS'!CN$3:CN$500)+IF($C19="",0,SUMIF('DADOS BRUTOS'!$A$3:$A$500,$C19,'DADOS BRUTOS'!CN$3:CN$500)))</f>
        <v/>
      </c>
      <c r="FO19" s="56">
        <f>IF(OR(FO$4="",$B19=""),0,SUMIF('DADOS BRUTOS'!$A$3:$A$500,$B19,'DADOS BRUTOS'!CO$3:CO$500)+IF($C19="",0,SUMIF('DADOS BRUTOS'!$A$3:$A$500,$C19,'DADOS BRUTOS'!CO$3:CO$500)))</f>
        <v/>
      </c>
      <c r="FP19" s="56">
        <f>IF(OR(FP$4="",$B19=""),0,SUMIF('DADOS BRUTOS'!$A$3:$A$500,$B19,'DADOS BRUTOS'!CP$3:CP$500)+IF($C19="",0,SUMIF('DADOS BRUTOS'!$A$3:$A$500,$C19,'DADOS BRUTOS'!CP$3:CP$500)))</f>
        <v/>
      </c>
      <c r="FQ19" s="56">
        <f>IF(OR(FQ$4="",$B19=""),0,SUMIF('DADOS BRUTOS'!$A$3:$A$500,$B19,'DADOS BRUTOS'!CQ$3:CQ$500)+IF($C19="",0,SUMIF('DADOS BRUTOS'!$A$3:$A$500,$C19,'DADOS BRUTOS'!CQ$3:CQ$500)))</f>
        <v/>
      </c>
      <c r="FR19" s="56">
        <f>IF(OR(FR$4="",$B19=""),0,SUMIF('DADOS BRUTOS'!$A$3:$A$500,$B19,'DADOS BRUTOS'!CR$3:CR$500)+IF($C19="",0,SUMIF('DADOS BRUTOS'!$A$3:$A$500,$C19,'DADOS BRUTOS'!CR$3:CR$500)))</f>
        <v/>
      </c>
      <c r="FS19" s="56">
        <f>IF(OR(FS$4="",$B19=""),0,SUMIF('DADOS BRUTOS'!$A$3:$A$500,$B19,'DADOS BRUTOS'!CS$3:CS$500)+IF($C19="",0,SUMIF('DADOS BRUTOS'!$A$3:$A$500,$C19,'DADOS BRUTOS'!CS$3:CS$500)))</f>
        <v/>
      </c>
      <c r="FT19" s="56">
        <f>IF(OR(FT$4="",$B19=""),0,SUMIF('DADOS BRUTOS'!$A$3:$A$500,$B19,'DADOS BRUTOS'!CT$3:CT$500)+IF($C19="",0,SUMIF('DADOS BRUTOS'!$A$3:$A$500,$C19,'DADOS BRUTOS'!CT$3:CT$500)))</f>
        <v/>
      </c>
      <c r="FU19" s="56">
        <f>IF(OR(FU$4="",$B19=""),0,SUMIF('DADOS BRUTOS'!$A$3:$A$500,$B19,'DADOS BRUTOS'!CU$3:CU$500)+IF($C19="",0,SUMIF('DADOS BRUTOS'!$A$3:$A$500,$C19,'DADOS BRUTOS'!CU$3:CU$500)))</f>
        <v/>
      </c>
      <c r="FV19" s="56">
        <f>IF(OR(FV$4="",$B19=""),0,SUMIF('DADOS BRUTOS'!$A$3:$A$500,$B19,'DADOS BRUTOS'!CV$3:CV$500)+IF($C19="",0,SUMIF('DADOS BRUTOS'!$A$3:$A$500,$C19,'DADOS BRUTOS'!CV$3:CV$500)))</f>
        <v/>
      </c>
      <c r="FW19" s="56">
        <f>IF(OR(FW$4="",$B19=""),0,SUMIF('DADOS BRUTOS'!$A$3:$A$500,$B19,'DADOS BRUTOS'!CW$3:CW$500)+IF($C19="",0,SUMIF('DADOS BRUTOS'!$A$3:$A$500,$C19,'DADOS BRUTOS'!CW$3:CW$500)))</f>
        <v/>
      </c>
      <c r="FX19" s="56">
        <f>IF(OR(FX$4="",$B19=""),0,SUMIF('DADOS BRUTOS'!$A$3:$A$500,$B19,'DADOS BRUTOS'!CX$3:CX$500)+IF($C19="",0,SUMIF('DADOS BRUTOS'!$A$3:$A$500,$C19,'DADOS BRUTOS'!CX$3:CX$500)))</f>
        <v/>
      </c>
      <c r="FY19" s="56">
        <f>IF(OR(FY$4="",$B19=""),0,SUMIF('DADOS BRUTOS'!$A$3:$A$500,$B19,'DADOS BRUTOS'!CY$3:CY$500)+IF($C19="",0,SUMIF('DADOS BRUTOS'!$A$3:$A$500,$C19,'DADOS BRUTOS'!CY$3:CY$500)))</f>
        <v/>
      </c>
      <c r="FZ19" s="56">
        <f>IF(OR(FZ$4="",$B19=""),0,SUMIF('DADOS BRUTOS'!$A$3:$A$500,$B19,'DADOS BRUTOS'!CZ$3:CZ$500)+IF($C19="",0,SUMIF('DADOS BRUTOS'!$A$3:$A$500,$C19,'DADOS BRUTOS'!CZ$3:CZ$500)))</f>
        <v/>
      </c>
      <c r="GA19" s="56">
        <f>IF(OR(GA$4="",$B19=""),0,SUMIF('DADOS BRUTOS'!$A$3:$A$500,$B19,'DADOS BRUTOS'!DA$3:DA$500)+IF($C19="",0,SUMIF('DADOS BRUTOS'!$A$3:$A$500,$C19,'DADOS BRUTOS'!DA$3:DA$500)))</f>
        <v/>
      </c>
      <c r="GB19" s="56">
        <f>IF(OR(GB$4="",$B19=""),0,SUMIF('DADOS BRUTOS'!$A$3:$A$500,$B19,'DADOS BRUTOS'!DB$3:DB$500)+IF($C19="",0,SUMIF('DADOS BRUTOS'!$A$3:$A$500,$C19,'DADOS BRUTOS'!DB$3:DB$500)))</f>
        <v/>
      </c>
      <c r="GC19" s="56">
        <f>IF(OR(GC$4="",$B19=""),0,SUMIF('DADOS BRUTOS'!$A$3:$A$500,$B19,'DADOS BRUTOS'!DC$3:DC$500)+IF($C19="",0,SUMIF('DADOS BRUTOS'!$A$3:$A$500,$C19,'DADOS BRUTOS'!DC$3:DC$500)))</f>
        <v/>
      </c>
      <c r="GD19" s="56">
        <f>IF(OR(GD$4="",$B19=""),0,SUMIF('DADOS BRUTOS'!$A$3:$A$500,$B19,'DADOS BRUTOS'!DD$3:DD$500)+IF($C19="",0,SUMIF('DADOS BRUTOS'!$A$3:$A$500,$C19,'DADOS BRUTOS'!DD$3:DD$500)))</f>
        <v/>
      </c>
      <c r="GE19" s="56">
        <f>IF(OR(GE$4="",$B19=""),0,SUMIF('DADOS BRUTOS'!$A$3:$A$500,$B19,'DADOS BRUTOS'!DE$3:DE$500)+IF($C19="",0,SUMIF('DADOS BRUTOS'!$A$3:$A$500,$C19,'DADOS BRUTOS'!DE$3:DE$500)))</f>
        <v/>
      </c>
      <c r="GF19" s="56">
        <f>IF(OR(GF$4="",$B19=""),0,SUMIF('DADOS BRUTOS'!$A$3:$A$500,$B19,'DADOS BRUTOS'!DF$3:DF$500)+IF($C19="",0,SUMIF('DADOS BRUTOS'!$A$3:$A$500,$C19,'DADOS BRUTOS'!DF$3:DF$500)))</f>
        <v/>
      </c>
      <c r="GG19" s="56">
        <f>IF(OR(GG$4="",$B19=""),0,SUMIF('DADOS BRUTOS'!$A$3:$A$500,$B19,'DADOS BRUTOS'!DG$3:DG$500)+IF($C19="",0,SUMIF('DADOS BRUTOS'!$A$3:$A$500,$C19,'DADOS BRUTOS'!DG$3:DG$500)))</f>
        <v/>
      </c>
      <c r="GH19" s="56">
        <f>IF(OR(GH$4="",$B19=""),0,SUMIF('DADOS BRUTOS'!$A$3:$A$500,$B19,'DADOS BRUTOS'!DH$3:DH$500)+IF($C19="",0,SUMIF('DADOS BRUTOS'!$A$3:$A$500,$C19,'DADOS BRUTOS'!DH$3:DH$500)))</f>
        <v/>
      </c>
      <c r="GI19" s="56">
        <f>IF(OR(GI$4="",$B19=""),0,SUMIF('DADOS BRUTOS'!$A$3:$A$500,$B19,'DADOS BRUTOS'!DI$3:DI$500)+IF($C19="",0,SUMIF('DADOS BRUTOS'!$A$3:$A$500,$C19,'DADOS BRUTOS'!DI$3:DI$500)))</f>
        <v/>
      </c>
      <c r="GJ19" s="56">
        <f>IF(OR(GJ$4="",$B19=""),0,SUMIF('DADOS BRUTOS'!$A$3:$A$500,$B19,'DADOS BRUTOS'!DJ$3:DJ$500)+IF($C19="",0,SUMIF('DADOS BRUTOS'!$A$3:$A$500,$C19,'DADOS BRUTOS'!DJ$3:DJ$500)))</f>
        <v/>
      </c>
      <c r="GK19" s="56">
        <f>IF(OR(GK$4="",$B19=""),0,SUMIF('DADOS BRUTOS'!$A$3:$A$500,$B19,'DADOS BRUTOS'!DK$3:DK$500)+IF($C19="",0,SUMIF('DADOS BRUTOS'!$A$3:$A$500,$C19,'DADOS BRUTOS'!DK$3:DK$500)))</f>
        <v/>
      </c>
      <c r="GL19" s="56">
        <f>IF(OR(GL$4="",$B19=""),0,SUMIF('DADOS BRUTOS'!$A$3:$A$500,$B19,'DADOS BRUTOS'!DL$3:DL$500)+IF($C19="",0,SUMIF('DADOS BRUTOS'!$A$3:$A$500,$C19,'DADOS BRUTOS'!DL$3:DL$500)))</f>
        <v/>
      </c>
      <c r="GM19" s="56">
        <f>IF(OR(GM$4="",$B19=""),0,SUMIF('DADOS BRUTOS'!$A$3:$A$500,$B19,'DADOS BRUTOS'!DM$3:DM$500)+IF($C19="",0,SUMIF('DADOS BRUTOS'!$A$3:$A$500,$C19,'DADOS BRUTOS'!DM$3:DM$500)))</f>
        <v/>
      </c>
      <c r="GN19" s="56">
        <f>IF(OR(GN$4="",$B19=""),0,SUMIF('DADOS BRUTOS'!$A$3:$A$500,$B19,'DADOS BRUTOS'!DN$3:DN$500)+IF($C19="",0,SUMIF('DADOS BRUTOS'!$A$3:$A$500,$C19,'DADOS BRUTOS'!DN$3:DN$500)))</f>
        <v/>
      </c>
      <c r="GO19" s="56">
        <f>IF(OR(GO$4="",$B19=""),0,SUMIF('DADOS BRUTOS'!$A$3:$A$500,$B19,'DADOS BRUTOS'!DO$3:DO$500)+IF($C19="",0,SUMIF('DADOS BRUTOS'!$A$3:$A$500,$C19,'DADOS BRUTOS'!DO$3:DO$500)))</f>
        <v/>
      </c>
      <c r="GP19" s="56">
        <f>IF(OR(GP$4="",$B19=""),0,SUMIF('DADOS BRUTOS'!$A$3:$A$500,$B19,'DADOS BRUTOS'!DP$3:DP$500)+IF($C19="",0,SUMIF('DADOS BRUTOS'!$A$3:$A$500,$C19,'DADOS BRUTOS'!DP$3:DP$500)))</f>
        <v/>
      </c>
      <c r="GQ19" s="56">
        <f>IF(OR(GQ$4="",$B19=""),0,SUMIF('DADOS BRUTOS'!$A$3:$A$500,$B19,'DADOS BRUTOS'!DQ$3:DQ$500)+IF($C19="",0,SUMIF('DADOS BRUTOS'!$A$3:$A$500,$C19,'DADOS BRUTOS'!DQ$3:DQ$500)))</f>
        <v/>
      </c>
      <c r="GR19" s="56">
        <f>IF(OR(GR$4="",$B19=""),0,SUMIF('DADOS BRUTOS'!$A$3:$A$500,$B19,'DADOS BRUTOS'!DR$3:DR$500)+IF($C19="",0,SUMIF('DADOS BRUTOS'!$A$3:$A$500,$C19,'DADOS BRUTOS'!DR$3:DR$500)))</f>
        <v/>
      </c>
      <c r="GS19" s="56">
        <f>IF(OR(GS$4="",$B19=""),0,SUMIF('DADOS BRUTOS'!$A$3:$A$500,$B19,'DADOS BRUTOS'!DS$3:DS$500)+IF($C19="",0,SUMIF('DADOS BRUTOS'!$A$3:$A$500,$C19,'DADOS BRUTOS'!DS$3:DS$500)))</f>
        <v/>
      </c>
      <c r="GT19" s="56">
        <f>IF(OR(GT$4="",$B19=""),0,SUMIF('DADOS BRUTOS'!$A$3:$A$500,$B19,'DADOS BRUTOS'!DT$3:DT$500)+IF($C19="",0,SUMIF('DADOS BRUTOS'!$A$3:$A$500,$C19,'DADOS BRUTOS'!DT$3:DT$500)))</f>
        <v/>
      </c>
      <c r="GU19" s="56">
        <f>IF(OR(GU$4="",$B19=""),0,SUMIF('DADOS BRUTOS'!$A$3:$A$500,$B19,'DADOS BRUTOS'!DU$3:DU$500)+IF($C19="",0,SUMIF('DADOS BRUTOS'!$A$3:$A$500,$C19,'DADOS BRUTOS'!DU$3:DU$500)))</f>
        <v/>
      </c>
      <c r="GV19" s="56">
        <f>IF(OR(GV$4="",$B19=""),0,SUMIF('DADOS BRUTOS'!$A$3:$A$500,$B19,'DADOS BRUTOS'!DV$3:DV$500)+IF($C19="",0,SUMIF('DADOS BRUTOS'!$A$3:$A$500,$C19,'DADOS BRUTOS'!DV$3:DV$500)))</f>
        <v/>
      </c>
      <c r="GW19" s="56">
        <f>IF(OR(GW$4="",$B19=""),0,SUMIF('DADOS BRUTOS'!$A$3:$A$500,$B19,'DADOS BRUTOS'!DW$3:DW$500)+IF($C19="",0,SUMIF('DADOS BRUTOS'!$A$3:$A$500,$C19,'DADOS BRUTOS'!DW$3:DW$500)))</f>
        <v/>
      </c>
      <c r="GX19" s="56">
        <f>IF(OR(GX$4="",$B19=""),0,SUMIF('DADOS BRUTOS'!$A$3:$A$500,$B19,'DADOS BRUTOS'!DX$3:DX$500)+IF($C19="",0,SUMIF('DADOS BRUTOS'!$A$3:$A$500,$C19,'DADOS BRUTOS'!DX$3:DX$500)))</f>
        <v/>
      </c>
      <c r="GY19" s="56">
        <f>IF(OR(GY$4="",$B19=""),0,SUMIF('DADOS BRUTOS'!$A$3:$A$500,$B19,'DADOS BRUTOS'!DY$3:DY$500)+IF($C19="",0,SUMIF('DADOS BRUTOS'!$A$3:$A$500,$C19,'DADOS BRUTOS'!DY$3:DY$500)))</f>
        <v/>
      </c>
      <c r="GZ19" s="56">
        <f>IF(OR(GZ$4="",$B19=""),0,SUMIF('DADOS BRUTOS'!$A$3:$A$500,$B19,'DADOS BRUTOS'!DZ$3:DZ$500)+IF($C19="",0,SUMIF('DADOS BRUTOS'!$A$3:$A$500,$C19,'DADOS BRUTOS'!DZ$3:DZ$500)))</f>
        <v/>
      </c>
      <c r="HA19" s="56">
        <f>IF(OR(HA$4="",$B19=""),0,SUMIF('DADOS BRUTOS'!$A$3:$A$500,$B19,'DADOS BRUTOS'!EA$3:EA$500)+IF($C19="",0,SUMIF('DADOS BRUTOS'!$A$3:$A$500,$C19,'DADOS BRUTOS'!EA$3:EA$500)))</f>
        <v/>
      </c>
      <c r="HB19" s="56">
        <f>IF(OR(HB$4="",$B19=""),0,SUMIF('DADOS BRUTOS'!$A$3:$A$500,$B19,'DADOS BRUTOS'!EB$3:EB$500)+IF($C19="",0,SUMIF('DADOS BRUTOS'!$A$3:$A$500,$C19,'DADOS BRUTOS'!EB$3:EB$500)))</f>
        <v/>
      </c>
      <c r="HC19" s="56">
        <f>IF(OR(HC$4="",$B19=""),0,SUMIF('DADOS BRUTOS'!$A$3:$A$500,$B19,'DADOS BRUTOS'!EC$3:EC$500)+IF($C19="",0,SUMIF('DADOS BRUTOS'!$A$3:$A$500,$C19,'DADOS BRUTOS'!EC$3:EC$500)))</f>
        <v/>
      </c>
      <c r="HD19" s="56">
        <f>IF(OR(HD$4="",$B19=""),0,SUMIF('DADOS BRUTOS'!$A$3:$A$500,$B19,'DADOS BRUTOS'!ED$3:ED$500)+IF($C19="",0,SUMIF('DADOS BRUTOS'!$A$3:$A$500,$C19,'DADOS BRUTOS'!ED$3:ED$500)))</f>
        <v/>
      </c>
      <c r="HE19" s="56">
        <f>IF(OR(HE$4="",$B19=""),0,SUMIF('DADOS BRUTOS'!$A$3:$A$500,$B19,'DADOS BRUTOS'!EE$3:EE$500)+IF($C19="",0,SUMIF('DADOS BRUTOS'!$A$3:$A$500,$C19,'DADOS BRUTOS'!EE$3:EE$500)))</f>
        <v/>
      </c>
      <c r="HF19" s="56">
        <f>IF(OR(HF$4="",$B19=""),0,SUMIF('DADOS BRUTOS'!$A$3:$A$500,$B19,'DADOS BRUTOS'!EF$3:EF$500)+IF($C19="",0,SUMIF('DADOS BRUTOS'!$A$3:$A$500,$C19,'DADOS BRUTOS'!EF$3:EF$500)))</f>
        <v/>
      </c>
      <c r="HG19" s="56">
        <f>IF(OR(HG$4="",$B19=""),0,SUMIF('DADOS BRUTOS'!$A$3:$A$500,$B19,'DADOS BRUTOS'!EG$3:EG$500)+IF($C19="",0,SUMIF('DADOS BRUTOS'!$A$3:$A$500,$C19,'DADOS BRUTOS'!EG$3:EG$500)))</f>
        <v/>
      </c>
      <c r="HH19" s="56">
        <f>IF(OR(HH$4="",$B19=""),0,SUMIF('DADOS BRUTOS'!$A$3:$A$500,$B19,'DADOS BRUTOS'!EH$3:EH$500)+IF($C19="",0,SUMIF('DADOS BRUTOS'!$A$3:$A$500,$C19,'DADOS BRUTOS'!EH$3:EH$500)))</f>
        <v/>
      </c>
      <c r="HI19" s="56">
        <f>IF(OR(HI$4="",$B19=""),0,SUMIF('DADOS BRUTOS'!$A$3:$A$500,$B19,'DADOS BRUTOS'!EI$3:EI$500)+IF($C19="",0,SUMIF('DADOS BRUTOS'!$A$3:$A$500,$C19,'DADOS BRUTOS'!EI$3:EI$500)))</f>
        <v/>
      </c>
      <c r="HJ19" s="56">
        <f>IF(OR(HJ$4="",$B19=""),0,SUMIF('DADOS BRUTOS'!$A$3:$A$500,$B19,'DADOS BRUTOS'!EJ$3:EJ$500)+IF($C19="",0,SUMIF('DADOS BRUTOS'!$A$3:$A$500,$C19,'DADOS BRUTOS'!EJ$3:EJ$500)))</f>
        <v/>
      </c>
      <c r="HK19" s="56">
        <f>IF(OR(HK$4="",$B19=""),0,SUMIF('DADOS BRUTOS'!$A$3:$A$500,$B19,'DADOS BRUTOS'!EK$3:EK$500)+IF($C19="",0,SUMIF('DADOS BRUTOS'!$A$3:$A$500,$C19,'DADOS BRUTOS'!EK$3:EK$500)))</f>
        <v/>
      </c>
      <c r="HL19" s="56">
        <f>IF(OR(HL$4="",$B19=""),0,SUMIF('DADOS BRUTOS'!$A$3:$A$500,$B19,'DADOS BRUTOS'!EL$3:EL$500)+IF($C19="",0,SUMIF('DADOS BRUTOS'!$A$3:$A$500,$C19,'DADOS BRUTOS'!EL$3:EL$500)))</f>
        <v/>
      </c>
      <c r="HM19" s="56">
        <f>IF(OR(HM$4="",$B19=""),0,SUMIF('DADOS BRUTOS'!$A$3:$A$500,$B19,'DADOS BRUTOS'!EM$3:EM$500)+IF($C19="",0,SUMIF('DADOS BRUTOS'!$A$3:$A$500,$C19,'DADOS BRUTOS'!EM$3:EM$500)))</f>
        <v/>
      </c>
      <c r="HN19" s="56">
        <f>IF(OR(HN$4="",$B19=""),0,SUMIF('DADOS BRUTOS'!$A$3:$A$500,$B19,'DADOS BRUTOS'!EN$3:EN$500)+IF($C19="",0,SUMIF('DADOS BRUTOS'!$A$3:$A$500,$C19,'DADOS BRUTOS'!EN$3:EN$500)))</f>
        <v/>
      </c>
      <c r="HO19" s="56">
        <f>IF(OR(HO$4="",$B19=""),0,SUMIF('DADOS BRUTOS'!$A$3:$A$500,$B19,'DADOS BRUTOS'!EO$3:EO$500)+IF($C19="",0,SUMIF('DADOS BRUTOS'!$A$3:$A$500,$C19,'DADOS BRUTOS'!EO$3:EO$500)))</f>
        <v/>
      </c>
      <c r="HP19" s="56">
        <f>IF(OR(HP$4="",$B19=""),0,SUMIF('DADOS BRUTOS'!$A$3:$A$500,$B19,'DADOS BRUTOS'!EP$3:EP$500)+IF($C19="",0,SUMIF('DADOS BRUTOS'!$A$3:$A$500,$C19,'DADOS BRUTOS'!EP$3:EP$500)))</f>
        <v/>
      </c>
      <c r="HQ19" s="56">
        <f>IF(OR(HQ$4="",$B19=""),0,SUMIF('DADOS BRUTOS'!$A$3:$A$500,$B19,'DADOS BRUTOS'!EQ$3:EQ$500)+IF($C19="",0,SUMIF('DADOS BRUTOS'!$A$3:$A$500,$C19,'DADOS BRUTOS'!EQ$3:EQ$500)))</f>
        <v/>
      </c>
      <c r="HR19" s="56">
        <f>IF(OR(HR$4="",$B19=""),0,SUMIF('DADOS BRUTOS'!$A$3:$A$500,$B19,'DADOS BRUTOS'!ER$3:ER$500)+IF($C19="",0,SUMIF('DADOS BRUTOS'!$A$3:$A$500,$C19,'DADOS BRUTOS'!ER$3:ER$500)))</f>
        <v/>
      </c>
      <c r="HS19" s="56">
        <f>IF(OR(HS$4="",$B19=""),0,SUMIF('DADOS BRUTOS'!$A$3:$A$500,$B19,'DADOS BRUTOS'!ES$3:ES$500)+IF($C19="",0,SUMIF('DADOS BRUTOS'!$A$3:$A$500,$C19,'DADOS BRUTOS'!ES$3:ES$500)))</f>
        <v/>
      </c>
      <c r="HT19" s="56">
        <f>IF(OR(HT$4="",$B19=""),0,SUMIF('DADOS BRUTOS'!$A$3:$A$500,$B19,'DADOS BRUTOS'!ET$3:ET$500)+IF($C19="",0,SUMIF('DADOS BRUTOS'!$A$3:$A$500,$C19,'DADOS BRUTOS'!ET$3:ET$500)))</f>
        <v/>
      </c>
      <c r="HU19" s="56">
        <f>IF(OR(HU$4="",$B19=""),0,SUMIF('DADOS BRUTOS'!$A$3:$A$500,$B19,'DADOS BRUTOS'!EU$3:EU$500)+IF($C19="",0,SUMIF('DADOS BRUTOS'!$A$3:$A$500,$C19,'DADOS BRUTOS'!EU$3:EU$500)))</f>
        <v/>
      </c>
      <c r="HV19" s="56">
        <f>IF(OR(HV$4="",$B19=""),0,SUMIF('DADOS BRUTOS'!$A$3:$A$500,$B19,'DADOS BRUTOS'!EV$3:EV$500)+IF($C19="",0,SUMIF('DADOS BRUTOS'!$A$3:$A$500,$C19,'DADOS BRUTOS'!EV$3:EV$500)))</f>
        <v/>
      </c>
      <c r="HW19" s="56">
        <f>IF(OR(HW$4="",$B19=""),0,SUMIF('DADOS BRUTOS'!$A$3:$A$500,$B19,'DADOS BRUTOS'!EW$3:EW$500)+IF($C19="",0,SUMIF('DADOS BRUTOS'!$A$3:$A$500,$C19,'DADOS BRUTOS'!EW$3:EW$500)))</f>
        <v/>
      </c>
      <c r="HX19" s="56">
        <f>IF(OR(HX$4="",$B19=""),0,SUMIF('DADOS BRUTOS'!$A$3:$A$500,$B19,'DADOS BRUTOS'!EX$3:EX$500)+IF($C19="",0,SUMIF('DADOS BRUTOS'!$A$3:$A$500,$C19,'DADOS BRUTOS'!EX$3:EX$500)))</f>
        <v/>
      </c>
      <c r="HY19" s="56">
        <f>IF(OR(HY$4="",$B19=""),0,SUMIF('DADOS BRUTOS'!$A$3:$A$500,$B19,'DADOS BRUTOS'!EY$3:EY$500)+IF($C19="",0,SUMIF('DADOS BRUTOS'!$A$3:$A$500,$C19,'DADOS BRUTOS'!EY$3:EY$500)))</f>
        <v/>
      </c>
      <c r="HZ19" s="56">
        <f>IF(OR(HZ$4="",$B19=""),0,SUMIF('DADOS BRUTOS'!$A$3:$A$500,$B19,'DADOS BRUTOS'!EZ$3:EZ$500)+IF($C19="",0,SUMIF('DADOS BRUTOS'!$A$3:$A$500,$C19,'DADOS BRUTOS'!EZ$3:EZ$500)))</f>
        <v/>
      </c>
      <c r="IA19" s="56">
        <f>IF(OR(IA$4="",$B19=""),0,SUMIF('DADOS BRUTOS'!$A$3:$A$500,$B19,'DADOS BRUTOS'!FA$3:FA$500)+IF($C19="",0,SUMIF('DADOS BRUTOS'!$A$3:$A$500,$C19,'DADOS BRUTOS'!FA$3:FA$500)))</f>
        <v/>
      </c>
      <c r="IB19" s="56">
        <f>IF(OR(IB$4="",$B19=""),0,SUMIF('DADOS BRUTOS'!$A$3:$A$500,$B19,'DADOS BRUTOS'!FB$3:FB$500)+IF($C19="",0,SUMIF('DADOS BRUTOS'!$A$3:$A$500,$C19,'DADOS BRUTOS'!FB$3:FB$500)))</f>
        <v/>
      </c>
      <c r="IC19" s="56">
        <f>IF(OR(IC$4="",$B19=""),0,SUMIF('DADOS BRUTOS'!$A$3:$A$500,$B19,'DADOS BRUTOS'!FC$3:FC$500)+IF($C19="",0,SUMIF('DADOS BRUTOS'!$A$3:$A$500,$C19,'DADOS BRUTOS'!FC$3:FC$500)))</f>
        <v/>
      </c>
      <c r="ID19" s="56">
        <f>IF(OR(ID$4="",$B19=""),0,SUMIF('DADOS BRUTOS'!$A$3:$A$500,$B19,'DADOS BRUTOS'!FD$3:FD$500)+IF($C19="",0,SUMIF('DADOS BRUTOS'!$A$3:$A$500,$C19,'DADOS BRUTOS'!FD$3:FD$500)))</f>
        <v/>
      </c>
      <c r="IE19" s="56">
        <f>IF(OR(IE$4="",$B19=""),0,SUMIF('DADOS BRUTOS'!$A$3:$A$500,$B19,'DADOS BRUTOS'!FE$3:FE$500)+IF($C19="",0,SUMIF('DADOS BRUTOS'!$A$3:$A$500,$C19,'DADOS BRUTOS'!FE$3:FE$500)))</f>
        <v/>
      </c>
      <c r="IF19" s="56">
        <f>IF(OR(IF$4="",$B19=""),0,SUMIF('DADOS BRUTOS'!$A$3:$A$500,$B19,'DADOS BRUTOS'!FF$3:FF$500)+IF($C19="",0,SUMIF('DADOS BRUTOS'!$A$3:$A$500,$C19,'DADOS BRUTOS'!FF$3:FF$500)))</f>
        <v/>
      </c>
      <c r="IG19" s="56">
        <f>IF(OR(IG$4="",$B19=""),0,SUMIF('DADOS BRUTOS'!$A$3:$A$500,$B19,'DADOS BRUTOS'!FG$3:FG$500)+IF($C19="",0,SUMIF('DADOS BRUTOS'!$A$3:$A$500,$C19,'DADOS BRUTOS'!FG$3:FG$500)))</f>
        <v/>
      </c>
      <c r="IH19" s="56">
        <f>IF(OR(IH$4="",$B19=""),0,SUMIF('DADOS BRUTOS'!$A$3:$A$500,$B19,'DADOS BRUTOS'!FH$3:FH$500)+IF($C19="",0,SUMIF('DADOS BRUTOS'!$A$3:$A$500,$C19,'DADOS BRUTOS'!FH$3:FH$500)))</f>
        <v/>
      </c>
      <c r="II19" s="56">
        <f>IF(OR(II$4="",$B19=""),0,SUMIF('DADOS BRUTOS'!$A$3:$A$500,$B19,'DADOS BRUTOS'!FI$3:FI$500)+IF($C19="",0,SUMIF('DADOS BRUTOS'!$A$3:$A$500,$C19,'DADOS BRUTOS'!FI$3:FI$500)))</f>
        <v/>
      </c>
      <c r="IJ19" s="56">
        <f>IF(OR(IJ$4="",$B19=""),0,SUMIF('DADOS BRUTOS'!$A$3:$A$500,$B19,'DADOS BRUTOS'!FJ$3:FJ$500)+IF($C19="",0,SUMIF('DADOS BRUTOS'!$A$3:$A$500,$C19,'DADOS BRUTOS'!FJ$3:FJ$500)))</f>
        <v/>
      </c>
      <c r="IK19" s="56">
        <f>IF(OR(IK$4="",$B19=""),0,SUMIF('DADOS BRUTOS'!$A$3:$A$500,$B19,'DADOS BRUTOS'!FK$3:FK$500)+IF($C19="",0,SUMIF('DADOS BRUTOS'!$A$3:$A$500,$C19,'DADOS BRUTOS'!FK$3:FK$500)))</f>
        <v/>
      </c>
      <c r="IL19" s="56">
        <f>IF(OR(IL$4="",$B19=""),0,SUMIF('DADOS BRUTOS'!$A$3:$A$500,$B19,'DADOS BRUTOS'!FL$3:FL$500)+IF($C19="",0,SUMIF('DADOS BRUTOS'!$A$3:$A$500,$C19,'DADOS BRUTOS'!FL$3:FL$500)))</f>
        <v/>
      </c>
      <c r="IM19" s="56">
        <f>IF(OR(IM$4="",$B19=""),0,SUMIF('DADOS BRUTOS'!$A$3:$A$500,$B19,'DADOS BRUTOS'!FM$3:FM$500)+IF($C19="",0,SUMIF('DADOS BRUTOS'!$A$3:$A$500,$C19,'DADOS BRUTOS'!FM$3:FM$500)))</f>
        <v/>
      </c>
      <c r="IN19" s="56">
        <f>IF(OR(IN$4="",$B19=""),0,SUMIF('DADOS BRUTOS'!$A$3:$A$500,$B19,'DADOS BRUTOS'!FN$3:FN$500)+IF($C19="",0,SUMIF('DADOS BRUTOS'!$A$3:$A$500,$C19,'DADOS BRUTOS'!FN$3:FN$500)))</f>
        <v/>
      </c>
      <c r="IO19" s="56">
        <f>IF(OR(IO$4="",$B19=""),0,SUMIF('DADOS BRUTOS'!$A$3:$A$500,$B19,'DADOS BRUTOS'!FO$3:FO$500)+IF($C19="",0,SUMIF('DADOS BRUTOS'!$A$3:$A$500,$C19,'DADOS BRUTOS'!FO$3:FO$500)))</f>
        <v/>
      </c>
      <c r="IP19" s="56">
        <f>IF(OR(IP$4="",$B19=""),0,SUMIF('DADOS BRUTOS'!$A$3:$A$500,$B19,'DADOS BRUTOS'!FP$3:FP$500)+IF($C19="",0,SUMIF('DADOS BRUTOS'!$A$3:$A$500,$C19,'DADOS BRUTOS'!FP$3:FP$500)))</f>
        <v/>
      </c>
      <c r="IQ19" s="56">
        <f>IF(OR(IQ$4="",$B19=""),0,SUMIF('DADOS BRUTOS'!$A$3:$A$500,$B19,'DADOS BRUTOS'!FQ$3:FQ$500)+IF($C19="",0,SUMIF('DADOS BRUTOS'!$A$3:$A$500,$C19,'DADOS BRUTOS'!FQ$3:FQ$500)))</f>
        <v/>
      </c>
      <c r="IR19" s="56">
        <f>IF(OR(IR$4="",$B19=""),0,SUMIF('DADOS BRUTOS'!$A$3:$A$500,$B19,'DADOS BRUTOS'!FR$3:FR$500)+IF($C19="",0,SUMIF('DADOS BRUTOS'!$A$3:$A$500,$C19,'DADOS BRUTOS'!FR$3:FR$500)))</f>
        <v/>
      </c>
      <c r="IS19" s="56">
        <f>IF(OR(IS$4="",$B19=""),0,SUMIF('DADOS BRUTOS'!$A$3:$A$500,$B19,'DADOS BRUTOS'!FS$3:FS$500)+IF($C19="",0,SUMIF('DADOS BRUTOS'!$A$3:$A$500,$C19,'DADOS BRUTOS'!FS$3:FS$500)))</f>
        <v/>
      </c>
      <c r="IT19" s="56">
        <f>IF(OR(IT$4="",$B19=""),0,SUMIF('DADOS BRUTOS'!$A$3:$A$500,$B19,'DADOS BRUTOS'!FT$3:FT$500)+IF($C19="",0,SUMIF('DADOS BRUTOS'!$A$3:$A$500,$C19,'DADOS BRUTOS'!FT$3:FT$500)))</f>
        <v/>
      </c>
      <c r="IU19" s="56">
        <f>IF(OR(IU$4="",$B19=""),0,SUMIF('DADOS BRUTOS'!$A$3:$A$500,$B19,'DADOS BRUTOS'!FU$3:FU$500)+IF($C19="",0,SUMIF('DADOS BRUTOS'!$A$3:$A$500,$C19,'DADOS BRUTOS'!FU$3:FU$500)))</f>
        <v/>
      </c>
      <c r="IV19" s="56">
        <f>IF(OR(IV$4="",$B19=""),0,SUMIF('DADOS BRUTOS'!$A$3:$A$500,$B19,'DADOS BRUTOS'!FV$3:FV$500)+IF($C19="",0,SUMIF('DADOS BRUTOS'!$A$3:$A$500,$C19,'DADOS BRUTOS'!FV$3:FV$500)))</f>
        <v/>
      </c>
      <c r="IW19" s="56">
        <f>IF(OR(IW$4="",$B19=""),0,SUMIF('DADOS BRUTOS'!$A$3:$A$500,$B19,'DADOS BRUTOS'!FW$3:FW$500)+IF($C19="",0,SUMIF('DADOS BRUTOS'!$A$3:$A$500,$C19,'DADOS BRUTOS'!FW$3:FW$500)))</f>
        <v/>
      </c>
      <c r="IX19" s="56">
        <f>IF(OR(IX$4="",$B19=""),0,SUMIF('DADOS BRUTOS'!$A$3:$A$500,$B19,'DADOS BRUTOS'!FX$3:FX$500)+IF($C19="",0,SUMIF('DADOS BRUTOS'!$A$3:$A$500,$C19,'DADOS BRUTOS'!FX$3:FX$500)))</f>
        <v/>
      </c>
      <c r="IY19" s="56">
        <f>IF(OR(IY$4="",$B19=""),0,SUMIF('DADOS BRUTOS'!$A$3:$A$500,$B19,'DADOS BRUTOS'!FY$3:FY$500)+IF($C19="",0,SUMIF('DADOS BRUTOS'!$A$3:$A$500,$C19,'DADOS BRUTOS'!FY$3:FY$500)))</f>
        <v/>
      </c>
      <c r="IZ19" s="56">
        <f>IF(OR(IZ$4="",$B19=""),0,SUMIF('DADOS BRUTOS'!$A$3:$A$500,$B19,'DADOS BRUTOS'!FZ$3:FZ$500)+IF($C19="",0,SUMIF('DADOS BRUTOS'!$A$3:$A$500,$C19,'DADOS BRUTOS'!FZ$3:FZ$500)))</f>
        <v/>
      </c>
      <c r="JA19" s="56">
        <f>IF(OR(JA$4="",$B19=""),0,SUMIF('DADOS BRUTOS'!$A$3:$A$500,$B19,'DADOS BRUTOS'!GA$3:GA$500)+IF($C19="",0,SUMIF('DADOS BRUTOS'!$A$3:$A$500,$C19,'DADOS BRUTOS'!GA$3:GA$500)))</f>
        <v/>
      </c>
      <c r="JB19" s="56">
        <f>IF(OR(JB$4="",$B19=""),0,SUMIF('DADOS BRUTOS'!$A$3:$A$500,$B19,'DADOS BRUTOS'!GB$3:GB$500)+IF($C19="",0,SUMIF('DADOS BRUTOS'!$A$3:$A$500,$C19,'DADOS BRUTOS'!GB$3:GB$500)))</f>
        <v/>
      </c>
      <c r="JC19" s="56">
        <f>IF(OR(JC$4="",$B19=""),0,SUMIF('DADOS BRUTOS'!$A$3:$A$500,$B19,'DADOS BRUTOS'!GC$3:GC$500)+IF($C19="",0,SUMIF('DADOS BRUTOS'!$A$3:$A$500,$C19,'DADOS BRUTOS'!GC$3:GC$500)))</f>
        <v/>
      </c>
      <c r="JD19" s="56">
        <f>IF(OR(JD$4="",$B19=""),0,SUMIF('DADOS BRUTOS'!$A$3:$A$500,$B19,'DADOS BRUTOS'!GD$3:GD$500)+IF($C19="",0,SUMIF('DADOS BRUTOS'!$A$3:$A$500,$C19,'DADOS BRUTOS'!GD$3:GD$500)))</f>
        <v/>
      </c>
      <c r="JE19" s="56">
        <f>IF(OR(JE$4="",$B19=""),0,SUMIF('DADOS BRUTOS'!$A$3:$A$500,$B19,'DADOS BRUTOS'!GE$3:GE$500)+IF($C19="",0,SUMIF('DADOS BRUTOS'!$A$3:$A$500,$C19,'DADOS BRUTOS'!GE$3:GE$500)))</f>
        <v/>
      </c>
      <c r="JF19" s="56">
        <f>IF(OR(JF$4="",$B19=""),0,SUMIF('DADOS BRUTOS'!$A$3:$A$500,$B19,'DADOS BRUTOS'!GF$3:GF$500)+IF($C19="",0,SUMIF('DADOS BRUTOS'!$A$3:$A$500,$C19,'DADOS BRUTOS'!GF$3:GF$500)))</f>
        <v/>
      </c>
      <c r="JG19" s="56">
        <f>IF(OR(JG$4="",$B19=""),0,SUMIF('DADOS BRUTOS'!$A$3:$A$500,$B19,'DADOS BRUTOS'!GG$3:GG$500)+IF($C19="",0,SUMIF('DADOS BRUTOS'!$A$3:$A$500,$C19,'DADOS BRUTOS'!GG$3:GG$500)))</f>
        <v/>
      </c>
      <c r="JH19" s="56">
        <f>IF(OR(JH$4="",$B19=""),0,SUMIF('DADOS BRUTOS'!$A$3:$A$500,$B19,'DADOS BRUTOS'!GH$3:GH$500)+IF($C19="",0,SUMIF('DADOS BRUTOS'!$A$3:$A$500,$C19,'DADOS BRUTOS'!GH$3:GH$500)))</f>
        <v/>
      </c>
      <c r="JI19" s="56">
        <f>IF(OR(JI$4="",$B19=""),0,SUMIF('DADOS BRUTOS'!$A$3:$A$500,$B19,'DADOS BRUTOS'!GI$3:GI$500)+IF($C19="",0,SUMIF('DADOS BRUTOS'!$A$3:$A$500,$C19,'DADOS BRUTOS'!GI$3:GI$500)))</f>
        <v/>
      </c>
      <c r="JJ19" s="56">
        <f>IF(OR(JJ$4="",$B19=""),0,SUMIF('DADOS BRUTOS'!$A$3:$A$500,$B19,'DADOS BRUTOS'!GJ$3:GJ$500)+IF($C19="",0,SUMIF('DADOS BRUTOS'!$A$3:$A$500,$C19,'DADOS BRUTOS'!GJ$3:GJ$500)))</f>
        <v/>
      </c>
      <c r="JK19" s="56">
        <f>IF(OR(JK$4="",$B19=""),0,SUMIF('DADOS BRUTOS'!$A$3:$A$500,$B19,'DADOS BRUTOS'!GK$3:GK$500)+IF($C19="",0,SUMIF('DADOS BRUTOS'!$A$3:$A$500,$C19,'DADOS BRUTOS'!GK$3:GK$500)))</f>
        <v/>
      </c>
      <c r="JL19" s="56">
        <f>IF(OR(JL$4="",$B19=""),0,SUMIF('DADOS BRUTOS'!$A$3:$A$500,$B19,'DADOS BRUTOS'!GL$3:GL$500)+IF($C19="",0,SUMIF('DADOS BRUTOS'!$A$3:$A$500,$C19,'DADOS BRUTOS'!GL$3:GL$500)))</f>
        <v/>
      </c>
      <c r="JM19" s="56">
        <f>IF(OR(JM$4="",$B19=""),0,SUMIF('DADOS BRUTOS'!$A$3:$A$500,$B19,'DADOS BRUTOS'!GM$3:GM$500)+IF($C19="",0,SUMIF('DADOS BRUTOS'!$A$3:$A$500,$C19,'DADOS BRUTOS'!GM$3:GM$500)))</f>
        <v/>
      </c>
      <c r="JN19" s="56">
        <f>IF(OR(JN$4="",$B19=""),0,SUMIF('DADOS BRUTOS'!$A$3:$A$500,$B19,'DADOS BRUTOS'!GN$3:GN$500)+IF($C19="",0,SUMIF('DADOS BRUTOS'!$A$3:$A$500,$C19,'DADOS BRUTOS'!GN$3:GN$500)))</f>
        <v/>
      </c>
      <c r="JO19" s="56">
        <f>IF(OR(JO$4="",$B19=""),0,SUMIF('DADOS BRUTOS'!$A$3:$A$500,$B19,'DADOS BRUTOS'!GO$3:GO$500)+IF($C19="",0,SUMIF('DADOS BRUTOS'!$A$3:$A$500,$C19,'DADOS BRUTOS'!GO$3:GO$500)))</f>
        <v/>
      </c>
      <c r="JP19" s="56">
        <f>IF(OR(JP$4="",$B19=""),0,SUMIF('DADOS BRUTOS'!$A$3:$A$500,$B19,'DADOS BRUTOS'!GP$3:GP$500)+IF($C19="",0,SUMIF('DADOS BRUTOS'!$A$3:$A$500,$C19,'DADOS BRUTOS'!GP$3:GP$500)))</f>
        <v/>
      </c>
      <c r="JQ19" s="56">
        <f>IF(OR(JQ$4="",$B19=""),0,SUMIF('DADOS BRUTOS'!$A$3:$A$500,$B19,'DADOS BRUTOS'!GQ$3:GQ$500)+IF($C19="",0,SUMIF('DADOS BRUTOS'!$A$3:$A$500,$C19,'DADOS BRUTOS'!GQ$3:GQ$500)))</f>
        <v/>
      </c>
      <c r="JR19" s="56">
        <f>IF(OR(JR$4="",$B19=""),0,SUMIF('DADOS BRUTOS'!$A$3:$A$500,$B19,'DADOS BRUTOS'!GR$3:GR$500)+IF($C19="",0,SUMIF('DADOS BRUTOS'!$A$3:$A$500,$C19,'DADOS BRUTOS'!GR$3:GR$500)))</f>
        <v/>
      </c>
      <c r="JS19" s="56">
        <f>IF(OR(JS$4="",$B19=""),0,SUMIF('DADOS BRUTOS'!$A$3:$A$500,$B19,'DADOS BRUTOS'!GS$3:GS$500)+IF($C19="",0,SUMIF('DADOS BRUTOS'!$A$3:$A$500,$C19,'DADOS BRUTOS'!GS$3:GS$500)))</f>
        <v/>
      </c>
    </row>
    <row r="20">
      <c r="A20" s="34">
        <f>'VALOR POR PL'!D26</f>
        <v/>
      </c>
      <c r="B20" s="21" t="inlineStr">
        <is>
          <t>FUNDAÇÃO SUPERFICIAL</t>
        </is>
      </c>
      <c r="C20" s="21" t="n"/>
      <c r="D20" s="17">
        <f>SUMIF($CB$4:$JS$4,"&lt;="&amp;D$4,$CB20:$JS20)</f>
        <v/>
      </c>
      <c r="E20" s="17">
        <f>SUMIF($CB$4:$JS$4,E$4,$CB20:$JS20)</f>
        <v/>
      </c>
      <c r="F20" s="17">
        <f>SUMIF($CB$4:$JS$4,F$4,$CB20:$JS20)</f>
        <v/>
      </c>
      <c r="G20" s="17">
        <f>SUMIF($CB$4:$JS$4,G$4,$CB20:$JS20)</f>
        <v/>
      </c>
      <c r="H20" s="17">
        <f>SUMIF($CB$4:$JS$4,H$4,$CB20:$JS20)</f>
        <v/>
      </c>
      <c r="I20" s="17">
        <f>SUMIF($CB$4:$JS$4,I$4,$CB20:$JS20)</f>
        <v/>
      </c>
      <c r="J20" s="17">
        <f>SUMIF($CB$4:$JS$4,J$4,$CB20:$JS20)</f>
        <v/>
      </c>
      <c r="K20" s="17">
        <f>SUMIF($CB$4:$JS$4,K$4,$CB20:$JS20)</f>
        <v/>
      </c>
      <c r="L20" s="17">
        <f>SUMIF($CB$4:$JS$4,L$4,$CB20:$JS20)</f>
        <v/>
      </c>
      <c r="M20" s="17">
        <f>SUMIF($CB$4:$JS$4,M$4,$CB20:$JS20)</f>
        <v/>
      </c>
      <c r="N20" s="17">
        <f>SUMIF($CB$4:$JS$4,N$4,$CB20:$JS20)</f>
        <v/>
      </c>
      <c r="O20" s="17">
        <f>SUMIF($CB$4:$JS$4,O$4,$CB20:$JS20)</f>
        <v/>
      </c>
      <c r="P20" s="17">
        <f>SUMIF($CB$4:$JS$4,P$4,$CB20:$JS20)</f>
        <v/>
      </c>
      <c r="Q20" s="17">
        <f>SUMIF($CB$4:$JS$4,Q$4,$CB20:$JS20)</f>
        <v/>
      </c>
      <c r="R20" s="17">
        <f>SUMIF($CB$4:$JS$4,R$4,$CB20:$JS20)</f>
        <v/>
      </c>
      <c r="S20" s="17">
        <f>SUMIF($CB$4:$JS$4,S$4,$CB20:$JS20)</f>
        <v/>
      </c>
      <c r="T20" s="17">
        <f>SUMIF($CB$4:$JS$4,T$4,$CB20:$JS20)</f>
        <v/>
      </c>
      <c r="U20" s="17">
        <f>SUMIF($CB$4:$JS$4,U$4,$CB20:$JS20)</f>
        <v/>
      </c>
      <c r="V20" s="17">
        <f>SUMIF($CB$4:$JS$4,V$4,$CB20:$JS20)</f>
        <v/>
      </c>
      <c r="W20" s="17">
        <f>SUMIF($CB$4:$JS$4,W$4,$CB20:$JS20)</f>
        <v/>
      </c>
      <c r="X20" s="17">
        <f>SUMIF($CB$4:$JS$4,X$4,$CB20:$JS20)</f>
        <v/>
      </c>
      <c r="Y20" s="17">
        <f>SUMIF($CB$4:$JS$4,Y$4,$CB20:$JS20)</f>
        <v/>
      </c>
      <c r="Z20" s="17">
        <f>SUMIF($CB$4:$JS$4,Z$4,$CB20:$JS20)</f>
        <v/>
      </c>
      <c r="AA20" s="17">
        <f>SUMIF($CB$4:$JS$4,AA$4,$CB20:$JS20)</f>
        <v/>
      </c>
      <c r="AB20" s="17">
        <f>SUMIF($CB$4:$JS$4,AB$4,$CB20:$JS20)</f>
        <v/>
      </c>
      <c r="AC20" s="17">
        <f>SUMIF($CB$4:$JS$4,AC$4,$CB20:$JS20)</f>
        <v/>
      </c>
      <c r="AD20" s="17">
        <f>SUMIF($CB$4:$JS$4,AD$4,$CB20:$JS20)</f>
        <v/>
      </c>
      <c r="AE20" s="17">
        <f>SUMIF($CB$4:$JS$4,AE$4,$CB20:$JS20)</f>
        <v/>
      </c>
      <c r="AF20" s="17">
        <f>SUMIF($CB$4:$JS$4,AF$4,$CB20:$JS20)</f>
        <v/>
      </c>
      <c r="AG20" s="17">
        <f>SUMIF($CB$4:$JS$4,AG$4,$CB20:$JS20)</f>
        <v/>
      </c>
      <c r="AH20" s="17">
        <f>SUMIF($CB$4:$JS$4,AH$4,$CB20:$JS20)</f>
        <v/>
      </c>
      <c r="AI20" s="17">
        <f>SUMIF($CB$4:$JS$4,AI$4,$CB20:$JS20)</f>
        <v/>
      </c>
      <c r="AJ20" s="17">
        <f>SUMIF($CB$4:$JS$4,AJ$4,$CB20:$JS20)</f>
        <v/>
      </c>
      <c r="AK20" s="17">
        <f>SUMIF($CB$4:$JS$4,AK$4,$CB20:$JS20)</f>
        <v/>
      </c>
      <c r="AL20" s="17">
        <f>SUMIF($CB$4:$JS$4,AL$4,$CB20:$JS20)</f>
        <v/>
      </c>
      <c r="AM20" s="17">
        <f>SUMIF($CB$4:$JS$4,AM$4,$CB20:$JS20)</f>
        <v/>
      </c>
      <c r="AN20" s="17">
        <f>SUMIF($CB$4:$JS$4,AN$4,$CB20:$JS20)</f>
        <v/>
      </c>
      <c r="AO20" s="17">
        <f>SUMIF($CB$4:$JS$4,AO$4,$CB20:$JS20)</f>
        <v/>
      </c>
      <c r="AP20" s="17">
        <f>SUMIF($CB$4:$JS$4,AP$4,$CB20:$JS20)</f>
        <v/>
      </c>
      <c r="AQ20" s="17">
        <f>SUMIF($CB$4:$JS$4,AQ$4,$CB20:$JS20)</f>
        <v/>
      </c>
      <c r="AR20" s="17">
        <f>SUMIF($CB$4:$JS$4,AR$4,$CB20:$JS20)</f>
        <v/>
      </c>
      <c r="AS20" s="17">
        <f>SUMIF($CB$4:$JS$4,AS$4,$CB20:$JS20)</f>
        <v/>
      </c>
      <c r="AT20" s="17">
        <f>SUMIF($CB$4:$JS$4,AT$4,$CB20:$JS20)</f>
        <v/>
      </c>
      <c r="AU20" s="17">
        <f>SUMIF($CB$4:$JS$4,AU$4,$CB20:$JS20)</f>
        <v/>
      </c>
      <c r="AV20" s="17">
        <f>SUMIF($CB$4:$JS$4,AV$4,$CB20:$JS20)</f>
        <v/>
      </c>
      <c r="AW20" s="17">
        <f>SUMIF($CB$4:$JS$4,AW$4,$CB20:$JS20)</f>
        <v/>
      </c>
      <c r="AX20" s="17">
        <f>SUMIF($CB$4:$JS$4,AX$4,$CB20:$JS20)</f>
        <v/>
      </c>
      <c r="AY20" s="17">
        <f>SUMIF($CB$4:$JS$4,AY$4,$CB20:$JS20)</f>
        <v/>
      </c>
      <c r="AZ20" s="17">
        <f>SUMIF($CB$4:$JS$4,AZ$4,$CB20:$JS20)</f>
        <v/>
      </c>
      <c r="BA20" s="17">
        <f>SUMIF($CB$4:$JS$4,BA$4,$CB20:$JS20)</f>
        <v/>
      </c>
      <c r="BB20" s="17">
        <f>SUMIF($CB$4:$JS$4,BB$4,$CB20:$JS20)</f>
        <v/>
      </c>
      <c r="BC20" s="17">
        <f>SUMIF($CB$4:$JS$4,BC$4,$CB20:$JS20)</f>
        <v/>
      </c>
      <c r="BD20" s="17">
        <f>SUMIF($CB$4:$JS$4,BD$4,$CB20:$JS20)</f>
        <v/>
      </c>
      <c r="BE20" s="17">
        <f>SUMIF($CB$4:$JS$4,BE$4,$CB20:$JS20)</f>
        <v/>
      </c>
      <c r="BF20" s="17">
        <f>SUMIF($CB$4:$JS$4,BF$4,$CB20:$JS20)</f>
        <v/>
      </c>
      <c r="BG20" s="17">
        <f>SUMIF($CB$4:$JS$4,BG$4,$CB20:$JS20)</f>
        <v/>
      </c>
      <c r="BH20" s="17">
        <f>SUMIF($CB$4:$JS$4,BH$4,$CB20:$JS20)</f>
        <v/>
      </c>
      <c r="BI20" s="17">
        <f>SUMIF($CB$4:$JS$4,BI$4,$CB20:$JS20)</f>
        <v/>
      </c>
      <c r="BJ20" s="17">
        <f>SUMIF($CB$4:$JS$4,BJ$4,$CB20:$JS20)</f>
        <v/>
      </c>
      <c r="BK20" s="17">
        <f>SUMIF($CB$4:$JS$4,BK$4,$CB20:$JS20)</f>
        <v/>
      </c>
      <c r="BL20" s="17">
        <f>SUMIF($CB$4:$JS$4,BL$4,$CB20:$JS20)</f>
        <v/>
      </c>
      <c r="BM20" s="17">
        <f>SUMIF($CB$4:$JS$4,BM$4,$CB20:$JS20)</f>
        <v/>
      </c>
      <c r="BN20" s="17">
        <f>SUMIF($CB$4:$JS$4,BN$4,$CB20:$JS20)</f>
        <v/>
      </c>
      <c r="BO20" s="17">
        <f>SUMIF($CB$4:$JS$4,BO$4,$CB20:$JS20)</f>
        <v/>
      </c>
      <c r="BP20" s="17">
        <f>SUMIF($CB$4:$JS$4,BP$4,$CB20:$JS20)</f>
        <v/>
      </c>
      <c r="BQ20" s="17">
        <f>SUMIF($CB$4:$JS$4,BQ$4,$CB20:$JS20)</f>
        <v/>
      </c>
      <c r="BR20" s="17">
        <f>SUMIF($CB$4:$JS$4,BR$4,$CB20:$JS20)</f>
        <v/>
      </c>
      <c r="BS20" s="17">
        <f>SUMIF($CB$4:$JS$4,BS$4,$CB20:$JS20)</f>
        <v/>
      </c>
      <c r="BT20" s="17">
        <f>SUMIF($CB$4:$JS$4,BT$4,$CB20:$JS20)</f>
        <v/>
      </c>
      <c r="BU20" s="17">
        <f>SUMIF($CB$4:$JS$4,BU$4,$CB20:$JS20)</f>
        <v/>
      </c>
      <c r="BV20" s="17">
        <f>SUMIF($CB$4:$JS$4,BV$4,$CB20:$JS20)</f>
        <v/>
      </c>
      <c r="BW20" s="17">
        <f>SUMIF($CB$4:$JS$4,BW$4,$CB20:$JS20)</f>
        <v/>
      </c>
      <c r="BX20" s="17">
        <f>SUMIF($CB$4:$JS$4,"&gt;"&amp;'VALOR POR PL'!$P$8,$CB20:$JS20)</f>
        <v/>
      </c>
      <c r="BY20" s="17">
        <f>SUM($CB20:$JS20)</f>
        <v/>
      </c>
      <c r="CB20" s="56">
        <f>IF(OR(CB$4="",$B20=""),0,SUMIF('DADOS BRUTOS'!$A$3:$A$500,$B20,'DADOS BRUTOS'!B$3:B$500)+IF($C20="",0,SUMIF('DADOS BRUTOS'!$A$3:$A$500,$C20,'DADOS BRUTOS'!B$3:B$500)))</f>
        <v/>
      </c>
      <c r="CC20" s="56">
        <f>IF(OR(CC$4="",$B20=""),0,SUMIF('DADOS BRUTOS'!$A$3:$A$500,$B20,'DADOS BRUTOS'!C$3:C$500)+IF($C20="",0,SUMIF('DADOS BRUTOS'!$A$3:$A$500,$C20,'DADOS BRUTOS'!C$3:C$500)))</f>
        <v/>
      </c>
      <c r="CD20" s="56">
        <f>IF(OR(CD$4="",$B20=""),0,SUMIF('DADOS BRUTOS'!$A$3:$A$500,$B20,'DADOS BRUTOS'!D$3:D$500)+IF($C20="",0,SUMIF('DADOS BRUTOS'!$A$3:$A$500,$C20,'DADOS BRUTOS'!D$3:D$500)))</f>
        <v/>
      </c>
      <c r="CE20" s="56">
        <f>IF(OR(CE$4="",$B20=""),0,SUMIF('DADOS BRUTOS'!$A$3:$A$500,$B20,'DADOS BRUTOS'!E$3:E$500)+IF($C20="",0,SUMIF('DADOS BRUTOS'!$A$3:$A$500,$C20,'DADOS BRUTOS'!E$3:E$500)))</f>
        <v/>
      </c>
      <c r="CF20" s="56">
        <f>IF(OR(CF$4="",$B20=""),0,SUMIF('DADOS BRUTOS'!$A$3:$A$500,$B20,'DADOS BRUTOS'!F$3:F$500)+IF($C20="",0,SUMIF('DADOS BRUTOS'!$A$3:$A$500,$C20,'DADOS BRUTOS'!F$3:F$500)))</f>
        <v/>
      </c>
      <c r="CG20" s="56">
        <f>IF(OR(CG$4="",$B20=""),0,SUMIF('DADOS BRUTOS'!$A$3:$A$500,$B20,'DADOS BRUTOS'!G$3:G$500)+IF($C20="",0,SUMIF('DADOS BRUTOS'!$A$3:$A$500,$C20,'DADOS BRUTOS'!G$3:G$500)))</f>
        <v/>
      </c>
      <c r="CH20" s="56">
        <f>IF(OR(CH$4="",$B20=""),0,SUMIF('DADOS BRUTOS'!$A$3:$A$500,$B20,'DADOS BRUTOS'!H$3:H$500)+IF($C20="",0,SUMIF('DADOS BRUTOS'!$A$3:$A$500,$C20,'DADOS BRUTOS'!H$3:H$500)))</f>
        <v/>
      </c>
      <c r="CI20" s="56">
        <f>IF(OR(CI$4="",$B20=""),0,SUMIF('DADOS BRUTOS'!$A$3:$A$500,$B20,'DADOS BRUTOS'!I$3:I$500)+IF($C20="",0,SUMIF('DADOS BRUTOS'!$A$3:$A$500,$C20,'DADOS BRUTOS'!I$3:I$500)))</f>
        <v/>
      </c>
      <c r="CJ20" s="56">
        <f>IF(OR(CJ$4="",$B20=""),0,SUMIF('DADOS BRUTOS'!$A$3:$A$500,$B20,'DADOS BRUTOS'!J$3:J$500)+IF($C20="",0,SUMIF('DADOS BRUTOS'!$A$3:$A$500,$C20,'DADOS BRUTOS'!J$3:J$500)))</f>
        <v/>
      </c>
      <c r="CK20" s="56">
        <f>IF(OR(CK$4="",$B20=""),0,SUMIF('DADOS BRUTOS'!$A$3:$A$500,$B20,'DADOS BRUTOS'!K$3:K$500)+IF($C20="",0,SUMIF('DADOS BRUTOS'!$A$3:$A$500,$C20,'DADOS BRUTOS'!K$3:K$500)))</f>
        <v/>
      </c>
      <c r="CL20" s="56">
        <f>IF(OR(CL$4="",$B20=""),0,SUMIF('DADOS BRUTOS'!$A$3:$A$500,$B20,'DADOS BRUTOS'!L$3:L$500)+IF($C20="",0,SUMIF('DADOS BRUTOS'!$A$3:$A$500,$C20,'DADOS BRUTOS'!L$3:L$500)))</f>
        <v/>
      </c>
      <c r="CM20" s="56">
        <f>IF(OR(CM$4="",$B20=""),0,SUMIF('DADOS BRUTOS'!$A$3:$A$500,$B20,'DADOS BRUTOS'!M$3:M$500)+IF($C20="",0,SUMIF('DADOS BRUTOS'!$A$3:$A$500,$C20,'DADOS BRUTOS'!M$3:M$500)))</f>
        <v/>
      </c>
      <c r="CN20" s="56">
        <f>IF(OR(CN$4="",$B20=""),0,SUMIF('DADOS BRUTOS'!$A$3:$A$500,$B20,'DADOS BRUTOS'!N$3:N$500)+IF($C20="",0,SUMIF('DADOS BRUTOS'!$A$3:$A$500,$C20,'DADOS BRUTOS'!N$3:N$500)))</f>
        <v/>
      </c>
      <c r="CO20" s="56">
        <f>IF(OR(CO$4="",$B20=""),0,SUMIF('DADOS BRUTOS'!$A$3:$A$500,$B20,'DADOS BRUTOS'!O$3:O$500)+IF($C20="",0,SUMIF('DADOS BRUTOS'!$A$3:$A$500,$C20,'DADOS BRUTOS'!O$3:O$500)))</f>
        <v/>
      </c>
      <c r="CP20" s="56">
        <f>IF(OR(CP$4="",$B20=""),0,SUMIF('DADOS BRUTOS'!$A$3:$A$500,$B20,'DADOS BRUTOS'!P$3:P$500)+IF($C20="",0,SUMIF('DADOS BRUTOS'!$A$3:$A$500,$C20,'DADOS BRUTOS'!P$3:P$500)))</f>
        <v/>
      </c>
      <c r="CQ20" s="56">
        <f>IF(OR(CQ$4="",$B20=""),0,SUMIF('DADOS BRUTOS'!$A$3:$A$500,$B20,'DADOS BRUTOS'!Q$3:Q$500)+IF($C20="",0,SUMIF('DADOS BRUTOS'!$A$3:$A$500,$C20,'DADOS BRUTOS'!Q$3:Q$500)))</f>
        <v/>
      </c>
      <c r="CR20" s="56">
        <f>IF(OR(CR$4="",$B20=""),0,SUMIF('DADOS BRUTOS'!$A$3:$A$500,$B20,'DADOS BRUTOS'!R$3:R$500)+IF($C20="",0,SUMIF('DADOS BRUTOS'!$A$3:$A$500,$C20,'DADOS BRUTOS'!R$3:R$500)))</f>
        <v/>
      </c>
      <c r="CS20" s="56">
        <f>IF(OR(CS$4="",$B20=""),0,SUMIF('DADOS BRUTOS'!$A$3:$A$500,$B20,'DADOS BRUTOS'!S$3:S$500)+IF($C20="",0,SUMIF('DADOS BRUTOS'!$A$3:$A$500,$C20,'DADOS BRUTOS'!S$3:S$500)))</f>
        <v/>
      </c>
      <c r="CT20" s="56">
        <f>IF(OR(CT$4="",$B20=""),0,SUMIF('DADOS BRUTOS'!$A$3:$A$500,$B20,'DADOS BRUTOS'!T$3:T$500)+IF($C20="",0,SUMIF('DADOS BRUTOS'!$A$3:$A$500,$C20,'DADOS BRUTOS'!T$3:T$500)))</f>
        <v/>
      </c>
      <c r="CU20" s="56">
        <f>IF(OR(CU$4="",$B20=""),0,SUMIF('DADOS BRUTOS'!$A$3:$A$500,$B20,'DADOS BRUTOS'!U$3:U$500)+IF($C20="",0,SUMIF('DADOS BRUTOS'!$A$3:$A$500,$C20,'DADOS BRUTOS'!U$3:U$500)))</f>
        <v/>
      </c>
      <c r="CV20" s="56">
        <f>IF(OR(CV$4="",$B20=""),0,SUMIF('DADOS BRUTOS'!$A$3:$A$500,$B20,'DADOS BRUTOS'!V$3:V$500)+IF($C20="",0,SUMIF('DADOS BRUTOS'!$A$3:$A$500,$C20,'DADOS BRUTOS'!V$3:V$500)))</f>
        <v/>
      </c>
      <c r="CW20" s="56">
        <f>IF(OR(CW$4="",$B20=""),0,SUMIF('DADOS BRUTOS'!$A$3:$A$500,$B20,'DADOS BRUTOS'!W$3:W$500)+IF($C20="",0,SUMIF('DADOS BRUTOS'!$A$3:$A$500,$C20,'DADOS BRUTOS'!W$3:W$500)))</f>
        <v/>
      </c>
      <c r="CX20" s="56">
        <f>IF(OR(CX$4="",$B20=""),0,SUMIF('DADOS BRUTOS'!$A$3:$A$500,$B20,'DADOS BRUTOS'!X$3:X$500)+IF($C20="",0,SUMIF('DADOS BRUTOS'!$A$3:$A$500,$C20,'DADOS BRUTOS'!X$3:X$500)))</f>
        <v/>
      </c>
      <c r="CY20" s="56">
        <f>IF(OR(CY$4="",$B20=""),0,SUMIF('DADOS BRUTOS'!$A$3:$A$500,$B20,'DADOS BRUTOS'!Y$3:Y$500)+IF($C20="",0,SUMIF('DADOS BRUTOS'!$A$3:$A$500,$C20,'DADOS BRUTOS'!Y$3:Y$500)))</f>
        <v/>
      </c>
      <c r="CZ20" s="56">
        <f>IF(OR(CZ$4="",$B20=""),0,SUMIF('DADOS BRUTOS'!$A$3:$A$500,$B20,'DADOS BRUTOS'!Z$3:Z$500)+IF($C20="",0,SUMIF('DADOS BRUTOS'!$A$3:$A$500,$C20,'DADOS BRUTOS'!Z$3:Z$500)))</f>
        <v/>
      </c>
      <c r="DA20" s="56">
        <f>IF(OR(DA$4="",$B20=""),0,SUMIF('DADOS BRUTOS'!$A$3:$A$500,$B20,'DADOS BRUTOS'!AA$3:AA$500)+IF($C20="",0,SUMIF('DADOS BRUTOS'!$A$3:$A$500,$C20,'DADOS BRUTOS'!AA$3:AA$500)))</f>
        <v/>
      </c>
      <c r="DB20" s="56">
        <f>IF(OR(DB$4="",$B20=""),0,SUMIF('DADOS BRUTOS'!$A$3:$A$500,$B20,'DADOS BRUTOS'!AB$3:AB$500)+IF($C20="",0,SUMIF('DADOS BRUTOS'!$A$3:$A$500,$C20,'DADOS BRUTOS'!AB$3:AB$500)))</f>
        <v/>
      </c>
      <c r="DC20" s="56">
        <f>IF(OR(DC$4="",$B20=""),0,SUMIF('DADOS BRUTOS'!$A$3:$A$500,$B20,'DADOS BRUTOS'!AC$3:AC$500)+IF($C20="",0,SUMIF('DADOS BRUTOS'!$A$3:$A$500,$C20,'DADOS BRUTOS'!AC$3:AC$500)))</f>
        <v/>
      </c>
      <c r="DD20" s="56">
        <f>IF(OR(DD$4="",$B20=""),0,SUMIF('DADOS BRUTOS'!$A$3:$A$500,$B20,'DADOS BRUTOS'!AD$3:AD$500)+IF($C20="",0,SUMIF('DADOS BRUTOS'!$A$3:$A$500,$C20,'DADOS BRUTOS'!AD$3:AD$500)))</f>
        <v/>
      </c>
      <c r="DE20" s="56">
        <f>IF(OR(DE$4="",$B20=""),0,SUMIF('DADOS BRUTOS'!$A$3:$A$500,$B20,'DADOS BRUTOS'!AE$3:AE$500)+IF($C20="",0,SUMIF('DADOS BRUTOS'!$A$3:$A$500,$C20,'DADOS BRUTOS'!AE$3:AE$500)))</f>
        <v/>
      </c>
      <c r="DF20" s="56">
        <f>IF(OR(DF$4="",$B20=""),0,SUMIF('DADOS BRUTOS'!$A$3:$A$500,$B20,'DADOS BRUTOS'!AF$3:AF$500)+IF($C20="",0,SUMIF('DADOS BRUTOS'!$A$3:$A$500,$C20,'DADOS BRUTOS'!AF$3:AF$500)))</f>
        <v/>
      </c>
      <c r="DG20" s="56">
        <f>IF(OR(DG$4="",$B20=""),0,SUMIF('DADOS BRUTOS'!$A$3:$A$500,$B20,'DADOS BRUTOS'!AG$3:AG$500)+IF($C20="",0,SUMIF('DADOS BRUTOS'!$A$3:$A$500,$C20,'DADOS BRUTOS'!AG$3:AG$500)))</f>
        <v/>
      </c>
      <c r="DH20" s="56">
        <f>IF(OR(DH$4="",$B20=""),0,SUMIF('DADOS BRUTOS'!$A$3:$A$500,$B20,'DADOS BRUTOS'!AH$3:AH$500)+IF($C20="",0,SUMIF('DADOS BRUTOS'!$A$3:$A$500,$C20,'DADOS BRUTOS'!AH$3:AH$500)))</f>
        <v/>
      </c>
      <c r="DI20" s="56">
        <f>IF(OR(DI$4="",$B20=""),0,SUMIF('DADOS BRUTOS'!$A$3:$A$500,$B20,'DADOS BRUTOS'!AI$3:AI$500)+IF($C20="",0,SUMIF('DADOS BRUTOS'!$A$3:$A$500,$C20,'DADOS BRUTOS'!AI$3:AI$500)))</f>
        <v/>
      </c>
      <c r="DJ20" s="56">
        <f>IF(OR(DJ$4="",$B20=""),0,SUMIF('DADOS BRUTOS'!$A$3:$A$500,$B20,'DADOS BRUTOS'!AJ$3:AJ$500)+IF($C20="",0,SUMIF('DADOS BRUTOS'!$A$3:$A$500,$C20,'DADOS BRUTOS'!AJ$3:AJ$500)))</f>
        <v/>
      </c>
      <c r="DK20" s="56">
        <f>IF(OR(DK$4="",$B20=""),0,SUMIF('DADOS BRUTOS'!$A$3:$A$500,$B20,'DADOS BRUTOS'!AK$3:AK$500)+IF($C20="",0,SUMIF('DADOS BRUTOS'!$A$3:$A$500,$C20,'DADOS BRUTOS'!AK$3:AK$500)))</f>
        <v/>
      </c>
      <c r="DL20" s="56">
        <f>IF(OR(DL$4="",$B20=""),0,SUMIF('DADOS BRUTOS'!$A$3:$A$500,$B20,'DADOS BRUTOS'!AL$3:AL$500)+IF($C20="",0,SUMIF('DADOS BRUTOS'!$A$3:$A$500,$C20,'DADOS BRUTOS'!AL$3:AL$500)))</f>
        <v/>
      </c>
      <c r="DM20" s="56">
        <f>IF(OR(DM$4="",$B20=""),0,SUMIF('DADOS BRUTOS'!$A$3:$A$500,$B20,'DADOS BRUTOS'!AM$3:AM$500)+IF($C20="",0,SUMIF('DADOS BRUTOS'!$A$3:$A$500,$C20,'DADOS BRUTOS'!AM$3:AM$500)))</f>
        <v/>
      </c>
      <c r="DN20" s="56">
        <f>IF(OR(DN$4="",$B20=""),0,SUMIF('DADOS BRUTOS'!$A$3:$A$500,$B20,'DADOS BRUTOS'!AN$3:AN$500)+IF($C20="",0,SUMIF('DADOS BRUTOS'!$A$3:$A$500,$C20,'DADOS BRUTOS'!AN$3:AN$500)))</f>
        <v/>
      </c>
      <c r="DO20" s="56">
        <f>IF(OR(DO$4="",$B20=""),0,SUMIF('DADOS BRUTOS'!$A$3:$A$500,$B20,'DADOS BRUTOS'!AO$3:AO$500)+IF($C20="",0,SUMIF('DADOS BRUTOS'!$A$3:$A$500,$C20,'DADOS BRUTOS'!AO$3:AO$500)))</f>
        <v/>
      </c>
      <c r="DP20" s="56">
        <f>IF(OR(DP$4="",$B20=""),0,SUMIF('DADOS BRUTOS'!$A$3:$A$500,$B20,'DADOS BRUTOS'!AP$3:AP$500)+IF($C20="",0,SUMIF('DADOS BRUTOS'!$A$3:$A$500,$C20,'DADOS BRUTOS'!AP$3:AP$500)))</f>
        <v/>
      </c>
      <c r="DQ20" s="56">
        <f>IF(OR(DQ$4="",$B20=""),0,SUMIF('DADOS BRUTOS'!$A$3:$A$500,$B20,'DADOS BRUTOS'!AQ$3:AQ$500)+IF($C20="",0,SUMIF('DADOS BRUTOS'!$A$3:$A$500,$C20,'DADOS BRUTOS'!AQ$3:AQ$500)))</f>
        <v/>
      </c>
      <c r="DR20" s="56">
        <f>IF(OR(DR$4="",$B20=""),0,SUMIF('DADOS BRUTOS'!$A$3:$A$500,$B20,'DADOS BRUTOS'!AR$3:AR$500)+IF($C20="",0,SUMIF('DADOS BRUTOS'!$A$3:$A$500,$C20,'DADOS BRUTOS'!AR$3:AR$500)))</f>
        <v/>
      </c>
      <c r="DS20" s="56">
        <f>IF(OR(DS$4="",$B20=""),0,SUMIF('DADOS BRUTOS'!$A$3:$A$500,$B20,'DADOS BRUTOS'!AS$3:AS$500)+IF($C20="",0,SUMIF('DADOS BRUTOS'!$A$3:$A$500,$C20,'DADOS BRUTOS'!AS$3:AS$500)))</f>
        <v/>
      </c>
      <c r="DT20" s="56">
        <f>IF(OR(DT$4="",$B20=""),0,SUMIF('DADOS BRUTOS'!$A$3:$A$500,$B20,'DADOS BRUTOS'!AT$3:AT$500)+IF($C20="",0,SUMIF('DADOS BRUTOS'!$A$3:$A$500,$C20,'DADOS BRUTOS'!AT$3:AT$500)))</f>
        <v/>
      </c>
      <c r="DU20" s="56">
        <f>IF(OR(DU$4="",$B20=""),0,SUMIF('DADOS BRUTOS'!$A$3:$A$500,$B20,'DADOS BRUTOS'!AU$3:AU$500)+IF($C20="",0,SUMIF('DADOS BRUTOS'!$A$3:$A$500,$C20,'DADOS BRUTOS'!AU$3:AU$500)))</f>
        <v/>
      </c>
      <c r="DV20" s="56">
        <f>IF(OR(DV$4="",$B20=""),0,SUMIF('DADOS BRUTOS'!$A$3:$A$500,$B20,'DADOS BRUTOS'!AV$3:AV$500)+IF($C20="",0,SUMIF('DADOS BRUTOS'!$A$3:$A$500,$C20,'DADOS BRUTOS'!AV$3:AV$500)))</f>
        <v/>
      </c>
      <c r="DW20" s="56">
        <f>IF(OR(DW$4="",$B20=""),0,SUMIF('DADOS BRUTOS'!$A$3:$A$500,$B20,'DADOS BRUTOS'!AW$3:AW$500)+IF($C20="",0,SUMIF('DADOS BRUTOS'!$A$3:$A$500,$C20,'DADOS BRUTOS'!AW$3:AW$500)))</f>
        <v/>
      </c>
      <c r="DX20" s="56">
        <f>IF(OR(DX$4="",$B20=""),0,SUMIF('DADOS BRUTOS'!$A$3:$A$500,$B20,'DADOS BRUTOS'!AX$3:AX$500)+IF($C20="",0,SUMIF('DADOS BRUTOS'!$A$3:$A$500,$C20,'DADOS BRUTOS'!AX$3:AX$500)))</f>
        <v/>
      </c>
      <c r="DY20" s="56">
        <f>IF(OR(DY$4="",$B20=""),0,SUMIF('DADOS BRUTOS'!$A$3:$A$500,$B20,'DADOS BRUTOS'!AY$3:AY$500)+IF($C20="",0,SUMIF('DADOS BRUTOS'!$A$3:$A$500,$C20,'DADOS BRUTOS'!AY$3:AY$500)))</f>
        <v/>
      </c>
      <c r="DZ20" s="56">
        <f>IF(OR(DZ$4="",$B20=""),0,SUMIF('DADOS BRUTOS'!$A$3:$A$500,$B20,'DADOS BRUTOS'!AZ$3:AZ$500)+IF($C20="",0,SUMIF('DADOS BRUTOS'!$A$3:$A$500,$C20,'DADOS BRUTOS'!AZ$3:AZ$500)))</f>
        <v/>
      </c>
      <c r="EA20" s="56">
        <f>IF(OR(EA$4="",$B20=""),0,SUMIF('DADOS BRUTOS'!$A$3:$A$500,$B20,'DADOS BRUTOS'!BA$3:BA$500)+IF($C20="",0,SUMIF('DADOS BRUTOS'!$A$3:$A$500,$C20,'DADOS BRUTOS'!BA$3:BA$500)))</f>
        <v/>
      </c>
      <c r="EB20" s="56">
        <f>IF(OR(EB$4="",$B20=""),0,SUMIF('DADOS BRUTOS'!$A$3:$A$500,$B20,'DADOS BRUTOS'!BB$3:BB$500)+IF($C20="",0,SUMIF('DADOS BRUTOS'!$A$3:$A$500,$C20,'DADOS BRUTOS'!BB$3:BB$500)))</f>
        <v/>
      </c>
      <c r="EC20" s="56">
        <f>IF(OR(EC$4="",$B20=""),0,SUMIF('DADOS BRUTOS'!$A$3:$A$500,$B20,'DADOS BRUTOS'!BC$3:BC$500)+IF($C20="",0,SUMIF('DADOS BRUTOS'!$A$3:$A$500,$C20,'DADOS BRUTOS'!BC$3:BC$500)))</f>
        <v/>
      </c>
      <c r="ED20" s="56">
        <f>IF(OR(ED$4="",$B20=""),0,SUMIF('DADOS BRUTOS'!$A$3:$A$500,$B20,'DADOS BRUTOS'!BD$3:BD$500)+IF($C20="",0,SUMIF('DADOS BRUTOS'!$A$3:$A$500,$C20,'DADOS BRUTOS'!BD$3:BD$500)))</f>
        <v/>
      </c>
      <c r="EE20" s="56">
        <f>IF(OR(EE$4="",$B20=""),0,SUMIF('DADOS BRUTOS'!$A$3:$A$500,$B20,'DADOS BRUTOS'!BE$3:BE$500)+IF($C20="",0,SUMIF('DADOS BRUTOS'!$A$3:$A$500,$C20,'DADOS BRUTOS'!BE$3:BE$500)))</f>
        <v/>
      </c>
      <c r="EF20" s="56">
        <f>IF(OR(EF$4="",$B20=""),0,SUMIF('DADOS BRUTOS'!$A$3:$A$500,$B20,'DADOS BRUTOS'!BF$3:BF$500)+IF($C20="",0,SUMIF('DADOS BRUTOS'!$A$3:$A$500,$C20,'DADOS BRUTOS'!BF$3:BF$500)))</f>
        <v/>
      </c>
      <c r="EG20" s="56">
        <f>IF(OR(EG$4="",$B20=""),0,SUMIF('DADOS BRUTOS'!$A$3:$A$500,$B20,'DADOS BRUTOS'!BG$3:BG$500)+IF($C20="",0,SUMIF('DADOS BRUTOS'!$A$3:$A$500,$C20,'DADOS BRUTOS'!BG$3:BG$500)))</f>
        <v/>
      </c>
      <c r="EH20" s="56">
        <f>IF(OR(EH$4="",$B20=""),0,SUMIF('DADOS BRUTOS'!$A$3:$A$500,$B20,'DADOS BRUTOS'!BH$3:BH$500)+IF($C20="",0,SUMIF('DADOS BRUTOS'!$A$3:$A$500,$C20,'DADOS BRUTOS'!BH$3:BH$500)))</f>
        <v/>
      </c>
      <c r="EI20" s="56">
        <f>IF(OR(EI$4="",$B20=""),0,SUMIF('DADOS BRUTOS'!$A$3:$A$500,$B20,'DADOS BRUTOS'!BI$3:BI$500)+IF($C20="",0,SUMIF('DADOS BRUTOS'!$A$3:$A$500,$C20,'DADOS BRUTOS'!BI$3:BI$500)))</f>
        <v/>
      </c>
      <c r="EJ20" s="56">
        <f>IF(OR(EJ$4="",$B20=""),0,SUMIF('DADOS BRUTOS'!$A$3:$A$500,$B20,'DADOS BRUTOS'!BJ$3:BJ$500)+IF($C20="",0,SUMIF('DADOS BRUTOS'!$A$3:$A$500,$C20,'DADOS BRUTOS'!BJ$3:BJ$500)))</f>
        <v/>
      </c>
      <c r="EK20" s="56">
        <f>IF(OR(EK$4="",$B20=""),0,SUMIF('DADOS BRUTOS'!$A$3:$A$500,$B20,'DADOS BRUTOS'!BK$3:BK$500)+IF($C20="",0,SUMIF('DADOS BRUTOS'!$A$3:$A$500,$C20,'DADOS BRUTOS'!BK$3:BK$500)))</f>
        <v/>
      </c>
      <c r="EL20" s="56">
        <f>IF(OR(EL$4="",$B20=""),0,SUMIF('DADOS BRUTOS'!$A$3:$A$500,$B20,'DADOS BRUTOS'!BL$3:BL$500)+IF($C20="",0,SUMIF('DADOS BRUTOS'!$A$3:$A$500,$C20,'DADOS BRUTOS'!BL$3:BL$500)))</f>
        <v/>
      </c>
      <c r="EM20" s="56">
        <f>IF(OR(EM$4="",$B20=""),0,SUMIF('DADOS BRUTOS'!$A$3:$A$500,$B20,'DADOS BRUTOS'!BM$3:BM$500)+IF($C20="",0,SUMIF('DADOS BRUTOS'!$A$3:$A$500,$C20,'DADOS BRUTOS'!BM$3:BM$500)))</f>
        <v/>
      </c>
      <c r="EN20" s="56">
        <f>IF(OR(EN$4="",$B20=""),0,SUMIF('DADOS BRUTOS'!$A$3:$A$500,$B20,'DADOS BRUTOS'!BN$3:BN$500)+IF($C20="",0,SUMIF('DADOS BRUTOS'!$A$3:$A$500,$C20,'DADOS BRUTOS'!BN$3:BN$500)))</f>
        <v/>
      </c>
      <c r="EO20" s="56">
        <f>IF(OR(EO$4="",$B20=""),0,SUMIF('DADOS BRUTOS'!$A$3:$A$500,$B20,'DADOS BRUTOS'!BO$3:BO$500)+IF($C20="",0,SUMIF('DADOS BRUTOS'!$A$3:$A$500,$C20,'DADOS BRUTOS'!BO$3:BO$500)))</f>
        <v/>
      </c>
      <c r="EP20" s="56">
        <f>IF(OR(EP$4="",$B20=""),0,SUMIF('DADOS BRUTOS'!$A$3:$A$500,$B20,'DADOS BRUTOS'!BP$3:BP$500)+IF($C20="",0,SUMIF('DADOS BRUTOS'!$A$3:$A$500,$C20,'DADOS BRUTOS'!BP$3:BP$500)))</f>
        <v/>
      </c>
      <c r="EQ20" s="56">
        <f>IF(OR(EQ$4="",$B20=""),0,SUMIF('DADOS BRUTOS'!$A$3:$A$500,$B20,'DADOS BRUTOS'!BQ$3:BQ$500)+IF($C20="",0,SUMIF('DADOS BRUTOS'!$A$3:$A$500,$C20,'DADOS BRUTOS'!BQ$3:BQ$500)))</f>
        <v/>
      </c>
      <c r="ER20" s="56">
        <f>IF(OR(ER$4="",$B20=""),0,SUMIF('DADOS BRUTOS'!$A$3:$A$500,$B20,'DADOS BRUTOS'!BR$3:BR$500)+IF($C20="",0,SUMIF('DADOS BRUTOS'!$A$3:$A$500,$C20,'DADOS BRUTOS'!BR$3:BR$500)))</f>
        <v/>
      </c>
      <c r="ES20" s="56">
        <f>IF(OR(ES$4="",$B20=""),0,SUMIF('DADOS BRUTOS'!$A$3:$A$500,$B20,'DADOS BRUTOS'!BS$3:BS$500)+IF($C20="",0,SUMIF('DADOS BRUTOS'!$A$3:$A$500,$C20,'DADOS BRUTOS'!BS$3:BS$500)))</f>
        <v/>
      </c>
      <c r="ET20" s="56">
        <f>IF(OR(ET$4="",$B20=""),0,SUMIF('DADOS BRUTOS'!$A$3:$A$500,$B20,'DADOS BRUTOS'!BT$3:BT$500)+IF($C20="",0,SUMIF('DADOS BRUTOS'!$A$3:$A$500,$C20,'DADOS BRUTOS'!BT$3:BT$500)))</f>
        <v/>
      </c>
      <c r="EU20" s="56">
        <f>IF(OR(EU$4="",$B20=""),0,SUMIF('DADOS BRUTOS'!$A$3:$A$500,$B20,'DADOS BRUTOS'!BU$3:BU$500)+IF($C20="",0,SUMIF('DADOS BRUTOS'!$A$3:$A$500,$C20,'DADOS BRUTOS'!BU$3:BU$500)))</f>
        <v/>
      </c>
      <c r="EV20" s="56">
        <f>IF(OR(EV$4="",$B20=""),0,SUMIF('DADOS BRUTOS'!$A$3:$A$500,$B20,'DADOS BRUTOS'!BV$3:BV$500)+IF($C20="",0,SUMIF('DADOS BRUTOS'!$A$3:$A$500,$C20,'DADOS BRUTOS'!BV$3:BV$500)))</f>
        <v/>
      </c>
      <c r="EW20" s="56">
        <f>IF(OR(EW$4="",$B20=""),0,SUMIF('DADOS BRUTOS'!$A$3:$A$500,$B20,'DADOS BRUTOS'!BW$3:BW$500)+IF($C20="",0,SUMIF('DADOS BRUTOS'!$A$3:$A$500,$C20,'DADOS BRUTOS'!BW$3:BW$500)))</f>
        <v/>
      </c>
      <c r="EX20" s="56">
        <f>IF(OR(EX$4="",$B20=""),0,SUMIF('DADOS BRUTOS'!$A$3:$A$500,$B20,'DADOS BRUTOS'!BX$3:BX$500)+IF($C20="",0,SUMIF('DADOS BRUTOS'!$A$3:$A$500,$C20,'DADOS BRUTOS'!BX$3:BX$500)))</f>
        <v/>
      </c>
      <c r="EY20" s="56">
        <f>IF(OR(EY$4="",$B20=""),0,SUMIF('DADOS BRUTOS'!$A$3:$A$500,$B20,'DADOS BRUTOS'!BY$3:BY$500)+IF($C20="",0,SUMIF('DADOS BRUTOS'!$A$3:$A$500,$C20,'DADOS BRUTOS'!BY$3:BY$500)))</f>
        <v/>
      </c>
      <c r="EZ20" s="56">
        <f>IF(OR(EZ$4="",$B20=""),0,SUMIF('DADOS BRUTOS'!$A$3:$A$500,$B20,'DADOS BRUTOS'!BZ$3:BZ$500)+IF($C20="",0,SUMIF('DADOS BRUTOS'!$A$3:$A$500,$C20,'DADOS BRUTOS'!BZ$3:BZ$500)))</f>
        <v/>
      </c>
      <c r="FA20" s="56">
        <f>IF(OR(FA$4="",$B20=""),0,SUMIF('DADOS BRUTOS'!$A$3:$A$500,$B20,'DADOS BRUTOS'!CA$3:CA$500)+IF($C20="",0,SUMIF('DADOS BRUTOS'!$A$3:$A$500,$C20,'DADOS BRUTOS'!CA$3:CA$500)))</f>
        <v/>
      </c>
      <c r="FB20" s="56">
        <f>IF(OR(FB$4="",$B20=""),0,SUMIF('DADOS BRUTOS'!$A$3:$A$500,$B20,'DADOS BRUTOS'!CB$3:CB$500)+IF($C20="",0,SUMIF('DADOS BRUTOS'!$A$3:$A$500,$C20,'DADOS BRUTOS'!CB$3:CB$500)))</f>
        <v/>
      </c>
      <c r="FC20" s="56">
        <f>IF(OR(FC$4="",$B20=""),0,SUMIF('DADOS BRUTOS'!$A$3:$A$500,$B20,'DADOS BRUTOS'!CC$3:CC$500)+IF($C20="",0,SUMIF('DADOS BRUTOS'!$A$3:$A$500,$C20,'DADOS BRUTOS'!CC$3:CC$500)))</f>
        <v/>
      </c>
      <c r="FD20" s="56">
        <f>IF(OR(FD$4="",$B20=""),0,SUMIF('DADOS BRUTOS'!$A$3:$A$500,$B20,'DADOS BRUTOS'!CD$3:CD$500)+IF($C20="",0,SUMIF('DADOS BRUTOS'!$A$3:$A$500,$C20,'DADOS BRUTOS'!CD$3:CD$500)))</f>
        <v/>
      </c>
      <c r="FE20" s="56">
        <f>IF(OR(FE$4="",$B20=""),0,SUMIF('DADOS BRUTOS'!$A$3:$A$500,$B20,'DADOS BRUTOS'!CE$3:CE$500)+IF($C20="",0,SUMIF('DADOS BRUTOS'!$A$3:$A$500,$C20,'DADOS BRUTOS'!CE$3:CE$500)))</f>
        <v/>
      </c>
      <c r="FF20" s="56">
        <f>IF(OR(FF$4="",$B20=""),0,SUMIF('DADOS BRUTOS'!$A$3:$A$500,$B20,'DADOS BRUTOS'!CF$3:CF$500)+IF($C20="",0,SUMIF('DADOS BRUTOS'!$A$3:$A$500,$C20,'DADOS BRUTOS'!CF$3:CF$500)))</f>
        <v/>
      </c>
      <c r="FG20" s="56">
        <f>IF(OR(FG$4="",$B20=""),0,SUMIF('DADOS BRUTOS'!$A$3:$A$500,$B20,'DADOS BRUTOS'!CG$3:CG$500)+IF($C20="",0,SUMIF('DADOS BRUTOS'!$A$3:$A$500,$C20,'DADOS BRUTOS'!CG$3:CG$500)))</f>
        <v/>
      </c>
      <c r="FH20" s="56">
        <f>IF(OR(FH$4="",$B20=""),0,SUMIF('DADOS BRUTOS'!$A$3:$A$500,$B20,'DADOS BRUTOS'!CH$3:CH$500)+IF($C20="",0,SUMIF('DADOS BRUTOS'!$A$3:$A$500,$C20,'DADOS BRUTOS'!CH$3:CH$500)))</f>
        <v/>
      </c>
      <c r="FI20" s="56">
        <f>IF(OR(FI$4="",$B20=""),0,SUMIF('DADOS BRUTOS'!$A$3:$A$500,$B20,'DADOS BRUTOS'!CI$3:CI$500)+IF($C20="",0,SUMIF('DADOS BRUTOS'!$A$3:$A$500,$C20,'DADOS BRUTOS'!CI$3:CI$500)))</f>
        <v/>
      </c>
      <c r="FJ20" s="56">
        <f>IF(OR(FJ$4="",$B20=""),0,SUMIF('DADOS BRUTOS'!$A$3:$A$500,$B20,'DADOS BRUTOS'!CJ$3:CJ$500)+IF($C20="",0,SUMIF('DADOS BRUTOS'!$A$3:$A$500,$C20,'DADOS BRUTOS'!CJ$3:CJ$500)))</f>
        <v/>
      </c>
      <c r="FK20" s="56">
        <f>IF(OR(FK$4="",$B20=""),0,SUMIF('DADOS BRUTOS'!$A$3:$A$500,$B20,'DADOS BRUTOS'!CK$3:CK$500)+IF($C20="",0,SUMIF('DADOS BRUTOS'!$A$3:$A$500,$C20,'DADOS BRUTOS'!CK$3:CK$500)))</f>
        <v/>
      </c>
      <c r="FL20" s="56">
        <f>IF(OR(FL$4="",$B20=""),0,SUMIF('DADOS BRUTOS'!$A$3:$A$500,$B20,'DADOS BRUTOS'!CL$3:CL$500)+IF($C20="",0,SUMIF('DADOS BRUTOS'!$A$3:$A$500,$C20,'DADOS BRUTOS'!CL$3:CL$500)))</f>
        <v/>
      </c>
      <c r="FM20" s="56">
        <f>IF(OR(FM$4="",$B20=""),0,SUMIF('DADOS BRUTOS'!$A$3:$A$500,$B20,'DADOS BRUTOS'!CM$3:CM$500)+IF($C20="",0,SUMIF('DADOS BRUTOS'!$A$3:$A$500,$C20,'DADOS BRUTOS'!CM$3:CM$500)))</f>
        <v/>
      </c>
      <c r="FN20" s="56">
        <f>IF(OR(FN$4="",$B20=""),0,SUMIF('DADOS BRUTOS'!$A$3:$A$500,$B20,'DADOS BRUTOS'!CN$3:CN$500)+IF($C20="",0,SUMIF('DADOS BRUTOS'!$A$3:$A$500,$C20,'DADOS BRUTOS'!CN$3:CN$500)))</f>
        <v/>
      </c>
      <c r="FO20" s="56">
        <f>IF(OR(FO$4="",$B20=""),0,SUMIF('DADOS BRUTOS'!$A$3:$A$500,$B20,'DADOS BRUTOS'!CO$3:CO$500)+IF($C20="",0,SUMIF('DADOS BRUTOS'!$A$3:$A$500,$C20,'DADOS BRUTOS'!CO$3:CO$500)))</f>
        <v/>
      </c>
      <c r="FP20" s="56">
        <f>IF(OR(FP$4="",$B20=""),0,SUMIF('DADOS BRUTOS'!$A$3:$A$500,$B20,'DADOS BRUTOS'!CP$3:CP$500)+IF($C20="",0,SUMIF('DADOS BRUTOS'!$A$3:$A$500,$C20,'DADOS BRUTOS'!CP$3:CP$500)))</f>
        <v/>
      </c>
      <c r="FQ20" s="56">
        <f>IF(OR(FQ$4="",$B20=""),0,SUMIF('DADOS BRUTOS'!$A$3:$A$500,$B20,'DADOS BRUTOS'!CQ$3:CQ$500)+IF($C20="",0,SUMIF('DADOS BRUTOS'!$A$3:$A$500,$C20,'DADOS BRUTOS'!CQ$3:CQ$500)))</f>
        <v/>
      </c>
      <c r="FR20" s="56">
        <f>IF(OR(FR$4="",$B20=""),0,SUMIF('DADOS BRUTOS'!$A$3:$A$500,$B20,'DADOS BRUTOS'!CR$3:CR$500)+IF($C20="",0,SUMIF('DADOS BRUTOS'!$A$3:$A$500,$C20,'DADOS BRUTOS'!CR$3:CR$500)))</f>
        <v/>
      </c>
      <c r="FS20" s="56">
        <f>IF(OR(FS$4="",$B20=""),0,SUMIF('DADOS BRUTOS'!$A$3:$A$500,$B20,'DADOS BRUTOS'!CS$3:CS$500)+IF($C20="",0,SUMIF('DADOS BRUTOS'!$A$3:$A$500,$C20,'DADOS BRUTOS'!CS$3:CS$500)))</f>
        <v/>
      </c>
      <c r="FT20" s="56">
        <f>IF(OR(FT$4="",$B20=""),0,SUMIF('DADOS BRUTOS'!$A$3:$A$500,$B20,'DADOS BRUTOS'!CT$3:CT$500)+IF($C20="",0,SUMIF('DADOS BRUTOS'!$A$3:$A$500,$C20,'DADOS BRUTOS'!CT$3:CT$500)))</f>
        <v/>
      </c>
      <c r="FU20" s="56">
        <f>IF(OR(FU$4="",$B20=""),0,SUMIF('DADOS BRUTOS'!$A$3:$A$500,$B20,'DADOS BRUTOS'!CU$3:CU$500)+IF($C20="",0,SUMIF('DADOS BRUTOS'!$A$3:$A$500,$C20,'DADOS BRUTOS'!CU$3:CU$500)))</f>
        <v/>
      </c>
      <c r="FV20" s="56">
        <f>IF(OR(FV$4="",$B20=""),0,SUMIF('DADOS BRUTOS'!$A$3:$A$500,$B20,'DADOS BRUTOS'!CV$3:CV$500)+IF($C20="",0,SUMIF('DADOS BRUTOS'!$A$3:$A$500,$C20,'DADOS BRUTOS'!CV$3:CV$500)))</f>
        <v/>
      </c>
      <c r="FW20" s="56">
        <f>IF(OR(FW$4="",$B20=""),0,SUMIF('DADOS BRUTOS'!$A$3:$A$500,$B20,'DADOS BRUTOS'!CW$3:CW$500)+IF($C20="",0,SUMIF('DADOS BRUTOS'!$A$3:$A$500,$C20,'DADOS BRUTOS'!CW$3:CW$500)))</f>
        <v/>
      </c>
      <c r="FX20" s="56">
        <f>IF(OR(FX$4="",$B20=""),0,SUMIF('DADOS BRUTOS'!$A$3:$A$500,$B20,'DADOS BRUTOS'!CX$3:CX$500)+IF($C20="",0,SUMIF('DADOS BRUTOS'!$A$3:$A$500,$C20,'DADOS BRUTOS'!CX$3:CX$500)))</f>
        <v/>
      </c>
      <c r="FY20" s="56">
        <f>IF(OR(FY$4="",$B20=""),0,SUMIF('DADOS BRUTOS'!$A$3:$A$500,$B20,'DADOS BRUTOS'!CY$3:CY$500)+IF($C20="",0,SUMIF('DADOS BRUTOS'!$A$3:$A$500,$C20,'DADOS BRUTOS'!CY$3:CY$500)))</f>
        <v/>
      </c>
      <c r="FZ20" s="56">
        <f>IF(OR(FZ$4="",$B20=""),0,SUMIF('DADOS BRUTOS'!$A$3:$A$500,$B20,'DADOS BRUTOS'!CZ$3:CZ$500)+IF($C20="",0,SUMIF('DADOS BRUTOS'!$A$3:$A$500,$C20,'DADOS BRUTOS'!CZ$3:CZ$500)))</f>
        <v/>
      </c>
      <c r="GA20" s="56">
        <f>IF(OR(GA$4="",$B20=""),0,SUMIF('DADOS BRUTOS'!$A$3:$A$500,$B20,'DADOS BRUTOS'!DA$3:DA$500)+IF($C20="",0,SUMIF('DADOS BRUTOS'!$A$3:$A$500,$C20,'DADOS BRUTOS'!DA$3:DA$500)))</f>
        <v/>
      </c>
      <c r="GB20" s="56">
        <f>IF(OR(GB$4="",$B20=""),0,SUMIF('DADOS BRUTOS'!$A$3:$A$500,$B20,'DADOS BRUTOS'!DB$3:DB$500)+IF($C20="",0,SUMIF('DADOS BRUTOS'!$A$3:$A$500,$C20,'DADOS BRUTOS'!DB$3:DB$500)))</f>
        <v/>
      </c>
      <c r="GC20" s="56">
        <f>IF(OR(GC$4="",$B20=""),0,SUMIF('DADOS BRUTOS'!$A$3:$A$500,$B20,'DADOS BRUTOS'!DC$3:DC$500)+IF($C20="",0,SUMIF('DADOS BRUTOS'!$A$3:$A$500,$C20,'DADOS BRUTOS'!DC$3:DC$500)))</f>
        <v/>
      </c>
      <c r="GD20" s="56">
        <f>IF(OR(GD$4="",$B20=""),0,SUMIF('DADOS BRUTOS'!$A$3:$A$500,$B20,'DADOS BRUTOS'!DD$3:DD$500)+IF($C20="",0,SUMIF('DADOS BRUTOS'!$A$3:$A$500,$C20,'DADOS BRUTOS'!DD$3:DD$500)))</f>
        <v/>
      </c>
      <c r="GE20" s="56">
        <f>IF(OR(GE$4="",$B20=""),0,SUMIF('DADOS BRUTOS'!$A$3:$A$500,$B20,'DADOS BRUTOS'!DE$3:DE$500)+IF($C20="",0,SUMIF('DADOS BRUTOS'!$A$3:$A$500,$C20,'DADOS BRUTOS'!DE$3:DE$500)))</f>
        <v/>
      </c>
      <c r="GF20" s="56">
        <f>IF(OR(GF$4="",$B20=""),0,SUMIF('DADOS BRUTOS'!$A$3:$A$500,$B20,'DADOS BRUTOS'!DF$3:DF$500)+IF($C20="",0,SUMIF('DADOS BRUTOS'!$A$3:$A$500,$C20,'DADOS BRUTOS'!DF$3:DF$500)))</f>
        <v/>
      </c>
      <c r="GG20" s="56">
        <f>IF(OR(GG$4="",$B20=""),0,SUMIF('DADOS BRUTOS'!$A$3:$A$500,$B20,'DADOS BRUTOS'!DG$3:DG$500)+IF($C20="",0,SUMIF('DADOS BRUTOS'!$A$3:$A$500,$C20,'DADOS BRUTOS'!DG$3:DG$500)))</f>
        <v/>
      </c>
      <c r="GH20" s="56">
        <f>IF(OR(GH$4="",$B20=""),0,SUMIF('DADOS BRUTOS'!$A$3:$A$500,$B20,'DADOS BRUTOS'!DH$3:DH$500)+IF($C20="",0,SUMIF('DADOS BRUTOS'!$A$3:$A$500,$C20,'DADOS BRUTOS'!DH$3:DH$500)))</f>
        <v/>
      </c>
      <c r="GI20" s="56">
        <f>IF(OR(GI$4="",$B20=""),0,SUMIF('DADOS BRUTOS'!$A$3:$A$500,$B20,'DADOS BRUTOS'!DI$3:DI$500)+IF($C20="",0,SUMIF('DADOS BRUTOS'!$A$3:$A$500,$C20,'DADOS BRUTOS'!DI$3:DI$500)))</f>
        <v/>
      </c>
      <c r="GJ20" s="56">
        <f>IF(OR(GJ$4="",$B20=""),0,SUMIF('DADOS BRUTOS'!$A$3:$A$500,$B20,'DADOS BRUTOS'!DJ$3:DJ$500)+IF($C20="",0,SUMIF('DADOS BRUTOS'!$A$3:$A$500,$C20,'DADOS BRUTOS'!DJ$3:DJ$500)))</f>
        <v/>
      </c>
      <c r="GK20" s="56">
        <f>IF(OR(GK$4="",$B20=""),0,SUMIF('DADOS BRUTOS'!$A$3:$A$500,$B20,'DADOS BRUTOS'!DK$3:DK$500)+IF($C20="",0,SUMIF('DADOS BRUTOS'!$A$3:$A$500,$C20,'DADOS BRUTOS'!DK$3:DK$500)))</f>
        <v/>
      </c>
      <c r="GL20" s="56">
        <f>IF(OR(GL$4="",$B20=""),0,SUMIF('DADOS BRUTOS'!$A$3:$A$500,$B20,'DADOS BRUTOS'!DL$3:DL$500)+IF($C20="",0,SUMIF('DADOS BRUTOS'!$A$3:$A$500,$C20,'DADOS BRUTOS'!DL$3:DL$500)))</f>
        <v/>
      </c>
      <c r="GM20" s="56">
        <f>IF(OR(GM$4="",$B20=""),0,SUMIF('DADOS BRUTOS'!$A$3:$A$500,$B20,'DADOS BRUTOS'!DM$3:DM$500)+IF($C20="",0,SUMIF('DADOS BRUTOS'!$A$3:$A$500,$C20,'DADOS BRUTOS'!DM$3:DM$500)))</f>
        <v/>
      </c>
      <c r="GN20" s="56">
        <f>IF(OR(GN$4="",$B20=""),0,SUMIF('DADOS BRUTOS'!$A$3:$A$500,$B20,'DADOS BRUTOS'!DN$3:DN$500)+IF($C20="",0,SUMIF('DADOS BRUTOS'!$A$3:$A$500,$C20,'DADOS BRUTOS'!DN$3:DN$500)))</f>
        <v/>
      </c>
      <c r="GO20" s="56">
        <f>IF(OR(GO$4="",$B20=""),0,SUMIF('DADOS BRUTOS'!$A$3:$A$500,$B20,'DADOS BRUTOS'!DO$3:DO$500)+IF($C20="",0,SUMIF('DADOS BRUTOS'!$A$3:$A$500,$C20,'DADOS BRUTOS'!DO$3:DO$500)))</f>
        <v/>
      </c>
      <c r="GP20" s="56">
        <f>IF(OR(GP$4="",$B20=""),0,SUMIF('DADOS BRUTOS'!$A$3:$A$500,$B20,'DADOS BRUTOS'!DP$3:DP$500)+IF($C20="",0,SUMIF('DADOS BRUTOS'!$A$3:$A$500,$C20,'DADOS BRUTOS'!DP$3:DP$500)))</f>
        <v/>
      </c>
      <c r="GQ20" s="56">
        <f>IF(OR(GQ$4="",$B20=""),0,SUMIF('DADOS BRUTOS'!$A$3:$A$500,$B20,'DADOS BRUTOS'!DQ$3:DQ$500)+IF($C20="",0,SUMIF('DADOS BRUTOS'!$A$3:$A$500,$C20,'DADOS BRUTOS'!DQ$3:DQ$500)))</f>
        <v/>
      </c>
      <c r="GR20" s="56">
        <f>IF(OR(GR$4="",$B20=""),0,SUMIF('DADOS BRUTOS'!$A$3:$A$500,$B20,'DADOS BRUTOS'!DR$3:DR$500)+IF($C20="",0,SUMIF('DADOS BRUTOS'!$A$3:$A$500,$C20,'DADOS BRUTOS'!DR$3:DR$500)))</f>
        <v/>
      </c>
      <c r="GS20" s="56">
        <f>IF(OR(GS$4="",$B20=""),0,SUMIF('DADOS BRUTOS'!$A$3:$A$500,$B20,'DADOS BRUTOS'!DS$3:DS$500)+IF($C20="",0,SUMIF('DADOS BRUTOS'!$A$3:$A$500,$C20,'DADOS BRUTOS'!DS$3:DS$500)))</f>
        <v/>
      </c>
      <c r="GT20" s="56">
        <f>IF(OR(GT$4="",$B20=""),0,SUMIF('DADOS BRUTOS'!$A$3:$A$500,$B20,'DADOS BRUTOS'!DT$3:DT$500)+IF($C20="",0,SUMIF('DADOS BRUTOS'!$A$3:$A$500,$C20,'DADOS BRUTOS'!DT$3:DT$500)))</f>
        <v/>
      </c>
      <c r="GU20" s="56">
        <f>IF(OR(GU$4="",$B20=""),0,SUMIF('DADOS BRUTOS'!$A$3:$A$500,$B20,'DADOS BRUTOS'!DU$3:DU$500)+IF($C20="",0,SUMIF('DADOS BRUTOS'!$A$3:$A$500,$C20,'DADOS BRUTOS'!DU$3:DU$500)))</f>
        <v/>
      </c>
      <c r="GV20" s="56">
        <f>IF(OR(GV$4="",$B20=""),0,SUMIF('DADOS BRUTOS'!$A$3:$A$500,$B20,'DADOS BRUTOS'!DV$3:DV$500)+IF($C20="",0,SUMIF('DADOS BRUTOS'!$A$3:$A$500,$C20,'DADOS BRUTOS'!DV$3:DV$500)))</f>
        <v/>
      </c>
      <c r="GW20" s="56">
        <f>IF(OR(GW$4="",$B20=""),0,SUMIF('DADOS BRUTOS'!$A$3:$A$500,$B20,'DADOS BRUTOS'!DW$3:DW$500)+IF($C20="",0,SUMIF('DADOS BRUTOS'!$A$3:$A$500,$C20,'DADOS BRUTOS'!DW$3:DW$500)))</f>
        <v/>
      </c>
      <c r="GX20" s="56">
        <f>IF(OR(GX$4="",$B20=""),0,SUMIF('DADOS BRUTOS'!$A$3:$A$500,$B20,'DADOS BRUTOS'!DX$3:DX$500)+IF($C20="",0,SUMIF('DADOS BRUTOS'!$A$3:$A$500,$C20,'DADOS BRUTOS'!DX$3:DX$500)))</f>
        <v/>
      </c>
      <c r="GY20" s="56">
        <f>IF(OR(GY$4="",$B20=""),0,SUMIF('DADOS BRUTOS'!$A$3:$A$500,$B20,'DADOS BRUTOS'!DY$3:DY$500)+IF($C20="",0,SUMIF('DADOS BRUTOS'!$A$3:$A$500,$C20,'DADOS BRUTOS'!DY$3:DY$500)))</f>
        <v/>
      </c>
      <c r="GZ20" s="56">
        <f>IF(OR(GZ$4="",$B20=""),0,SUMIF('DADOS BRUTOS'!$A$3:$A$500,$B20,'DADOS BRUTOS'!DZ$3:DZ$500)+IF($C20="",0,SUMIF('DADOS BRUTOS'!$A$3:$A$500,$C20,'DADOS BRUTOS'!DZ$3:DZ$500)))</f>
        <v/>
      </c>
      <c r="HA20" s="56">
        <f>IF(OR(HA$4="",$B20=""),0,SUMIF('DADOS BRUTOS'!$A$3:$A$500,$B20,'DADOS BRUTOS'!EA$3:EA$500)+IF($C20="",0,SUMIF('DADOS BRUTOS'!$A$3:$A$500,$C20,'DADOS BRUTOS'!EA$3:EA$500)))</f>
        <v/>
      </c>
      <c r="HB20" s="56">
        <f>IF(OR(HB$4="",$B20=""),0,SUMIF('DADOS BRUTOS'!$A$3:$A$500,$B20,'DADOS BRUTOS'!EB$3:EB$500)+IF($C20="",0,SUMIF('DADOS BRUTOS'!$A$3:$A$500,$C20,'DADOS BRUTOS'!EB$3:EB$500)))</f>
        <v/>
      </c>
      <c r="HC20" s="56">
        <f>IF(OR(HC$4="",$B20=""),0,SUMIF('DADOS BRUTOS'!$A$3:$A$500,$B20,'DADOS BRUTOS'!EC$3:EC$500)+IF($C20="",0,SUMIF('DADOS BRUTOS'!$A$3:$A$500,$C20,'DADOS BRUTOS'!EC$3:EC$500)))</f>
        <v/>
      </c>
      <c r="HD20" s="56">
        <f>IF(OR(HD$4="",$B20=""),0,SUMIF('DADOS BRUTOS'!$A$3:$A$500,$B20,'DADOS BRUTOS'!ED$3:ED$500)+IF($C20="",0,SUMIF('DADOS BRUTOS'!$A$3:$A$500,$C20,'DADOS BRUTOS'!ED$3:ED$500)))</f>
        <v/>
      </c>
      <c r="HE20" s="56">
        <f>IF(OR(HE$4="",$B20=""),0,SUMIF('DADOS BRUTOS'!$A$3:$A$500,$B20,'DADOS BRUTOS'!EE$3:EE$500)+IF($C20="",0,SUMIF('DADOS BRUTOS'!$A$3:$A$500,$C20,'DADOS BRUTOS'!EE$3:EE$500)))</f>
        <v/>
      </c>
      <c r="HF20" s="56">
        <f>IF(OR(HF$4="",$B20=""),0,SUMIF('DADOS BRUTOS'!$A$3:$A$500,$B20,'DADOS BRUTOS'!EF$3:EF$500)+IF($C20="",0,SUMIF('DADOS BRUTOS'!$A$3:$A$500,$C20,'DADOS BRUTOS'!EF$3:EF$500)))</f>
        <v/>
      </c>
      <c r="HG20" s="56">
        <f>IF(OR(HG$4="",$B20=""),0,SUMIF('DADOS BRUTOS'!$A$3:$A$500,$B20,'DADOS BRUTOS'!EG$3:EG$500)+IF($C20="",0,SUMIF('DADOS BRUTOS'!$A$3:$A$500,$C20,'DADOS BRUTOS'!EG$3:EG$500)))</f>
        <v/>
      </c>
      <c r="HH20" s="56">
        <f>IF(OR(HH$4="",$B20=""),0,SUMIF('DADOS BRUTOS'!$A$3:$A$500,$B20,'DADOS BRUTOS'!EH$3:EH$500)+IF($C20="",0,SUMIF('DADOS BRUTOS'!$A$3:$A$500,$C20,'DADOS BRUTOS'!EH$3:EH$500)))</f>
        <v/>
      </c>
      <c r="HI20" s="56">
        <f>IF(OR(HI$4="",$B20=""),0,SUMIF('DADOS BRUTOS'!$A$3:$A$500,$B20,'DADOS BRUTOS'!EI$3:EI$500)+IF($C20="",0,SUMIF('DADOS BRUTOS'!$A$3:$A$500,$C20,'DADOS BRUTOS'!EI$3:EI$500)))</f>
        <v/>
      </c>
      <c r="HJ20" s="56">
        <f>IF(OR(HJ$4="",$B20=""),0,SUMIF('DADOS BRUTOS'!$A$3:$A$500,$B20,'DADOS BRUTOS'!EJ$3:EJ$500)+IF($C20="",0,SUMIF('DADOS BRUTOS'!$A$3:$A$500,$C20,'DADOS BRUTOS'!EJ$3:EJ$500)))</f>
        <v/>
      </c>
      <c r="HK20" s="56">
        <f>IF(OR(HK$4="",$B20=""),0,SUMIF('DADOS BRUTOS'!$A$3:$A$500,$B20,'DADOS BRUTOS'!EK$3:EK$500)+IF($C20="",0,SUMIF('DADOS BRUTOS'!$A$3:$A$500,$C20,'DADOS BRUTOS'!EK$3:EK$500)))</f>
        <v/>
      </c>
      <c r="HL20" s="56">
        <f>IF(OR(HL$4="",$B20=""),0,SUMIF('DADOS BRUTOS'!$A$3:$A$500,$B20,'DADOS BRUTOS'!EL$3:EL$500)+IF($C20="",0,SUMIF('DADOS BRUTOS'!$A$3:$A$500,$C20,'DADOS BRUTOS'!EL$3:EL$500)))</f>
        <v/>
      </c>
      <c r="HM20" s="56">
        <f>IF(OR(HM$4="",$B20=""),0,SUMIF('DADOS BRUTOS'!$A$3:$A$500,$B20,'DADOS BRUTOS'!EM$3:EM$500)+IF($C20="",0,SUMIF('DADOS BRUTOS'!$A$3:$A$500,$C20,'DADOS BRUTOS'!EM$3:EM$500)))</f>
        <v/>
      </c>
      <c r="HN20" s="56">
        <f>IF(OR(HN$4="",$B20=""),0,SUMIF('DADOS BRUTOS'!$A$3:$A$500,$B20,'DADOS BRUTOS'!EN$3:EN$500)+IF($C20="",0,SUMIF('DADOS BRUTOS'!$A$3:$A$500,$C20,'DADOS BRUTOS'!EN$3:EN$500)))</f>
        <v/>
      </c>
      <c r="HO20" s="56">
        <f>IF(OR(HO$4="",$B20=""),0,SUMIF('DADOS BRUTOS'!$A$3:$A$500,$B20,'DADOS BRUTOS'!EO$3:EO$500)+IF($C20="",0,SUMIF('DADOS BRUTOS'!$A$3:$A$500,$C20,'DADOS BRUTOS'!EO$3:EO$500)))</f>
        <v/>
      </c>
      <c r="HP20" s="56">
        <f>IF(OR(HP$4="",$B20=""),0,SUMIF('DADOS BRUTOS'!$A$3:$A$500,$B20,'DADOS BRUTOS'!EP$3:EP$500)+IF($C20="",0,SUMIF('DADOS BRUTOS'!$A$3:$A$500,$C20,'DADOS BRUTOS'!EP$3:EP$500)))</f>
        <v/>
      </c>
      <c r="HQ20" s="56">
        <f>IF(OR(HQ$4="",$B20=""),0,SUMIF('DADOS BRUTOS'!$A$3:$A$500,$B20,'DADOS BRUTOS'!EQ$3:EQ$500)+IF($C20="",0,SUMIF('DADOS BRUTOS'!$A$3:$A$500,$C20,'DADOS BRUTOS'!EQ$3:EQ$500)))</f>
        <v/>
      </c>
      <c r="HR20" s="56">
        <f>IF(OR(HR$4="",$B20=""),0,SUMIF('DADOS BRUTOS'!$A$3:$A$500,$B20,'DADOS BRUTOS'!ER$3:ER$500)+IF($C20="",0,SUMIF('DADOS BRUTOS'!$A$3:$A$500,$C20,'DADOS BRUTOS'!ER$3:ER$500)))</f>
        <v/>
      </c>
      <c r="HS20" s="56">
        <f>IF(OR(HS$4="",$B20=""),0,SUMIF('DADOS BRUTOS'!$A$3:$A$500,$B20,'DADOS BRUTOS'!ES$3:ES$500)+IF($C20="",0,SUMIF('DADOS BRUTOS'!$A$3:$A$500,$C20,'DADOS BRUTOS'!ES$3:ES$500)))</f>
        <v/>
      </c>
      <c r="HT20" s="56">
        <f>IF(OR(HT$4="",$B20=""),0,SUMIF('DADOS BRUTOS'!$A$3:$A$500,$B20,'DADOS BRUTOS'!ET$3:ET$500)+IF($C20="",0,SUMIF('DADOS BRUTOS'!$A$3:$A$500,$C20,'DADOS BRUTOS'!ET$3:ET$500)))</f>
        <v/>
      </c>
      <c r="HU20" s="56">
        <f>IF(OR(HU$4="",$B20=""),0,SUMIF('DADOS BRUTOS'!$A$3:$A$500,$B20,'DADOS BRUTOS'!EU$3:EU$500)+IF($C20="",0,SUMIF('DADOS BRUTOS'!$A$3:$A$500,$C20,'DADOS BRUTOS'!EU$3:EU$500)))</f>
        <v/>
      </c>
      <c r="HV20" s="56">
        <f>IF(OR(HV$4="",$B20=""),0,SUMIF('DADOS BRUTOS'!$A$3:$A$500,$B20,'DADOS BRUTOS'!EV$3:EV$500)+IF($C20="",0,SUMIF('DADOS BRUTOS'!$A$3:$A$500,$C20,'DADOS BRUTOS'!EV$3:EV$500)))</f>
        <v/>
      </c>
      <c r="HW20" s="56">
        <f>IF(OR(HW$4="",$B20=""),0,SUMIF('DADOS BRUTOS'!$A$3:$A$500,$B20,'DADOS BRUTOS'!EW$3:EW$500)+IF($C20="",0,SUMIF('DADOS BRUTOS'!$A$3:$A$500,$C20,'DADOS BRUTOS'!EW$3:EW$500)))</f>
        <v/>
      </c>
      <c r="HX20" s="56">
        <f>IF(OR(HX$4="",$B20=""),0,SUMIF('DADOS BRUTOS'!$A$3:$A$500,$B20,'DADOS BRUTOS'!EX$3:EX$500)+IF($C20="",0,SUMIF('DADOS BRUTOS'!$A$3:$A$500,$C20,'DADOS BRUTOS'!EX$3:EX$500)))</f>
        <v/>
      </c>
      <c r="HY20" s="56">
        <f>IF(OR(HY$4="",$B20=""),0,SUMIF('DADOS BRUTOS'!$A$3:$A$500,$B20,'DADOS BRUTOS'!EY$3:EY$500)+IF($C20="",0,SUMIF('DADOS BRUTOS'!$A$3:$A$500,$C20,'DADOS BRUTOS'!EY$3:EY$500)))</f>
        <v/>
      </c>
      <c r="HZ20" s="56">
        <f>IF(OR(HZ$4="",$B20=""),0,SUMIF('DADOS BRUTOS'!$A$3:$A$500,$B20,'DADOS BRUTOS'!EZ$3:EZ$500)+IF($C20="",0,SUMIF('DADOS BRUTOS'!$A$3:$A$500,$C20,'DADOS BRUTOS'!EZ$3:EZ$500)))</f>
        <v/>
      </c>
      <c r="IA20" s="56">
        <f>IF(OR(IA$4="",$B20=""),0,SUMIF('DADOS BRUTOS'!$A$3:$A$500,$B20,'DADOS BRUTOS'!FA$3:FA$500)+IF($C20="",0,SUMIF('DADOS BRUTOS'!$A$3:$A$500,$C20,'DADOS BRUTOS'!FA$3:FA$500)))</f>
        <v/>
      </c>
      <c r="IB20" s="56">
        <f>IF(OR(IB$4="",$B20=""),0,SUMIF('DADOS BRUTOS'!$A$3:$A$500,$B20,'DADOS BRUTOS'!FB$3:FB$500)+IF($C20="",0,SUMIF('DADOS BRUTOS'!$A$3:$A$500,$C20,'DADOS BRUTOS'!FB$3:FB$500)))</f>
        <v/>
      </c>
      <c r="IC20" s="56">
        <f>IF(OR(IC$4="",$B20=""),0,SUMIF('DADOS BRUTOS'!$A$3:$A$500,$B20,'DADOS BRUTOS'!FC$3:FC$500)+IF($C20="",0,SUMIF('DADOS BRUTOS'!$A$3:$A$500,$C20,'DADOS BRUTOS'!FC$3:FC$500)))</f>
        <v/>
      </c>
      <c r="ID20" s="56">
        <f>IF(OR(ID$4="",$B20=""),0,SUMIF('DADOS BRUTOS'!$A$3:$A$500,$B20,'DADOS BRUTOS'!FD$3:FD$500)+IF($C20="",0,SUMIF('DADOS BRUTOS'!$A$3:$A$500,$C20,'DADOS BRUTOS'!FD$3:FD$500)))</f>
        <v/>
      </c>
      <c r="IE20" s="56">
        <f>IF(OR(IE$4="",$B20=""),0,SUMIF('DADOS BRUTOS'!$A$3:$A$500,$B20,'DADOS BRUTOS'!FE$3:FE$500)+IF($C20="",0,SUMIF('DADOS BRUTOS'!$A$3:$A$500,$C20,'DADOS BRUTOS'!FE$3:FE$500)))</f>
        <v/>
      </c>
      <c r="IF20" s="56">
        <f>IF(OR(IF$4="",$B20=""),0,SUMIF('DADOS BRUTOS'!$A$3:$A$500,$B20,'DADOS BRUTOS'!FF$3:FF$500)+IF($C20="",0,SUMIF('DADOS BRUTOS'!$A$3:$A$500,$C20,'DADOS BRUTOS'!FF$3:FF$500)))</f>
        <v/>
      </c>
      <c r="IG20" s="56">
        <f>IF(OR(IG$4="",$B20=""),0,SUMIF('DADOS BRUTOS'!$A$3:$A$500,$B20,'DADOS BRUTOS'!FG$3:FG$500)+IF($C20="",0,SUMIF('DADOS BRUTOS'!$A$3:$A$500,$C20,'DADOS BRUTOS'!FG$3:FG$500)))</f>
        <v/>
      </c>
      <c r="IH20" s="56">
        <f>IF(OR(IH$4="",$B20=""),0,SUMIF('DADOS BRUTOS'!$A$3:$A$500,$B20,'DADOS BRUTOS'!FH$3:FH$500)+IF($C20="",0,SUMIF('DADOS BRUTOS'!$A$3:$A$500,$C20,'DADOS BRUTOS'!FH$3:FH$500)))</f>
        <v/>
      </c>
      <c r="II20" s="56">
        <f>IF(OR(II$4="",$B20=""),0,SUMIF('DADOS BRUTOS'!$A$3:$A$500,$B20,'DADOS BRUTOS'!FI$3:FI$500)+IF($C20="",0,SUMIF('DADOS BRUTOS'!$A$3:$A$500,$C20,'DADOS BRUTOS'!FI$3:FI$500)))</f>
        <v/>
      </c>
      <c r="IJ20" s="56">
        <f>IF(OR(IJ$4="",$B20=""),0,SUMIF('DADOS BRUTOS'!$A$3:$A$500,$B20,'DADOS BRUTOS'!FJ$3:FJ$500)+IF($C20="",0,SUMIF('DADOS BRUTOS'!$A$3:$A$500,$C20,'DADOS BRUTOS'!FJ$3:FJ$500)))</f>
        <v/>
      </c>
      <c r="IK20" s="56">
        <f>IF(OR(IK$4="",$B20=""),0,SUMIF('DADOS BRUTOS'!$A$3:$A$500,$B20,'DADOS BRUTOS'!FK$3:FK$500)+IF($C20="",0,SUMIF('DADOS BRUTOS'!$A$3:$A$500,$C20,'DADOS BRUTOS'!FK$3:FK$500)))</f>
        <v/>
      </c>
      <c r="IL20" s="56">
        <f>IF(OR(IL$4="",$B20=""),0,SUMIF('DADOS BRUTOS'!$A$3:$A$500,$B20,'DADOS BRUTOS'!FL$3:FL$500)+IF($C20="",0,SUMIF('DADOS BRUTOS'!$A$3:$A$500,$C20,'DADOS BRUTOS'!FL$3:FL$500)))</f>
        <v/>
      </c>
      <c r="IM20" s="56">
        <f>IF(OR(IM$4="",$B20=""),0,SUMIF('DADOS BRUTOS'!$A$3:$A$500,$B20,'DADOS BRUTOS'!FM$3:FM$500)+IF($C20="",0,SUMIF('DADOS BRUTOS'!$A$3:$A$500,$C20,'DADOS BRUTOS'!FM$3:FM$500)))</f>
        <v/>
      </c>
      <c r="IN20" s="56">
        <f>IF(OR(IN$4="",$B20=""),0,SUMIF('DADOS BRUTOS'!$A$3:$A$500,$B20,'DADOS BRUTOS'!FN$3:FN$500)+IF($C20="",0,SUMIF('DADOS BRUTOS'!$A$3:$A$500,$C20,'DADOS BRUTOS'!FN$3:FN$500)))</f>
        <v/>
      </c>
      <c r="IO20" s="56">
        <f>IF(OR(IO$4="",$B20=""),0,SUMIF('DADOS BRUTOS'!$A$3:$A$500,$B20,'DADOS BRUTOS'!FO$3:FO$500)+IF($C20="",0,SUMIF('DADOS BRUTOS'!$A$3:$A$500,$C20,'DADOS BRUTOS'!FO$3:FO$500)))</f>
        <v/>
      </c>
      <c r="IP20" s="56">
        <f>IF(OR(IP$4="",$B20=""),0,SUMIF('DADOS BRUTOS'!$A$3:$A$500,$B20,'DADOS BRUTOS'!FP$3:FP$500)+IF($C20="",0,SUMIF('DADOS BRUTOS'!$A$3:$A$500,$C20,'DADOS BRUTOS'!FP$3:FP$500)))</f>
        <v/>
      </c>
      <c r="IQ20" s="56">
        <f>IF(OR(IQ$4="",$B20=""),0,SUMIF('DADOS BRUTOS'!$A$3:$A$500,$B20,'DADOS BRUTOS'!FQ$3:FQ$500)+IF($C20="",0,SUMIF('DADOS BRUTOS'!$A$3:$A$500,$C20,'DADOS BRUTOS'!FQ$3:FQ$500)))</f>
        <v/>
      </c>
      <c r="IR20" s="56">
        <f>IF(OR(IR$4="",$B20=""),0,SUMIF('DADOS BRUTOS'!$A$3:$A$500,$B20,'DADOS BRUTOS'!FR$3:FR$500)+IF($C20="",0,SUMIF('DADOS BRUTOS'!$A$3:$A$500,$C20,'DADOS BRUTOS'!FR$3:FR$500)))</f>
        <v/>
      </c>
      <c r="IS20" s="56">
        <f>IF(OR(IS$4="",$B20=""),0,SUMIF('DADOS BRUTOS'!$A$3:$A$500,$B20,'DADOS BRUTOS'!FS$3:FS$500)+IF($C20="",0,SUMIF('DADOS BRUTOS'!$A$3:$A$500,$C20,'DADOS BRUTOS'!FS$3:FS$500)))</f>
        <v/>
      </c>
      <c r="IT20" s="56">
        <f>IF(OR(IT$4="",$B20=""),0,SUMIF('DADOS BRUTOS'!$A$3:$A$500,$B20,'DADOS BRUTOS'!FT$3:FT$500)+IF($C20="",0,SUMIF('DADOS BRUTOS'!$A$3:$A$500,$C20,'DADOS BRUTOS'!FT$3:FT$500)))</f>
        <v/>
      </c>
      <c r="IU20" s="56">
        <f>IF(OR(IU$4="",$B20=""),0,SUMIF('DADOS BRUTOS'!$A$3:$A$500,$B20,'DADOS BRUTOS'!FU$3:FU$500)+IF($C20="",0,SUMIF('DADOS BRUTOS'!$A$3:$A$500,$C20,'DADOS BRUTOS'!FU$3:FU$500)))</f>
        <v/>
      </c>
      <c r="IV20" s="56">
        <f>IF(OR(IV$4="",$B20=""),0,SUMIF('DADOS BRUTOS'!$A$3:$A$500,$B20,'DADOS BRUTOS'!FV$3:FV$500)+IF($C20="",0,SUMIF('DADOS BRUTOS'!$A$3:$A$500,$C20,'DADOS BRUTOS'!FV$3:FV$500)))</f>
        <v/>
      </c>
      <c r="IW20" s="56">
        <f>IF(OR(IW$4="",$B20=""),0,SUMIF('DADOS BRUTOS'!$A$3:$A$500,$B20,'DADOS BRUTOS'!FW$3:FW$500)+IF($C20="",0,SUMIF('DADOS BRUTOS'!$A$3:$A$500,$C20,'DADOS BRUTOS'!FW$3:FW$500)))</f>
        <v/>
      </c>
      <c r="IX20" s="56">
        <f>IF(OR(IX$4="",$B20=""),0,SUMIF('DADOS BRUTOS'!$A$3:$A$500,$B20,'DADOS BRUTOS'!FX$3:FX$500)+IF($C20="",0,SUMIF('DADOS BRUTOS'!$A$3:$A$500,$C20,'DADOS BRUTOS'!FX$3:FX$500)))</f>
        <v/>
      </c>
      <c r="IY20" s="56">
        <f>IF(OR(IY$4="",$B20=""),0,SUMIF('DADOS BRUTOS'!$A$3:$A$500,$B20,'DADOS BRUTOS'!FY$3:FY$500)+IF($C20="",0,SUMIF('DADOS BRUTOS'!$A$3:$A$500,$C20,'DADOS BRUTOS'!FY$3:FY$500)))</f>
        <v/>
      </c>
      <c r="IZ20" s="56">
        <f>IF(OR(IZ$4="",$B20=""),0,SUMIF('DADOS BRUTOS'!$A$3:$A$500,$B20,'DADOS BRUTOS'!FZ$3:FZ$500)+IF($C20="",0,SUMIF('DADOS BRUTOS'!$A$3:$A$500,$C20,'DADOS BRUTOS'!FZ$3:FZ$500)))</f>
        <v/>
      </c>
      <c r="JA20" s="56">
        <f>IF(OR(JA$4="",$B20=""),0,SUMIF('DADOS BRUTOS'!$A$3:$A$500,$B20,'DADOS BRUTOS'!GA$3:GA$500)+IF($C20="",0,SUMIF('DADOS BRUTOS'!$A$3:$A$500,$C20,'DADOS BRUTOS'!GA$3:GA$500)))</f>
        <v/>
      </c>
      <c r="JB20" s="56">
        <f>IF(OR(JB$4="",$B20=""),0,SUMIF('DADOS BRUTOS'!$A$3:$A$500,$B20,'DADOS BRUTOS'!GB$3:GB$500)+IF($C20="",0,SUMIF('DADOS BRUTOS'!$A$3:$A$500,$C20,'DADOS BRUTOS'!GB$3:GB$500)))</f>
        <v/>
      </c>
      <c r="JC20" s="56">
        <f>IF(OR(JC$4="",$B20=""),0,SUMIF('DADOS BRUTOS'!$A$3:$A$500,$B20,'DADOS BRUTOS'!GC$3:GC$500)+IF($C20="",0,SUMIF('DADOS BRUTOS'!$A$3:$A$500,$C20,'DADOS BRUTOS'!GC$3:GC$500)))</f>
        <v/>
      </c>
      <c r="JD20" s="56">
        <f>IF(OR(JD$4="",$B20=""),0,SUMIF('DADOS BRUTOS'!$A$3:$A$500,$B20,'DADOS BRUTOS'!GD$3:GD$500)+IF($C20="",0,SUMIF('DADOS BRUTOS'!$A$3:$A$500,$C20,'DADOS BRUTOS'!GD$3:GD$500)))</f>
        <v/>
      </c>
      <c r="JE20" s="56">
        <f>IF(OR(JE$4="",$B20=""),0,SUMIF('DADOS BRUTOS'!$A$3:$A$500,$B20,'DADOS BRUTOS'!GE$3:GE$500)+IF($C20="",0,SUMIF('DADOS BRUTOS'!$A$3:$A$500,$C20,'DADOS BRUTOS'!GE$3:GE$500)))</f>
        <v/>
      </c>
      <c r="JF20" s="56">
        <f>IF(OR(JF$4="",$B20=""),0,SUMIF('DADOS BRUTOS'!$A$3:$A$500,$B20,'DADOS BRUTOS'!GF$3:GF$500)+IF($C20="",0,SUMIF('DADOS BRUTOS'!$A$3:$A$500,$C20,'DADOS BRUTOS'!GF$3:GF$500)))</f>
        <v/>
      </c>
      <c r="JG20" s="56">
        <f>IF(OR(JG$4="",$B20=""),0,SUMIF('DADOS BRUTOS'!$A$3:$A$500,$B20,'DADOS BRUTOS'!GG$3:GG$500)+IF($C20="",0,SUMIF('DADOS BRUTOS'!$A$3:$A$500,$C20,'DADOS BRUTOS'!GG$3:GG$500)))</f>
        <v/>
      </c>
      <c r="JH20" s="56">
        <f>IF(OR(JH$4="",$B20=""),0,SUMIF('DADOS BRUTOS'!$A$3:$A$500,$B20,'DADOS BRUTOS'!GH$3:GH$500)+IF($C20="",0,SUMIF('DADOS BRUTOS'!$A$3:$A$500,$C20,'DADOS BRUTOS'!GH$3:GH$500)))</f>
        <v/>
      </c>
      <c r="JI20" s="56">
        <f>IF(OR(JI$4="",$B20=""),0,SUMIF('DADOS BRUTOS'!$A$3:$A$500,$B20,'DADOS BRUTOS'!GI$3:GI$500)+IF($C20="",0,SUMIF('DADOS BRUTOS'!$A$3:$A$500,$C20,'DADOS BRUTOS'!GI$3:GI$500)))</f>
        <v/>
      </c>
      <c r="JJ20" s="56">
        <f>IF(OR(JJ$4="",$B20=""),0,SUMIF('DADOS BRUTOS'!$A$3:$A$500,$B20,'DADOS BRUTOS'!GJ$3:GJ$500)+IF($C20="",0,SUMIF('DADOS BRUTOS'!$A$3:$A$500,$C20,'DADOS BRUTOS'!GJ$3:GJ$500)))</f>
        <v/>
      </c>
      <c r="JK20" s="56">
        <f>IF(OR(JK$4="",$B20=""),0,SUMIF('DADOS BRUTOS'!$A$3:$A$500,$B20,'DADOS BRUTOS'!GK$3:GK$500)+IF($C20="",0,SUMIF('DADOS BRUTOS'!$A$3:$A$500,$C20,'DADOS BRUTOS'!GK$3:GK$500)))</f>
        <v/>
      </c>
      <c r="JL20" s="56">
        <f>IF(OR(JL$4="",$B20=""),0,SUMIF('DADOS BRUTOS'!$A$3:$A$500,$B20,'DADOS BRUTOS'!GL$3:GL$500)+IF($C20="",0,SUMIF('DADOS BRUTOS'!$A$3:$A$500,$C20,'DADOS BRUTOS'!GL$3:GL$500)))</f>
        <v/>
      </c>
      <c r="JM20" s="56">
        <f>IF(OR(JM$4="",$B20=""),0,SUMIF('DADOS BRUTOS'!$A$3:$A$500,$B20,'DADOS BRUTOS'!GM$3:GM$500)+IF($C20="",0,SUMIF('DADOS BRUTOS'!$A$3:$A$500,$C20,'DADOS BRUTOS'!GM$3:GM$500)))</f>
        <v/>
      </c>
      <c r="JN20" s="56">
        <f>IF(OR(JN$4="",$B20=""),0,SUMIF('DADOS BRUTOS'!$A$3:$A$500,$B20,'DADOS BRUTOS'!GN$3:GN$500)+IF($C20="",0,SUMIF('DADOS BRUTOS'!$A$3:$A$500,$C20,'DADOS BRUTOS'!GN$3:GN$500)))</f>
        <v/>
      </c>
      <c r="JO20" s="56">
        <f>IF(OR(JO$4="",$B20=""),0,SUMIF('DADOS BRUTOS'!$A$3:$A$500,$B20,'DADOS BRUTOS'!GO$3:GO$500)+IF($C20="",0,SUMIF('DADOS BRUTOS'!$A$3:$A$500,$C20,'DADOS BRUTOS'!GO$3:GO$500)))</f>
        <v/>
      </c>
      <c r="JP20" s="56">
        <f>IF(OR(JP$4="",$B20=""),0,SUMIF('DADOS BRUTOS'!$A$3:$A$500,$B20,'DADOS BRUTOS'!GP$3:GP$500)+IF($C20="",0,SUMIF('DADOS BRUTOS'!$A$3:$A$500,$C20,'DADOS BRUTOS'!GP$3:GP$500)))</f>
        <v/>
      </c>
      <c r="JQ20" s="56">
        <f>IF(OR(JQ$4="",$B20=""),0,SUMIF('DADOS BRUTOS'!$A$3:$A$500,$B20,'DADOS BRUTOS'!GQ$3:GQ$500)+IF($C20="",0,SUMIF('DADOS BRUTOS'!$A$3:$A$500,$C20,'DADOS BRUTOS'!GQ$3:GQ$500)))</f>
        <v/>
      </c>
      <c r="JR20" s="56">
        <f>IF(OR(JR$4="",$B20=""),0,SUMIF('DADOS BRUTOS'!$A$3:$A$500,$B20,'DADOS BRUTOS'!GR$3:GR$500)+IF($C20="",0,SUMIF('DADOS BRUTOS'!$A$3:$A$500,$C20,'DADOS BRUTOS'!GR$3:GR$500)))</f>
        <v/>
      </c>
      <c r="JS20" s="56">
        <f>IF(OR(JS$4="",$B20=""),0,SUMIF('DADOS BRUTOS'!$A$3:$A$500,$B20,'DADOS BRUTOS'!GS$3:GS$500)+IF($C20="",0,SUMIF('DADOS BRUTOS'!$A$3:$A$500,$C20,'DADOS BRUTOS'!GS$3:GS$500)))</f>
        <v/>
      </c>
    </row>
    <row r="21">
      <c r="A21" s="34">
        <f>'VALOR POR PL'!D27</f>
        <v/>
      </c>
      <c r="B21" s="21" t="inlineStr">
        <is>
          <t>ESTRUTURA EM CONTRETO ARMADO</t>
        </is>
      </c>
      <c r="C21" s="21" t="n"/>
      <c r="D21" s="17">
        <f>SUMIF($CB$4:$JS$4,"&lt;="&amp;D$4,$CB21:$JS21)</f>
        <v/>
      </c>
      <c r="E21" s="17">
        <f>SUMIF($CB$4:$JS$4,E$4,$CB21:$JS21)</f>
        <v/>
      </c>
      <c r="F21" s="17">
        <f>SUMIF($CB$4:$JS$4,F$4,$CB21:$JS21)</f>
        <v/>
      </c>
      <c r="G21" s="17">
        <f>SUMIF($CB$4:$JS$4,G$4,$CB21:$JS21)</f>
        <v/>
      </c>
      <c r="H21" s="17">
        <f>SUMIF($CB$4:$JS$4,H$4,$CB21:$JS21)</f>
        <v/>
      </c>
      <c r="I21" s="17">
        <f>SUMIF($CB$4:$JS$4,I$4,$CB21:$JS21)</f>
        <v/>
      </c>
      <c r="J21" s="17">
        <f>SUMIF($CB$4:$JS$4,J$4,$CB21:$JS21)</f>
        <v/>
      </c>
      <c r="K21" s="17">
        <f>SUMIF($CB$4:$JS$4,K$4,$CB21:$JS21)</f>
        <v/>
      </c>
      <c r="L21" s="17">
        <f>SUMIF($CB$4:$JS$4,L$4,$CB21:$JS21)</f>
        <v/>
      </c>
      <c r="M21" s="17">
        <f>SUMIF($CB$4:$JS$4,M$4,$CB21:$JS21)</f>
        <v/>
      </c>
      <c r="N21" s="17">
        <f>SUMIF($CB$4:$JS$4,N$4,$CB21:$JS21)</f>
        <v/>
      </c>
      <c r="O21" s="17">
        <f>SUMIF($CB$4:$JS$4,O$4,$CB21:$JS21)</f>
        <v/>
      </c>
      <c r="P21" s="17">
        <f>SUMIF($CB$4:$JS$4,P$4,$CB21:$JS21)</f>
        <v/>
      </c>
      <c r="Q21" s="17">
        <f>SUMIF($CB$4:$JS$4,Q$4,$CB21:$JS21)</f>
        <v/>
      </c>
      <c r="R21" s="17">
        <f>SUMIF($CB$4:$JS$4,R$4,$CB21:$JS21)</f>
        <v/>
      </c>
      <c r="S21" s="17">
        <f>SUMIF($CB$4:$JS$4,S$4,$CB21:$JS21)</f>
        <v/>
      </c>
      <c r="T21" s="17">
        <f>SUMIF($CB$4:$JS$4,T$4,$CB21:$JS21)</f>
        <v/>
      </c>
      <c r="U21" s="17">
        <f>SUMIF($CB$4:$JS$4,U$4,$CB21:$JS21)</f>
        <v/>
      </c>
      <c r="V21" s="17">
        <f>SUMIF($CB$4:$JS$4,V$4,$CB21:$JS21)</f>
        <v/>
      </c>
      <c r="W21" s="17">
        <f>SUMIF($CB$4:$JS$4,W$4,$CB21:$JS21)</f>
        <v/>
      </c>
      <c r="X21" s="17">
        <f>SUMIF($CB$4:$JS$4,X$4,$CB21:$JS21)</f>
        <v/>
      </c>
      <c r="Y21" s="17">
        <f>SUMIF($CB$4:$JS$4,Y$4,$CB21:$JS21)</f>
        <v/>
      </c>
      <c r="Z21" s="17">
        <f>SUMIF($CB$4:$JS$4,Z$4,$CB21:$JS21)</f>
        <v/>
      </c>
      <c r="AA21" s="17">
        <f>SUMIF($CB$4:$JS$4,AA$4,$CB21:$JS21)</f>
        <v/>
      </c>
      <c r="AB21" s="17">
        <f>SUMIF($CB$4:$JS$4,AB$4,$CB21:$JS21)</f>
        <v/>
      </c>
      <c r="AC21" s="17">
        <f>SUMIF($CB$4:$JS$4,AC$4,$CB21:$JS21)</f>
        <v/>
      </c>
      <c r="AD21" s="17">
        <f>SUMIF($CB$4:$JS$4,AD$4,$CB21:$JS21)</f>
        <v/>
      </c>
      <c r="AE21" s="17">
        <f>SUMIF($CB$4:$JS$4,AE$4,$CB21:$JS21)</f>
        <v/>
      </c>
      <c r="AF21" s="17">
        <f>SUMIF($CB$4:$JS$4,AF$4,$CB21:$JS21)</f>
        <v/>
      </c>
      <c r="AG21" s="17">
        <f>SUMIF($CB$4:$JS$4,AG$4,$CB21:$JS21)</f>
        <v/>
      </c>
      <c r="AH21" s="17">
        <f>SUMIF($CB$4:$JS$4,AH$4,$CB21:$JS21)</f>
        <v/>
      </c>
      <c r="AI21" s="17">
        <f>SUMIF($CB$4:$JS$4,AI$4,$CB21:$JS21)</f>
        <v/>
      </c>
      <c r="AJ21" s="17">
        <f>SUMIF($CB$4:$JS$4,AJ$4,$CB21:$JS21)</f>
        <v/>
      </c>
      <c r="AK21" s="17">
        <f>SUMIF($CB$4:$JS$4,AK$4,$CB21:$JS21)</f>
        <v/>
      </c>
      <c r="AL21" s="17">
        <f>SUMIF($CB$4:$JS$4,AL$4,$CB21:$JS21)</f>
        <v/>
      </c>
      <c r="AM21" s="17">
        <f>SUMIF($CB$4:$JS$4,AM$4,$CB21:$JS21)</f>
        <v/>
      </c>
      <c r="AN21" s="17">
        <f>SUMIF($CB$4:$JS$4,AN$4,$CB21:$JS21)</f>
        <v/>
      </c>
      <c r="AO21" s="17">
        <f>SUMIF($CB$4:$JS$4,AO$4,$CB21:$JS21)</f>
        <v/>
      </c>
      <c r="AP21" s="17">
        <f>SUMIF($CB$4:$JS$4,AP$4,$CB21:$JS21)</f>
        <v/>
      </c>
      <c r="AQ21" s="17">
        <f>SUMIF($CB$4:$JS$4,AQ$4,$CB21:$JS21)</f>
        <v/>
      </c>
      <c r="AR21" s="17">
        <f>SUMIF($CB$4:$JS$4,AR$4,$CB21:$JS21)</f>
        <v/>
      </c>
      <c r="AS21" s="17">
        <f>SUMIF($CB$4:$JS$4,AS$4,$CB21:$JS21)</f>
        <v/>
      </c>
      <c r="AT21" s="17">
        <f>SUMIF($CB$4:$JS$4,AT$4,$CB21:$JS21)</f>
        <v/>
      </c>
      <c r="AU21" s="17">
        <f>SUMIF($CB$4:$JS$4,AU$4,$CB21:$JS21)</f>
        <v/>
      </c>
      <c r="AV21" s="17">
        <f>SUMIF($CB$4:$JS$4,AV$4,$CB21:$JS21)</f>
        <v/>
      </c>
      <c r="AW21" s="17">
        <f>SUMIF($CB$4:$JS$4,AW$4,$CB21:$JS21)</f>
        <v/>
      </c>
      <c r="AX21" s="17">
        <f>SUMIF($CB$4:$JS$4,AX$4,$CB21:$JS21)</f>
        <v/>
      </c>
      <c r="AY21" s="17">
        <f>SUMIF($CB$4:$JS$4,AY$4,$CB21:$JS21)</f>
        <v/>
      </c>
      <c r="AZ21" s="17">
        <f>SUMIF($CB$4:$JS$4,AZ$4,$CB21:$JS21)</f>
        <v/>
      </c>
      <c r="BA21" s="17">
        <f>SUMIF($CB$4:$JS$4,BA$4,$CB21:$JS21)</f>
        <v/>
      </c>
      <c r="BB21" s="17">
        <f>SUMIF($CB$4:$JS$4,BB$4,$CB21:$JS21)</f>
        <v/>
      </c>
      <c r="BC21" s="17">
        <f>SUMIF($CB$4:$JS$4,BC$4,$CB21:$JS21)</f>
        <v/>
      </c>
      <c r="BD21" s="17">
        <f>SUMIF($CB$4:$JS$4,BD$4,$CB21:$JS21)</f>
        <v/>
      </c>
      <c r="BE21" s="17">
        <f>SUMIF($CB$4:$JS$4,BE$4,$CB21:$JS21)</f>
        <v/>
      </c>
      <c r="BF21" s="17">
        <f>SUMIF($CB$4:$JS$4,BF$4,$CB21:$JS21)</f>
        <v/>
      </c>
      <c r="BG21" s="17">
        <f>SUMIF($CB$4:$JS$4,BG$4,$CB21:$JS21)</f>
        <v/>
      </c>
      <c r="BH21" s="17">
        <f>SUMIF($CB$4:$JS$4,BH$4,$CB21:$JS21)</f>
        <v/>
      </c>
      <c r="BI21" s="17">
        <f>SUMIF($CB$4:$JS$4,BI$4,$CB21:$JS21)</f>
        <v/>
      </c>
      <c r="BJ21" s="17">
        <f>SUMIF($CB$4:$JS$4,BJ$4,$CB21:$JS21)</f>
        <v/>
      </c>
      <c r="BK21" s="17">
        <f>SUMIF($CB$4:$JS$4,BK$4,$CB21:$JS21)</f>
        <v/>
      </c>
      <c r="BL21" s="17">
        <f>SUMIF($CB$4:$JS$4,BL$4,$CB21:$JS21)</f>
        <v/>
      </c>
      <c r="BM21" s="17">
        <f>SUMIF($CB$4:$JS$4,BM$4,$CB21:$JS21)</f>
        <v/>
      </c>
      <c r="BN21" s="17">
        <f>SUMIF($CB$4:$JS$4,BN$4,$CB21:$JS21)</f>
        <v/>
      </c>
      <c r="BO21" s="17">
        <f>SUMIF($CB$4:$JS$4,BO$4,$CB21:$JS21)</f>
        <v/>
      </c>
      <c r="BP21" s="17">
        <f>SUMIF($CB$4:$JS$4,BP$4,$CB21:$JS21)</f>
        <v/>
      </c>
      <c r="BQ21" s="17">
        <f>SUMIF($CB$4:$JS$4,BQ$4,$CB21:$JS21)</f>
        <v/>
      </c>
      <c r="BR21" s="17">
        <f>SUMIF($CB$4:$JS$4,BR$4,$CB21:$JS21)</f>
        <v/>
      </c>
      <c r="BS21" s="17">
        <f>SUMIF($CB$4:$JS$4,BS$4,$CB21:$JS21)</f>
        <v/>
      </c>
      <c r="BT21" s="17">
        <f>SUMIF($CB$4:$JS$4,BT$4,$CB21:$JS21)</f>
        <v/>
      </c>
      <c r="BU21" s="17">
        <f>SUMIF($CB$4:$JS$4,BU$4,$CB21:$JS21)</f>
        <v/>
      </c>
      <c r="BV21" s="17">
        <f>SUMIF($CB$4:$JS$4,BV$4,$CB21:$JS21)</f>
        <v/>
      </c>
      <c r="BW21" s="17">
        <f>SUMIF($CB$4:$JS$4,BW$4,$CB21:$JS21)</f>
        <v/>
      </c>
      <c r="BX21" s="17">
        <f>SUMIF($CB$4:$JS$4,"&gt;"&amp;'VALOR POR PL'!$P$8,$CB21:$JS21)</f>
        <v/>
      </c>
      <c r="BY21" s="17">
        <f>SUM($CB21:$JS21)</f>
        <v/>
      </c>
      <c r="CB21" s="56">
        <f>IF(OR(CB$4="",$B21=""),0,SUMIF('DADOS BRUTOS'!$A$3:$A$500,$B21,'DADOS BRUTOS'!B$3:B$500)+IF($C21="",0,SUMIF('DADOS BRUTOS'!$A$3:$A$500,$C21,'DADOS BRUTOS'!B$3:B$500)))</f>
        <v/>
      </c>
      <c r="CC21" s="56">
        <f>IF(OR(CC$4="",$B21=""),0,SUMIF('DADOS BRUTOS'!$A$3:$A$500,$B21,'DADOS BRUTOS'!C$3:C$500)+IF($C21="",0,SUMIF('DADOS BRUTOS'!$A$3:$A$500,$C21,'DADOS BRUTOS'!C$3:C$500)))</f>
        <v/>
      </c>
      <c r="CD21" s="56">
        <f>IF(OR(CD$4="",$B21=""),0,SUMIF('DADOS BRUTOS'!$A$3:$A$500,$B21,'DADOS BRUTOS'!D$3:D$500)+IF($C21="",0,SUMIF('DADOS BRUTOS'!$A$3:$A$500,$C21,'DADOS BRUTOS'!D$3:D$500)))</f>
        <v/>
      </c>
      <c r="CE21" s="56">
        <f>IF(OR(CE$4="",$B21=""),0,SUMIF('DADOS BRUTOS'!$A$3:$A$500,$B21,'DADOS BRUTOS'!E$3:E$500)+IF($C21="",0,SUMIF('DADOS BRUTOS'!$A$3:$A$500,$C21,'DADOS BRUTOS'!E$3:E$500)))</f>
        <v/>
      </c>
      <c r="CF21" s="56">
        <f>IF(OR(CF$4="",$B21=""),0,SUMIF('DADOS BRUTOS'!$A$3:$A$500,$B21,'DADOS BRUTOS'!F$3:F$500)+IF($C21="",0,SUMIF('DADOS BRUTOS'!$A$3:$A$500,$C21,'DADOS BRUTOS'!F$3:F$500)))</f>
        <v/>
      </c>
      <c r="CG21" s="56">
        <f>IF(OR(CG$4="",$B21=""),0,SUMIF('DADOS BRUTOS'!$A$3:$A$500,$B21,'DADOS BRUTOS'!G$3:G$500)+IF($C21="",0,SUMIF('DADOS BRUTOS'!$A$3:$A$500,$C21,'DADOS BRUTOS'!G$3:G$500)))</f>
        <v/>
      </c>
      <c r="CH21" s="56">
        <f>IF(OR(CH$4="",$B21=""),0,SUMIF('DADOS BRUTOS'!$A$3:$A$500,$B21,'DADOS BRUTOS'!H$3:H$500)+IF($C21="",0,SUMIF('DADOS BRUTOS'!$A$3:$A$500,$C21,'DADOS BRUTOS'!H$3:H$500)))</f>
        <v/>
      </c>
      <c r="CI21" s="56">
        <f>IF(OR(CI$4="",$B21=""),0,SUMIF('DADOS BRUTOS'!$A$3:$A$500,$B21,'DADOS BRUTOS'!I$3:I$500)+IF($C21="",0,SUMIF('DADOS BRUTOS'!$A$3:$A$500,$C21,'DADOS BRUTOS'!I$3:I$500)))</f>
        <v/>
      </c>
      <c r="CJ21" s="56">
        <f>IF(OR(CJ$4="",$B21=""),0,SUMIF('DADOS BRUTOS'!$A$3:$A$500,$B21,'DADOS BRUTOS'!J$3:J$500)+IF($C21="",0,SUMIF('DADOS BRUTOS'!$A$3:$A$500,$C21,'DADOS BRUTOS'!J$3:J$500)))</f>
        <v/>
      </c>
      <c r="CK21" s="56">
        <f>IF(OR(CK$4="",$B21=""),0,SUMIF('DADOS BRUTOS'!$A$3:$A$500,$B21,'DADOS BRUTOS'!K$3:K$500)+IF($C21="",0,SUMIF('DADOS BRUTOS'!$A$3:$A$500,$C21,'DADOS BRUTOS'!K$3:K$500)))</f>
        <v/>
      </c>
      <c r="CL21" s="56">
        <f>IF(OR(CL$4="",$B21=""),0,SUMIF('DADOS BRUTOS'!$A$3:$A$500,$B21,'DADOS BRUTOS'!L$3:L$500)+IF($C21="",0,SUMIF('DADOS BRUTOS'!$A$3:$A$500,$C21,'DADOS BRUTOS'!L$3:L$500)))</f>
        <v/>
      </c>
      <c r="CM21" s="56">
        <f>IF(OR(CM$4="",$B21=""),0,SUMIF('DADOS BRUTOS'!$A$3:$A$500,$B21,'DADOS BRUTOS'!M$3:M$500)+IF($C21="",0,SUMIF('DADOS BRUTOS'!$A$3:$A$500,$C21,'DADOS BRUTOS'!M$3:M$500)))</f>
        <v/>
      </c>
      <c r="CN21" s="56">
        <f>IF(OR(CN$4="",$B21=""),0,SUMIF('DADOS BRUTOS'!$A$3:$A$500,$B21,'DADOS BRUTOS'!N$3:N$500)+IF($C21="",0,SUMIF('DADOS BRUTOS'!$A$3:$A$500,$C21,'DADOS BRUTOS'!N$3:N$500)))</f>
        <v/>
      </c>
      <c r="CO21" s="56">
        <f>IF(OR(CO$4="",$B21=""),0,SUMIF('DADOS BRUTOS'!$A$3:$A$500,$B21,'DADOS BRUTOS'!O$3:O$500)+IF($C21="",0,SUMIF('DADOS BRUTOS'!$A$3:$A$500,$C21,'DADOS BRUTOS'!O$3:O$500)))</f>
        <v/>
      </c>
      <c r="CP21" s="56">
        <f>IF(OR(CP$4="",$B21=""),0,SUMIF('DADOS BRUTOS'!$A$3:$A$500,$B21,'DADOS BRUTOS'!P$3:P$500)+IF($C21="",0,SUMIF('DADOS BRUTOS'!$A$3:$A$500,$C21,'DADOS BRUTOS'!P$3:P$500)))</f>
        <v/>
      </c>
      <c r="CQ21" s="56">
        <f>IF(OR(CQ$4="",$B21=""),0,SUMIF('DADOS BRUTOS'!$A$3:$A$500,$B21,'DADOS BRUTOS'!Q$3:Q$500)+IF($C21="",0,SUMIF('DADOS BRUTOS'!$A$3:$A$500,$C21,'DADOS BRUTOS'!Q$3:Q$500)))</f>
        <v/>
      </c>
      <c r="CR21" s="56">
        <f>IF(OR(CR$4="",$B21=""),0,SUMIF('DADOS BRUTOS'!$A$3:$A$500,$B21,'DADOS BRUTOS'!R$3:R$500)+IF($C21="",0,SUMIF('DADOS BRUTOS'!$A$3:$A$500,$C21,'DADOS BRUTOS'!R$3:R$500)))</f>
        <v/>
      </c>
      <c r="CS21" s="56">
        <f>IF(OR(CS$4="",$B21=""),0,SUMIF('DADOS BRUTOS'!$A$3:$A$500,$B21,'DADOS BRUTOS'!S$3:S$500)+IF($C21="",0,SUMIF('DADOS BRUTOS'!$A$3:$A$500,$C21,'DADOS BRUTOS'!S$3:S$500)))</f>
        <v/>
      </c>
      <c r="CT21" s="56">
        <f>IF(OR(CT$4="",$B21=""),0,SUMIF('DADOS BRUTOS'!$A$3:$A$500,$B21,'DADOS BRUTOS'!T$3:T$500)+IF($C21="",0,SUMIF('DADOS BRUTOS'!$A$3:$A$500,$C21,'DADOS BRUTOS'!T$3:T$500)))</f>
        <v/>
      </c>
      <c r="CU21" s="56">
        <f>IF(OR(CU$4="",$B21=""),0,SUMIF('DADOS BRUTOS'!$A$3:$A$500,$B21,'DADOS BRUTOS'!U$3:U$500)+IF($C21="",0,SUMIF('DADOS BRUTOS'!$A$3:$A$500,$C21,'DADOS BRUTOS'!U$3:U$500)))</f>
        <v/>
      </c>
      <c r="CV21" s="56">
        <f>IF(OR(CV$4="",$B21=""),0,SUMIF('DADOS BRUTOS'!$A$3:$A$500,$B21,'DADOS BRUTOS'!V$3:V$500)+IF($C21="",0,SUMIF('DADOS BRUTOS'!$A$3:$A$500,$C21,'DADOS BRUTOS'!V$3:V$500)))</f>
        <v/>
      </c>
      <c r="CW21" s="56">
        <f>IF(OR(CW$4="",$B21=""),0,SUMIF('DADOS BRUTOS'!$A$3:$A$500,$B21,'DADOS BRUTOS'!W$3:W$500)+IF($C21="",0,SUMIF('DADOS BRUTOS'!$A$3:$A$500,$C21,'DADOS BRUTOS'!W$3:W$500)))</f>
        <v/>
      </c>
      <c r="CX21" s="56">
        <f>IF(OR(CX$4="",$B21=""),0,SUMIF('DADOS BRUTOS'!$A$3:$A$500,$B21,'DADOS BRUTOS'!X$3:X$500)+IF($C21="",0,SUMIF('DADOS BRUTOS'!$A$3:$A$500,$C21,'DADOS BRUTOS'!X$3:X$500)))</f>
        <v/>
      </c>
      <c r="CY21" s="56">
        <f>IF(OR(CY$4="",$B21=""),0,SUMIF('DADOS BRUTOS'!$A$3:$A$500,$B21,'DADOS BRUTOS'!Y$3:Y$500)+IF($C21="",0,SUMIF('DADOS BRUTOS'!$A$3:$A$500,$C21,'DADOS BRUTOS'!Y$3:Y$500)))</f>
        <v/>
      </c>
      <c r="CZ21" s="56">
        <f>IF(OR(CZ$4="",$B21=""),0,SUMIF('DADOS BRUTOS'!$A$3:$A$500,$B21,'DADOS BRUTOS'!Z$3:Z$500)+IF($C21="",0,SUMIF('DADOS BRUTOS'!$A$3:$A$500,$C21,'DADOS BRUTOS'!Z$3:Z$500)))</f>
        <v/>
      </c>
      <c r="DA21" s="56">
        <f>IF(OR(DA$4="",$B21=""),0,SUMIF('DADOS BRUTOS'!$A$3:$A$500,$B21,'DADOS BRUTOS'!AA$3:AA$500)+IF($C21="",0,SUMIF('DADOS BRUTOS'!$A$3:$A$500,$C21,'DADOS BRUTOS'!AA$3:AA$500)))</f>
        <v/>
      </c>
      <c r="DB21" s="56">
        <f>IF(OR(DB$4="",$B21=""),0,SUMIF('DADOS BRUTOS'!$A$3:$A$500,$B21,'DADOS BRUTOS'!AB$3:AB$500)+IF($C21="",0,SUMIF('DADOS BRUTOS'!$A$3:$A$500,$C21,'DADOS BRUTOS'!AB$3:AB$500)))</f>
        <v/>
      </c>
      <c r="DC21" s="56">
        <f>IF(OR(DC$4="",$B21=""),0,SUMIF('DADOS BRUTOS'!$A$3:$A$500,$B21,'DADOS BRUTOS'!AC$3:AC$500)+IF($C21="",0,SUMIF('DADOS BRUTOS'!$A$3:$A$500,$C21,'DADOS BRUTOS'!AC$3:AC$500)))</f>
        <v/>
      </c>
      <c r="DD21" s="56">
        <f>IF(OR(DD$4="",$B21=""),0,SUMIF('DADOS BRUTOS'!$A$3:$A$500,$B21,'DADOS BRUTOS'!AD$3:AD$500)+IF($C21="",0,SUMIF('DADOS BRUTOS'!$A$3:$A$500,$C21,'DADOS BRUTOS'!AD$3:AD$500)))</f>
        <v/>
      </c>
      <c r="DE21" s="56">
        <f>IF(OR(DE$4="",$B21=""),0,SUMIF('DADOS BRUTOS'!$A$3:$A$500,$B21,'DADOS BRUTOS'!AE$3:AE$500)+IF($C21="",0,SUMIF('DADOS BRUTOS'!$A$3:$A$500,$C21,'DADOS BRUTOS'!AE$3:AE$500)))</f>
        <v/>
      </c>
      <c r="DF21" s="56">
        <f>IF(OR(DF$4="",$B21=""),0,SUMIF('DADOS BRUTOS'!$A$3:$A$500,$B21,'DADOS BRUTOS'!AF$3:AF$500)+IF($C21="",0,SUMIF('DADOS BRUTOS'!$A$3:$A$500,$C21,'DADOS BRUTOS'!AF$3:AF$500)))</f>
        <v/>
      </c>
      <c r="DG21" s="56">
        <f>IF(OR(DG$4="",$B21=""),0,SUMIF('DADOS BRUTOS'!$A$3:$A$500,$B21,'DADOS BRUTOS'!AG$3:AG$500)+IF($C21="",0,SUMIF('DADOS BRUTOS'!$A$3:$A$500,$C21,'DADOS BRUTOS'!AG$3:AG$500)))</f>
        <v/>
      </c>
      <c r="DH21" s="56">
        <f>IF(OR(DH$4="",$B21=""),0,SUMIF('DADOS BRUTOS'!$A$3:$A$500,$B21,'DADOS BRUTOS'!AH$3:AH$500)+IF($C21="",0,SUMIF('DADOS BRUTOS'!$A$3:$A$500,$C21,'DADOS BRUTOS'!AH$3:AH$500)))</f>
        <v/>
      </c>
      <c r="DI21" s="56">
        <f>IF(OR(DI$4="",$B21=""),0,SUMIF('DADOS BRUTOS'!$A$3:$A$500,$B21,'DADOS BRUTOS'!AI$3:AI$500)+IF($C21="",0,SUMIF('DADOS BRUTOS'!$A$3:$A$500,$C21,'DADOS BRUTOS'!AI$3:AI$500)))</f>
        <v/>
      </c>
      <c r="DJ21" s="56">
        <f>IF(OR(DJ$4="",$B21=""),0,SUMIF('DADOS BRUTOS'!$A$3:$A$500,$B21,'DADOS BRUTOS'!AJ$3:AJ$500)+IF($C21="",0,SUMIF('DADOS BRUTOS'!$A$3:$A$500,$C21,'DADOS BRUTOS'!AJ$3:AJ$500)))</f>
        <v/>
      </c>
      <c r="DK21" s="56">
        <f>IF(OR(DK$4="",$B21=""),0,SUMIF('DADOS BRUTOS'!$A$3:$A$500,$B21,'DADOS BRUTOS'!AK$3:AK$500)+IF($C21="",0,SUMIF('DADOS BRUTOS'!$A$3:$A$500,$C21,'DADOS BRUTOS'!AK$3:AK$500)))</f>
        <v/>
      </c>
      <c r="DL21" s="56">
        <f>IF(OR(DL$4="",$B21=""),0,SUMIF('DADOS BRUTOS'!$A$3:$A$500,$B21,'DADOS BRUTOS'!AL$3:AL$500)+IF($C21="",0,SUMIF('DADOS BRUTOS'!$A$3:$A$500,$C21,'DADOS BRUTOS'!AL$3:AL$500)))</f>
        <v/>
      </c>
      <c r="DM21" s="56">
        <f>IF(OR(DM$4="",$B21=""),0,SUMIF('DADOS BRUTOS'!$A$3:$A$500,$B21,'DADOS BRUTOS'!AM$3:AM$500)+IF($C21="",0,SUMIF('DADOS BRUTOS'!$A$3:$A$500,$C21,'DADOS BRUTOS'!AM$3:AM$500)))</f>
        <v/>
      </c>
      <c r="DN21" s="56">
        <f>IF(OR(DN$4="",$B21=""),0,SUMIF('DADOS BRUTOS'!$A$3:$A$500,$B21,'DADOS BRUTOS'!AN$3:AN$500)+IF($C21="",0,SUMIF('DADOS BRUTOS'!$A$3:$A$500,$C21,'DADOS BRUTOS'!AN$3:AN$500)))</f>
        <v/>
      </c>
      <c r="DO21" s="56">
        <f>IF(OR(DO$4="",$B21=""),0,SUMIF('DADOS BRUTOS'!$A$3:$A$500,$B21,'DADOS BRUTOS'!AO$3:AO$500)+IF($C21="",0,SUMIF('DADOS BRUTOS'!$A$3:$A$500,$C21,'DADOS BRUTOS'!AO$3:AO$500)))</f>
        <v/>
      </c>
      <c r="DP21" s="56">
        <f>IF(OR(DP$4="",$B21=""),0,SUMIF('DADOS BRUTOS'!$A$3:$A$500,$B21,'DADOS BRUTOS'!AP$3:AP$500)+IF($C21="",0,SUMIF('DADOS BRUTOS'!$A$3:$A$500,$C21,'DADOS BRUTOS'!AP$3:AP$500)))</f>
        <v/>
      </c>
      <c r="DQ21" s="56">
        <f>IF(OR(DQ$4="",$B21=""),0,SUMIF('DADOS BRUTOS'!$A$3:$A$500,$B21,'DADOS BRUTOS'!AQ$3:AQ$500)+IF($C21="",0,SUMIF('DADOS BRUTOS'!$A$3:$A$500,$C21,'DADOS BRUTOS'!AQ$3:AQ$500)))</f>
        <v/>
      </c>
      <c r="DR21" s="56">
        <f>IF(OR(DR$4="",$B21=""),0,SUMIF('DADOS BRUTOS'!$A$3:$A$500,$B21,'DADOS BRUTOS'!AR$3:AR$500)+IF($C21="",0,SUMIF('DADOS BRUTOS'!$A$3:$A$500,$C21,'DADOS BRUTOS'!AR$3:AR$500)))</f>
        <v/>
      </c>
      <c r="DS21" s="56">
        <f>IF(OR(DS$4="",$B21=""),0,SUMIF('DADOS BRUTOS'!$A$3:$A$500,$B21,'DADOS BRUTOS'!AS$3:AS$500)+IF($C21="",0,SUMIF('DADOS BRUTOS'!$A$3:$A$500,$C21,'DADOS BRUTOS'!AS$3:AS$500)))</f>
        <v/>
      </c>
      <c r="DT21" s="56">
        <f>IF(OR(DT$4="",$B21=""),0,SUMIF('DADOS BRUTOS'!$A$3:$A$500,$B21,'DADOS BRUTOS'!AT$3:AT$500)+IF($C21="",0,SUMIF('DADOS BRUTOS'!$A$3:$A$500,$C21,'DADOS BRUTOS'!AT$3:AT$500)))</f>
        <v/>
      </c>
      <c r="DU21" s="56">
        <f>IF(OR(DU$4="",$B21=""),0,SUMIF('DADOS BRUTOS'!$A$3:$A$500,$B21,'DADOS BRUTOS'!AU$3:AU$500)+IF($C21="",0,SUMIF('DADOS BRUTOS'!$A$3:$A$500,$C21,'DADOS BRUTOS'!AU$3:AU$500)))</f>
        <v/>
      </c>
      <c r="DV21" s="56">
        <f>IF(OR(DV$4="",$B21=""),0,SUMIF('DADOS BRUTOS'!$A$3:$A$500,$B21,'DADOS BRUTOS'!AV$3:AV$500)+IF($C21="",0,SUMIF('DADOS BRUTOS'!$A$3:$A$500,$C21,'DADOS BRUTOS'!AV$3:AV$500)))</f>
        <v/>
      </c>
      <c r="DW21" s="56">
        <f>IF(OR(DW$4="",$B21=""),0,SUMIF('DADOS BRUTOS'!$A$3:$A$500,$B21,'DADOS BRUTOS'!AW$3:AW$500)+IF($C21="",0,SUMIF('DADOS BRUTOS'!$A$3:$A$500,$C21,'DADOS BRUTOS'!AW$3:AW$500)))</f>
        <v/>
      </c>
      <c r="DX21" s="56">
        <f>IF(OR(DX$4="",$B21=""),0,SUMIF('DADOS BRUTOS'!$A$3:$A$500,$B21,'DADOS BRUTOS'!AX$3:AX$500)+IF($C21="",0,SUMIF('DADOS BRUTOS'!$A$3:$A$500,$C21,'DADOS BRUTOS'!AX$3:AX$500)))</f>
        <v/>
      </c>
      <c r="DY21" s="56">
        <f>IF(OR(DY$4="",$B21=""),0,SUMIF('DADOS BRUTOS'!$A$3:$A$500,$B21,'DADOS BRUTOS'!AY$3:AY$500)+IF($C21="",0,SUMIF('DADOS BRUTOS'!$A$3:$A$500,$C21,'DADOS BRUTOS'!AY$3:AY$500)))</f>
        <v/>
      </c>
      <c r="DZ21" s="56">
        <f>IF(OR(DZ$4="",$B21=""),0,SUMIF('DADOS BRUTOS'!$A$3:$A$500,$B21,'DADOS BRUTOS'!AZ$3:AZ$500)+IF($C21="",0,SUMIF('DADOS BRUTOS'!$A$3:$A$500,$C21,'DADOS BRUTOS'!AZ$3:AZ$500)))</f>
        <v/>
      </c>
      <c r="EA21" s="56">
        <f>IF(OR(EA$4="",$B21=""),0,SUMIF('DADOS BRUTOS'!$A$3:$A$500,$B21,'DADOS BRUTOS'!BA$3:BA$500)+IF($C21="",0,SUMIF('DADOS BRUTOS'!$A$3:$A$500,$C21,'DADOS BRUTOS'!BA$3:BA$500)))</f>
        <v/>
      </c>
      <c r="EB21" s="56">
        <f>IF(OR(EB$4="",$B21=""),0,SUMIF('DADOS BRUTOS'!$A$3:$A$500,$B21,'DADOS BRUTOS'!BB$3:BB$500)+IF($C21="",0,SUMIF('DADOS BRUTOS'!$A$3:$A$500,$C21,'DADOS BRUTOS'!BB$3:BB$500)))</f>
        <v/>
      </c>
      <c r="EC21" s="56">
        <f>IF(OR(EC$4="",$B21=""),0,SUMIF('DADOS BRUTOS'!$A$3:$A$500,$B21,'DADOS BRUTOS'!BC$3:BC$500)+IF($C21="",0,SUMIF('DADOS BRUTOS'!$A$3:$A$500,$C21,'DADOS BRUTOS'!BC$3:BC$500)))</f>
        <v/>
      </c>
      <c r="ED21" s="56">
        <f>IF(OR(ED$4="",$B21=""),0,SUMIF('DADOS BRUTOS'!$A$3:$A$500,$B21,'DADOS BRUTOS'!BD$3:BD$500)+IF($C21="",0,SUMIF('DADOS BRUTOS'!$A$3:$A$500,$C21,'DADOS BRUTOS'!BD$3:BD$500)))</f>
        <v/>
      </c>
      <c r="EE21" s="56">
        <f>IF(OR(EE$4="",$B21=""),0,SUMIF('DADOS BRUTOS'!$A$3:$A$500,$B21,'DADOS BRUTOS'!BE$3:BE$500)+IF($C21="",0,SUMIF('DADOS BRUTOS'!$A$3:$A$500,$C21,'DADOS BRUTOS'!BE$3:BE$500)))</f>
        <v/>
      </c>
      <c r="EF21" s="56">
        <f>IF(OR(EF$4="",$B21=""),0,SUMIF('DADOS BRUTOS'!$A$3:$A$500,$B21,'DADOS BRUTOS'!BF$3:BF$500)+IF($C21="",0,SUMIF('DADOS BRUTOS'!$A$3:$A$500,$C21,'DADOS BRUTOS'!BF$3:BF$500)))</f>
        <v/>
      </c>
      <c r="EG21" s="56">
        <f>IF(OR(EG$4="",$B21=""),0,SUMIF('DADOS BRUTOS'!$A$3:$A$500,$B21,'DADOS BRUTOS'!BG$3:BG$500)+IF($C21="",0,SUMIF('DADOS BRUTOS'!$A$3:$A$500,$C21,'DADOS BRUTOS'!BG$3:BG$500)))</f>
        <v/>
      </c>
      <c r="EH21" s="56">
        <f>IF(OR(EH$4="",$B21=""),0,SUMIF('DADOS BRUTOS'!$A$3:$A$500,$B21,'DADOS BRUTOS'!BH$3:BH$500)+IF($C21="",0,SUMIF('DADOS BRUTOS'!$A$3:$A$500,$C21,'DADOS BRUTOS'!BH$3:BH$500)))</f>
        <v/>
      </c>
      <c r="EI21" s="56">
        <f>IF(OR(EI$4="",$B21=""),0,SUMIF('DADOS BRUTOS'!$A$3:$A$500,$B21,'DADOS BRUTOS'!BI$3:BI$500)+IF($C21="",0,SUMIF('DADOS BRUTOS'!$A$3:$A$500,$C21,'DADOS BRUTOS'!BI$3:BI$500)))</f>
        <v/>
      </c>
      <c r="EJ21" s="56">
        <f>IF(OR(EJ$4="",$B21=""),0,SUMIF('DADOS BRUTOS'!$A$3:$A$500,$B21,'DADOS BRUTOS'!BJ$3:BJ$500)+IF($C21="",0,SUMIF('DADOS BRUTOS'!$A$3:$A$500,$C21,'DADOS BRUTOS'!BJ$3:BJ$500)))</f>
        <v/>
      </c>
      <c r="EK21" s="56">
        <f>IF(OR(EK$4="",$B21=""),0,SUMIF('DADOS BRUTOS'!$A$3:$A$500,$B21,'DADOS BRUTOS'!BK$3:BK$500)+IF($C21="",0,SUMIF('DADOS BRUTOS'!$A$3:$A$500,$C21,'DADOS BRUTOS'!BK$3:BK$500)))</f>
        <v/>
      </c>
      <c r="EL21" s="56">
        <f>IF(OR(EL$4="",$B21=""),0,SUMIF('DADOS BRUTOS'!$A$3:$A$500,$B21,'DADOS BRUTOS'!BL$3:BL$500)+IF($C21="",0,SUMIF('DADOS BRUTOS'!$A$3:$A$500,$C21,'DADOS BRUTOS'!BL$3:BL$500)))</f>
        <v/>
      </c>
      <c r="EM21" s="56">
        <f>IF(OR(EM$4="",$B21=""),0,SUMIF('DADOS BRUTOS'!$A$3:$A$500,$B21,'DADOS BRUTOS'!BM$3:BM$500)+IF($C21="",0,SUMIF('DADOS BRUTOS'!$A$3:$A$500,$C21,'DADOS BRUTOS'!BM$3:BM$500)))</f>
        <v/>
      </c>
      <c r="EN21" s="56">
        <f>IF(OR(EN$4="",$B21=""),0,SUMIF('DADOS BRUTOS'!$A$3:$A$500,$B21,'DADOS BRUTOS'!BN$3:BN$500)+IF($C21="",0,SUMIF('DADOS BRUTOS'!$A$3:$A$500,$C21,'DADOS BRUTOS'!BN$3:BN$500)))</f>
        <v/>
      </c>
      <c r="EO21" s="56">
        <f>IF(OR(EO$4="",$B21=""),0,SUMIF('DADOS BRUTOS'!$A$3:$A$500,$B21,'DADOS BRUTOS'!BO$3:BO$500)+IF($C21="",0,SUMIF('DADOS BRUTOS'!$A$3:$A$500,$C21,'DADOS BRUTOS'!BO$3:BO$500)))</f>
        <v/>
      </c>
      <c r="EP21" s="56">
        <f>IF(OR(EP$4="",$B21=""),0,SUMIF('DADOS BRUTOS'!$A$3:$A$500,$B21,'DADOS BRUTOS'!BP$3:BP$500)+IF($C21="",0,SUMIF('DADOS BRUTOS'!$A$3:$A$500,$C21,'DADOS BRUTOS'!BP$3:BP$500)))</f>
        <v/>
      </c>
      <c r="EQ21" s="56">
        <f>IF(OR(EQ$4="",$B21=""),0,SUMIF('DADOS BRUTOS'!$A$3:$A$500,$B21,'DADOS BRUTOS'!BQ$3:BQ$500)+IF($C21="",0,SUMIF('DADOS BRUTOS'!$A$3:$A$500,$C21,'DADOS BRUTOS'!BQ$3:BQ$500)))</f>
        <v/>
      </c>
      <c r="ER21" s="56">
        <f>IF(OR(ER$4="",$B21=""),0,SUMIF('DADOS BRUTOS'!$A$3:$A$500,$B21,'DADOS BRUTOS'!BR$3:BR$500)+IF($C21="",0,SUMIF('DADOS BRUTOS'!$A$3:$A$500,$C21,'DADOS BRUTOS'!BR$3:BR$500)))</f>
        <v/>
      </c>
      <c r="ES21" s="56">
        <f>IF(OR(ES$4="",$B21=""),0,SUMIF('DADOS BRUTOS'!$A$3:$A$500,$B21,'DADOS BRUTOS'!BS$3:BS$500)+IF($C21="",0,SUMIF('DADOS BRUTOS'!$A$3:$A$500,$C21,'DADOS BRUTOS'!BS$3:BS$500)))</f>
        <v/>
      </c>
      <c r="ET21" s="56">
        <f>IF(OR(ET$4="",$B21=""),0,SUMIF('DADOS BRUTOS'!$A$3:$A$500,$B21,'DADOS BRUTOS'!BT$3:BT$500)+IF($C21="",0,SUMIF('DADOS BRUTOS'!$A$3:$A$500,$C21,'DADOS BRUTOS'!BT$3:BT$500)))</f>
        <v/>
      </c>
      <c r="EU21" s="56">
        <f>IF(OR(EU$4="",$B21=""),0,SUMIF('DADOS BRUTOS'!$A$3:$A$500,$B21,'DADOS BRUTOS'!BU$3:BU$500)+IF($C21="",0,SUMIF('DADOS BRUTOS'!$A$3:$A$500,$C21,'DADOS BRUTOS'!BU$3:BU$500)))</f>
        <v/>
      </c>
      <c r="EV21" s="56">
        <f>IF(OR(EV$4="",$B21=""),0,SUMIF('DADOS BRUTOS'!$A$3:$A$500,$B21,'DADOS BRUTOS'!BV$3:BV$500)+IF($C21="",0,SUMIF('DADOS BRUTOS'!$A$3:$A$500,$C21,'DADOS BRUTOS'!BV$3:BV$500)))</f>
        <v/>
      </c>
      <c r="EW21" s="56">
        <f>IF(OR(EW$4="",$B21=""),0,SUMIF('DADOS BRUTOS'!$A$3:$A$500,$B21,'DADOS BRUTOS'!BW$3:BW$500)+IF($C21="",0,SUMIF('DADOS BRUTOS'!$A$3:$A$500,$C21,'DADOS BRUTOS'!BW$3:BW$500)))</f>
        <v/>
      </c>
      <c r="EX21" s="56">
        <f>IF(OR(EX$4="",$B21=""),0,SUMIF('DADOS BRUTOS'!$A$3:$A$500,$B21,'DADOS BRUTOS'!BX$3:BX$500)+IF($C21="",0,SUMIF('DADOS BRUTOS'!$A$3:$A$500,$C21,'DADOS BRUTOS'!BX$3:BX$500)))</f>
        <v/>
      </c>
      <c r="EY21" s="56">
        <f>IF(OR(EY$4="",$B21=""),0,SUMIF('DADOS BRUTOS'!$A$3:$A$500,$B21,'DADOS BRUTOS'!BY$3:BY$500)+IF($C21="",0,SUMIF('DADOS BRUTOS'!$A$3:$A$500,$C21,'DADOS BRUTOS'!BY$3:BY$500)))</f>
        <v/>
      </c>
      <c r="EZ21" s="56">
        <f>IF(OR(EZ$4="",$B21=""),0,SUMIF('DADOS BRUTOS'!$A$3:$A$500,$B21,'DADOS BRUTOS'!BZ$3:BZ$500)+IF($C21="",0,SUMIF('DADOS BRUTOS'!$A$3:$A$500,$C21,'DADOS BRUTOS'!BZ$3:BZ$500)))</f>
        <v/>
      </c>
      <c r="FA21" s="56">
        <f>IF(OR(FA$4="",$B21=""),0,SUMIF('DADOS BRUTOS'!$A$3:$A$500,$B21,'DADOS BRUTOS'!CA$3:CA$500)+IF($C21="",0,SUMIF('DADOS BRUTOS'!$A$3:$A$500,$C21,'DADOS BRUTOS'!CA$3:CA$500)))</f>
        <v/>
      </c>
      <c r="FB21" s="56">
        <f>IF(OR(FB$4="",$B21=""),0,SUMIF('DADOS BRUTOS'!$A$3:$A$500,$B21,'DADOS BRUTOS'!CB$3:CB$500)+IF($C21="",0,SUMIF('DADOS BRUTOS'!$A$3:$A$500,$C21,'DADOS BRUTOS'!CB$3:CB$500)))</f>
        <v/>
      </c>
      <c r="FC21" s="56">
        <f>IF(OR(FC$4="",$B21=""),0,SUMIF('DADOS BRUTOS'!$A$3:$A$500,$B21,'DADOS BRUTOS'!CC$3:CC$500)+IF($C21="",0,SUMIF('DADOS BRUTOS'!$A$3:$A$500,$C21,'DADOS BRUTOS'!CC$3:CC$500)))</f>
        <v/>
      </c>
      <c r="FD21" s="56">
        <f>IF(OR(FD$4="",$B21=""),0,SUMIF('DADOS BRUTOS'!$A$3:$A$500,$B21,'DADOS BRUTOS'!CD$3:CD$500)+IF($C21="",0,SUMIF('DADOS BRUTOS'!$A$3:$A$500,$C21,'DADOS BRUTOS'!CD$3:CD$500)))</f>
        <v/>
      </c>
      <c r="FE21" s="56">
        <f>IF(OR(FE$4="",$B21=""),0,SUMIF('DADOS BRUTOS'!$A$3:$A$500,$B21,'DADOS BRUTOS'!CE$3:CE$500)+IF($C21="",0,SUMIF('DADOS BRUTOS'!$A$3:$A$500,$C21,'DADOS BRUTOS'!CE$3:CE$500)))</f>
        <v/>
      </c>
      <c r="FF21" s="56">
        <f>IF(OR(FF$4="",$B21=""),0,SUMIF('DADOS BRUTOS'!$A$3:$A$500,$B21,'DADOS BRUTOS'!CF$3:CF$500)+IF($C21="",0,SUMIF('DADOS BRUTOS'!$A$3:$A$500,$C21,'DADOS BRUTOS'!CF$3:CF$500)))</f>
        <v/>
      </c>
      <c r="FG21" s="56">
        <f>IF(OR(FG$4="",$B21=""),0,SUMIF('DADOS BRUTOS'!$A$3:$A$500,$B21,'DADOS BRUTOS'!CG$3:CG$500)+IF($C21="",0,SUMIF('DADOS BRUTOS'!$A$3:$A$500,$C21,'DADOS BRUTOS'!CG$3:CG$500)))</f>
        <v/>
      </c>
      <c r="FH21" s="56">
        <f>IF(OR(FH$4="",$B21=""),0,SUMIF('DADOS BRUTOS'!$A$3:$A$500,$B21,'DADOS BRUTOS'!CH$3:CH$500)+IF($C21="",0,SUMIF('DADOS BRUTOS'!$A$3:$A$500,$C21,'DADOS BRUTOS'!CH$3:CH$500)))</f>
        <v/>
      </c>
      <c r="FI21" s="56">
        <f>IF(OR(FI$4="",$B21=""),0,SUMIF('DADOS BRUTOS'!$A$3:$A$500,$B21,'DADOS BRUTOS'!CI$3:CI$500)+IF($C21="",0,SUMIF('DADOS BRUTOS'!$A$3:$A$500,$C21,'DADOS BRUTOS'!CI$3:CI$500)))</f>
        <v/>
      </c>
      <c r="FJ21" s="56">
        <f>IF(OR(FJ$4="",$B21=""),0,SUMIF('DADOS BRUTOS'!$A$3:$A$500,$B21,'DADOS BRUTOS'!CJ$3:CJ$500)+IF($C21="",0,SUMIF('DADOS BRUTOS'!$A$3:$A$500,$C21,'DADOS BRUTOS'!CJ$3:CJ$500)))</f>
        <v/>
      </c>
      <c r="FK21" s="56">
        <f>IF(OR(FK$4="",$B21=""),0,SUMIF('DADOS BRUTOS'!$A$3:$A$500,$B21,'DADOS BRUTOS'!CK$3:CK$500)+IF($C21="",0,SUMIF('DADOS BRUTOS'!$A$3:$A$500,$C21,'DADOS BRUTOS'!CK$3:CK$500)))</f>
        <v/>
      </c>
      <c r="FL21" s="56">
        <f>IF(OR(FL$4="",$B21=""),0,SUMIF('DADOS BRUTOS'!$A$3:$A$500,$B21,'DADOS BRUTOS'!CL$3:CL$500)+IF($C21="",0,SUMIF('DADOS BRUTOS'!$A$3:$A$500,$C21,'DADOS BRUTOS'!CL$3:CL$500)))</f>
        <v/>
      </c>
      <c r="FM21" s="56">
        <f>IF(OR(FM$4="",$B21=""),0,SUMIF('DADOS BRUTOS'!$A$3:$A$500,$B21,'DADOS BRUTOS'!CM$3:CM$500)+IF($C21="",0,SUMIF('DADOS BRUTOS'!$A$3:$A$500,$C21,'DADOS BRUTOS'!CM$3:CM$500)))</f>
        <v/>
      </c>
      <c r="FN21" s="56">
        <f>IF(OR(FN$4="",$B21=""),0,SUMIF('DADOS BRUTOS'!$A$3:$A$500,$B21,'DADOS BRUTOS'!CN$3:CN$500)+IF($C21="",0,SUMIF('DADOS BRUTOS'!$A$3:$A$500,$C21,'DADOS BRUTOS'!CN$3:CN$500)))</f>
        <v/>
      </c>
      <c r="FO21" s="56">
        <f>IF(OR(FO$4="",$B21=""),0,SUMIF('DADOS BRUTOS'!$A$3:$A$500,$B21,'DADOS BRUTOS'!CO$3:CO$500)+IF($C21="",0,SUMIF('DADOS BRUTOS'!$A$3:$A$500,$C21,'DADOS BRUTOS'!CO$3:CO$500)))</f>
        <v/>
      </c>
      <c r="FP21" s="56">
        <f>IF(OR(FP$4="",$B21=""),0,SUMIF('DADOS BRUTOS'!$A$3:$A$500,$B21,'DADOS BRUTOS'!CP$3:CP$500)+IF($C21="",0,SUMIF('DADOS BRUTOS'!$A$3:$A$500,$C21,'DADOS BRUTOS'!CP$3:CP$500)))</f>
        <v/>
      </c>
      <c r="FQ21" s="56">
        <f>IF(OR(FQ$4="",$B21=""),0,SUMIF('DADOS BRUTOS'!$A$3:$A$500,$B21,'DADOS BRUTOS'!CQ$3:CQ$500)+IF($C21="",0,SUMIF('DADOS BRUTOS'!$A$3:$A$500,$C21,'DADOS BRUTOS'!CQ$3:CQ$500)))</f>
        <v/>
      </c>
      <c r="FR21" s="56">
        <f>IF(OR(FR$4="",$B21=""),0,SUMIF('DADOS BRUTOS'!$A$3:$A$500,$B21,'DADOS BRUTOS'!CR$3:CR$500)+IF($C21="",0,SUMIF('DADOS BRUTOS'!$A$3:$A$500,$C21,'DADOS BRUTOS'!CR$3:CR$500)))</f>
        <v/>
      </c>
      <c r="FS21" s="56">
        <f>IF(OR(FS$4="",$B21=""),0,SUMIF('DADOS BRUTOS'!$A$3:$A$500,$B21,'DADOS BRUTOS'!CS$3:CS$500)+IF($C21="",0,SUMIF('DADOS BRUTOS'!$A$3:$A$500,$C21,'DADOS BRUTOS'!CS$3:CS$500)))</f>
        <v/>
      </c>
      <c r="FT21" s="56">
        <f>IF(OR(FT$4="",$B21=""),0,SUMIF('DADOS BRUTOS'!$A$3:$A$500,$B21,'DADOS BRUTOS'!CT$3:CT$500)+IF($C21="",0,SUMIF('DADOS BRUTOS'!$A$3:$A$500,$C21,'DADOS BRUTOS'!CT$3:CT$500)))</f>
        <v/>
      </c>
      <c r="FU21" s="56">
        <f>IF(OR(FU$4="",$B21=""),0,SUMIF('DADOS BRUTOS'!$A$3:$A$500,$B21,'DADOS BRUTOS'!CU$3:CU$500)+IF($C21="",0,SUMIF('DADOS BRUTOS'!$A$3:$A$500,$C21,'DADOS BRUTOS'!CU$3:CU$500)))</f>
        <v/>
      </c>
      <c r="FV21" s="56">
        <f>IF(OR(FV$4="",$B21=""),0,SUMIF('DADOS BRUTOS'!$A$3:$A$500,$B21,'DADOS BRUTOS'!CV$3:CV$500)+IF($C21="",0,SUMIF('DADOS BRUTOS'!$A$3:$A$500,$C21,'DADOS BRUTOS'!CV$3:CV$500)))</f>
        <v/>
      </c>
      <c r="FW21" s="56">
        <f>IF(OR(FW$4="",$B21=""),0,SUMIF('DADOS BRUTOS'!$A$3:$A$500,$B21,'DADOS BRUTOS'!CW$3:CW$500)+IF($C21="",0,SUMIF('DADOS BRUTOS'!$A$3:$A$500,$C21,'DADOS BRUTOS'!CW$3:CW$500)))</f>
        <v/>
      </c>
      <c r="FX21" s="56">
        <f>IF(OR(FX$4="",$B21=""),0,SUMIF('DADOS BRUTOS'!$A$3:$A$500,$B21,'DADOS BRUTOS'!CX$3:CX$500)+IF($C21="",0,SUMIF('DADOS BRUTOS'!$A$3:$A$500,$C21,'DADOS BRUTOS'!CX$3:CX$500)))</f>
        <v/>
      </c>
      <c r="FY21" s="56">
        <f>IF(OR(FY$4="",$B21=""),0,SUMIF('DADOS BRUTOS'!$A$3:$A$500,$B21,'DADOS BRUTOS'!CY$3:CY$500)+IF($C21="",0,SUMIF('DADOS BRUTOS'!$A$3:$A$500,$C21,'DADOS BRUTOS'!CY$3:CY$500)))</f>
        <v/>
      </c>
      <c r="FZ21" s="56">
        <f>IF(OR(FZ$4="",$B21=""),0,SUMIF('DADOS BRUTOS'!$A$3:$A$500,$B21,'DADOS BRUTOS'!CZ$3:CZ$500)+IF($C21="",0,SUMIF('DADOS BRUTOS'!$A$3:$A$500,$C21,'DADOS BRUTOS'!CZ$3:CZ$500)))</f>
        <v/>
      </c>
      <c r="GA21" s="56">
        <f>IF(OR(GA$4="",$B21=""),0,SUMIF('DADOS BRUTOS'!$A$3:$A$500,$B21,'DADOS BRUTOS'!DA$3:DA$500)+IF($C21="",0,SUMIF('DADOS BRUTOS'!$A$3:$A$500,$C21,'DADOS BRUTOS'!DA$3:DA$500)))</f>
        <v/>
      </c>
      <c r="GB21" s="56">
        <f>IF(OR(GB$4="",$B21=""),0,SUMIF('DADOS BRUTOS'!$A$3:$A$500,$B21,'DADOS BRUTOS'!DB$3:DB$500)+IF($C21="",0,SUMIF('DADOS BRUTOS'!$A$3:$A$500,$C21,'DADOS BRUTOS'!DB$3:DB$500)))</f>
        <v/>
      </c>
      <c r="GC21" s="56">
        <f>IF(OR(GC$4="",$B21=""),0,SUMIF('DADOS BRUTOS'!$A$3:$A$500,$B21,'DADOS BRUTOS'!DC$3:DC$500)+IF($C21="",0,SUMIF('DADOS BRUTOS'!$A$3:$A$500,$C21,'DADOS BRUTOS'!DC$3:DC$500)))</f>
        <v/>
      </c>
      <c r="GD21" s="56">
        <f>IF(OR(GD$4="",$B21=""),0,SUMIF('DADOS BRUTOS'!$A$3:$A$500,$B21,'DADOS BRUTOS'!DD$3:DD$500)+IF($C21="",0,SUMIF('DADOS BRUTOS'!$A$3:$A$500,$C21,'DADOS BRUTOS'!DD$3:DD$500)))</f>
        <v/>
      </c>
      <c r="GE21" s="56">
        <f>IF(OR(GE$4="",$B21=""),0,SUMIF('DADOS BRUTOS'!$A$3:$A$500,$B21,'DADOS BRUTOS'!DE$3:DE$500)+IF($C21="",0,SUMIF('DADOS BRUTOS'!$A$3:$A$500,$C21,'DADOS BRUTOS'!DE$3:DE$500)))</f>
        <v/>
      </c>
      <c r="GF21" s="56">
        <f>IF(OR(GF$4="",$B21=""),0,SUMIF('DADOS BRUTOS'!$A$3:$A$500,$B21,'DADOS BRUTOS'!DF$3:DF$500)+IF($C21="",0,SUMIF('DADOS BRUTOS'!$A$3:$A$500,$C21,'DADOS BRUTOS'!DF$3:DF$500)))</f>
        <v/>
      </c>
      <c r="GG21" s="56">
        <f>IF(OR(GG$4="",$B21=""),0,SUMIF('DADOS BRUTOS'!$A$3:$A$500,$B21,'DADOS BRUTOS'!DG$3:DG$500)+IF($C21="",0,SUMIF('DADOS BRUTOS'!$A$3:$A$500,$C21,'DADOS BRUTOS'!DG$3:DG$500)))</f>
        <v/>
      </c>
      <c r="GH21" s="56">
        <f>IF(OR(GH$4="",$B21=""),0,SUMIF('DADOS BRUTOS'!$A$3:$A$500,$B21,'DADOS BRUTOS'!DH$3:DH$500)+IF($C21="",0,SUMIF('DADOS BRUTOS'!$A$3:$A$500,$C21,'DADOS BRUTOS'!DH$3:DH$500)))</f>
        <v/>
      </c>
      <c r="GI21" s="56">
        <f>IF(OR(GI$4="",$B21=""),0,SUMIF('DADOS BRUTOS'!$A$3:$A$500,$B21,'DADOS BRUTOS'!DI$3:DI$500)+IF($C21="",0,SUMIF('DADOS BRUTOS'!$A$3:$A$500,$C21,'DADOS BRUTOS'!DI$3:DI$500)))</f>
        <v/>
      </c>
      <c r="GJ21" s="56">
        <f>IF(OR(GJ$4="",$B21=""),0,SUMIF('DADOS BRUTOS'!$A$3:$A$500,$B21,'DADOS BRUTOS'!DJ$3:DJ$500)+IF($C21="",0,SUMIF('DADOS BRUTOS'!$A$3:$A$500,$C21,'DADOS BRUTOS'!DJ$3:DJ$500)))</f>
        <v/>
      </c>
      <c r="GK21" s="56">
        <f>IF(OR(GK$4="",$B21=""),0,SUMIF('DADOS BRUTOS'!$A$3:$A$500,$B21,'DADOS BRUTOS'!DK$3:DK$500)+IF($C21="",0,SUMIF('DADOS BRUTOS'!$A$3:$A$500,$C21,'DADOS BRUTOS'!DK$3:DK$500)))</f>
        <v/>
      </c>
      <c r="GL21" s="56">
        <f>IF(OR(GL$4="",$B21=""),0,SUMIF('DADOS BRUTOS'!$A$3:$A$500,$B21,'DADOS BRUTOS'!DL$3:DL$500)+IF($C21="",0,SUMIF('DADOS BRUTOS'!$A$3:$A$500,$C21,'DADOS BRUTOS'!DL$3:DL$500)))</f>
        <v/>
      </c>
      <c r="GM21" s="56">
        <f>IF(OR(GM$4="",$B21=""),0,SUMIF('DADOS BRUTOS'!$A$3:$A$500,$B21,'DADOS BRUTOS'!DM$3:DM$500)+IF($C21="",0,SUMIF('DADOS BRUTOS'!$A$3:$A$500,$C21,'DADOS BRUTOS'!DM$3:DM$500)))</f>
        <v/>
      </c>
      <c r="GN21" s="56">
        <f>IF(OR(GN$4="",$B21=""),0,SUMIF('DADOS BRUTOS'!$A$3:$A$500,$B21,'DADOS BRUTOS'!DN$3:DN$500)+IF($C21="",0,SUMIF('DADOS BRUTOS'!$A$3:$A$500,$C21,'DADOS BRUTOS'!DN$3:DN$500)))</f>
        <v/>
      </c>
      <c r="GO21" s="56">
        <f>IF(OR(GO$4="",$B21=""),0,SUMIF('DADOS BRUTOS'!$A$3:$A$500,$B21,'DADOS BRUTOS'!DO$3:DO$500)+IF($C21="",0,SUMIF('DADOS BRUTOS'!$A$3:$A$500,$C21,'DADOS BRUTOS'!DO$3:DO$500)))</f>
        <v/>
      </c>
      <c r="GP21" s="56">
        <f>IF(OR(GP$4="",$B21=""),0,SUMIF('DADOS BRUTOS'!$A$3:$A$500,$B21,'DADOS BRUTOS'!DP$3:DP$500)+IF($C21="",0,SUMIF('DADOS BRUTOS'!$A$3:$A$500,$C21,'DADOS BRUTOS'!DP$3:DP$500)))</f>
        <v/>
      </c>
      <c r="GQ21" s="56">
        <f>IF(OR(GQ$4="",$B21=""),0,SUMIF('DADOS BRUTOS'!$A$3:$A$500,$B21,'DADOS BRUTOS'!DQ$3:DQ$500)+IF($C21="",0,SUMIF('DADOS BRUTOS'!$A$3:$A$500,$C21,'DADOS BRUTOS'!DQ$3:DQ$500)))</f>
        <v/>
      </c>
      <c r="GR21" s="56">
        <f>IF(OR(GR$4="",$B21=""),0,SUMIF('DADOS BRUTOS'!$A$3:$A$500,$B21,'DADOS BRUTOS'!DR$3:DR$500)+IF($C21="",0,SUMIF('DADOS BRUTOS'!$A$3:$A$500,$C21,'DADOS BRUTOS'!DR$3:DR$500)))</f>
        <v/>
      </c>
      <c r="GS21" s="56">
        <f>IF(OR(GS$4="",$B21=""),0,SUMIF('DADOS BRUTOS'!$A$3:$A$500,$B21,'DADOS BRUTOS'!DS$3:DS$500)+IF($C21="",0,SUMIF('DADOS BRUTOS'!$A$3:$A$500,$C21,'DADOS BRUTOS'!DS$3:DS$500)))</f>
        <v/>
      </c>
      <c r="GT21" s="56">
        <f>IF(OR(GT$4="",$B21=""),0,SUMIF('DADOS BRUTOS'!$A$3:$A$500,$B21,'DADOS BRUTOS'!DT$3:DT$500)+IF($C21="",0,SUMIF('DADOS BRUTOS'!$A$3:$A$500,$C21,'DADOS BRUTOS'!DT$3:DT$500)))</f>
        <v/>
      </c>
      <c r="GU21" s="56">
        <f>IF(OR(GU$4="",$B21=""),0,SUMIF('DADOS BRUTOS'!$A$3:$A$500,$B21,'DADOS BRUTOS'!DU$3:DU$500)+IF($C21="",0,SUMIF('DADOS BRUTOS'!$A$3:$A$500,$C21,'DADOS BRUTOS'!DU$3:DU$500)))</f>
        <v/>
      </c>
      <c r="GV21" s="56">
        <f>IF(OR(GV$4="",$B21=""),0,SUMIF('DADOS BRUTOS'!$A$3:$A$500,$B21,'DADOS BRUTOS'!DV$3:DV$500)+IF($C21="",0,SUMIF('DADOS BRUTOS'!$A$3:$A$500,$C21,'DADOS BRUTOS'!DV$3:DV$500)))</f>
        <v/>
      </c>
      <c r="GW21" s="56">
        <f>IF(OR(GW$4="",$B21=""),0,SUMIF('DADOS BRUTOS'!$A$3:$A$500,$B21,'DADOS BRUTOS'!DW$3:DW$500)+IF($C21="",0,SUMIF('DADOS BRUTOS'!$A$3:$A$500,$C21,'DADOS BRUTOS'!DW$3:DW$500)))</f>
        <v/>
      </c>
      <c r="GX21" s="56">
        <f>IF(OR(GX$4="",$B21=""),0,SUMIF('DADOS BRUTOS'!$A$3:$A$500,$B21,'DADOS BRUTOS'!DX$3:DX$500)+IF($C21="",0,SUMIF('DADOS BRUTOS'!$A$3:$A$500,$C21,'DADOS BRUTOS'!DX$3:DX$500)))</f>
        <v/>
      </c>
      <c r="GY21" s="56">
        <f>IF(OR(GY$4="",$B21=""),0,SUMIF('DADOS BRUTOS'!$A$3:$A$500,$B21,'DADOS BRUTOS'!DY$3:DY$500)+IF($C21="",0,SUMIF('DADOS BRUTOS'!$A$3:$A$500,$C21,'DADOS BRUTOS'!DY$3:DY$500)))</f>
        <v/>
      </c>
      <c r="GZ21" s="56">
        <f>IF(OR(GZ$4="",$B21=""),0,SUMIF('DADOS BRUTOS'!$A$3:$A$500,$B21,'DADOS BRUTOS'!DZ$3:DZ$500)+IF($C21="",0,SUMIF('DADOS BRUTOS'!$A$3:$A$500,$C21,'DADOS BRUTOS'!DZ$3:DZ$500)))</f>
        <v/>
      </c>
      <c r="HA21" s="56">
        <f>IF(OR(HA$4="",$B21=""),0,SUMIF('DADOS BRUTOS'!$A$3:$A$500,$B21,'DADOS BRUTOS'!EA$3:EA$500)+IF($C21="",0,SUMIF('DADOS BRUTOS'!$A$3:$A$500,$C21,'DADOS BRUTOS'!EA$3:EA$500)))</f>
        <v/>
      </c>
      <c r="HB21" s="56">
        <f>IF(OR(HB$4="",$B21=""),0,SUMIF('DADOS BRUTOS'!$A$3:$A$500,$B21,'DADOS BRUTOS'!EB$3:EB$500)+IF($C21="",0,SUMIF('DADOS BRUTOS'!$A$3:$A$500,$C21,'DADOS BRUTOS'!EB$3:EB$500)))</f>
        <v/>
      </c>
      <c r="HC21" s="56">
        <f>IF(OR(HC$4="",$B21=""),0,SUMIF('DADOS BRUTOS'!$A$3:$A$500,$B21,'DADOS BRUTOS'!EC$3:EC$500)+IF($C21="",0,SUMIF('DADOS BRUTOS'!$A$3:$A$500,$C21,'DADOS BRUTOS'!EC$3:EC$500)))</f>
        <v/>
      </c>
      <c r="HD21" s="56">
        <f>IF(OR(HD$4="",$B21=""),0,SUMIF('DADOS BRUTOS'!$A$3:$A$500,$B21,'DADOS BRUTOS'!ED$3:ED$500)+IF($C21="",0,SUMIF('DADOS BRUTOS'!$A$3:$A$500,$C21,'DADOS BRUTOS'!ED$3:ED$500)))</f>
        <v/>
      </c>
      <c r="HE21" s="56">
        <f>IF(OR(HE$4="",$B21=""),0,SUMIF('DADOS BRUTOS'!$A$3:$A$500,$B21,'DADOS BRUTOS'!EE$3:EE$500)+IF($C21="",0,SUMIF('DADOS BRUTOS'!$A$3:$A$500,$C21,'DADOS BRUTOS'!EE$3:EE$500)))</f>
        <v/>
      </c>
      <c r="HF21" s="56">
        <f>IF(OR(HF$4="",$B21=""),0,SUMIF('DADOS BRUTOS'!$A$3:$A$500,$B21,'DADOS BRUTOS'!EF$3:EF$500)+IF($C21="",0,SUMIF('DADOS BRUTOS'!$A$3:$A$500,$C21,'DADOS BRUTOS'!EF$3:EF$500)))</f>
        <v/>
      </c>
      <c r="HG21" s="56">
        <f>IF(OR(HG$4="",$B21=""),0,SUMIF('DADOS BRUTOS'!$A$3:$A$500,$B21,'DADOS BRUTOS'!EG$3:EG$500)+IF($C21="",0,SUMIF('DADOS BRUTOS'!$A$3:$A$500,$C21,'DADOS BRUTOS'!EG$3:EG$500)))</f>
        <v/>
      </c>
      <c r="HH21" s="56">
        <f>IF(OR(HH$4="",$B21=""),0,SUMIF('DADOS BRUTOS'!$A$3:$A$500,$B21,'DADOS BRUTOS'!EH$3:EH$500)+IF($C21="",0,SUMIF('DADOS BRUTOS'!$A$3:$A$500,$C21,'DADOS BRUTOS'!EH$3:EH$500)))</f>
        <v/>
      </c>
      <c r="HI21" s="56">
        <f>IF(OR(HI$4="",$B21=""),0,SUMIF('DADOS BRUTOS'!$A$3:$A$500,$B21,'DADOS BRUTOS'!EI$3:EI$500)+IF($C21="",0,SUMIF('DADOS BRUTOS'!$A$3:$A$500,$C21,'DADOS BRUTOS'!EI$3:EI$500)))</f>
        <v/>
      </c>
      <c r="HJ21" s="56">
        <f>IF(OR(HJ$4="",$B21=""),0,SUMIF('DADOS BRUTOS'!$A$3:$A$500,$B21,'DADOS BRUTOS'!EJ$3:EJ$500)+IF($C21="",0,SUMIF('DADOS BRUTOS'!$A$3:$A$500,$C21,'DADOS BRUTOS'!EJ$3:EJ$500)))</f>
        <v/>
      </c>
      <c r="HK21" s="56">
        <f>IF(OR(HK$4="",$B21=""),0,SUMIF('DADOS BRUTOS'!$A$3:$A$500,$B21,'DADOS BRUTOS'!EK$3:EK$500)+IF($C21="",0,SUMIF('DADOS BRUTOS'!$A$3:$A$500,$C21,'DADOS BRUTOS'!EK$3:EK$500)))</f>
        <v/>
      </c>
      <c r="HL21" s="56">
        <f>IF(OR(HL$4="",$B21=""),0,SUMIF('DADOS BRUTOS'!$A$3:$A$500,$B21,'DADOS BRUTOS'!EL$3:EL$500)+IF($C21="",0,SUMIF('DADOS BRUTOS'!$A$3:$A$500,$C21,'DADOS BRUTOS'!EL$3:EL$500)))</f>
        <v/>
      </c>
      <c r="HM21" s="56">
        <f>IF(OR(HM$4="",$B21=""),0,SUMIF('DADOS BRUTOS'!$A$3:$A$500,$B21,'DADOS BRUTOS'!EM$3:EM$500)+IF($C21="",0,SUMIF('DADOS BRUTOS'!$A$3:$A$500,$C21,'DADOS BRUTOS'!EM$3:EM$500)))</f>
        <v/>
      </c>
      <c r="HN21" s="56">
        <f>IF(OR(HN$4="",$B21=""),0,SUMIF('DADOS BRUTOS'!$A$3:$A$500,$B21,'DADOS BRUTOS'!EN$3:EN$500)+IF($C21="",0,SUMIF('DADOS BRUTOS'!$A$3:$A$500,$C21,'DADOS BRUTOS'!EN$3:EN$500)))</f>
        <v/>
      </c>
      <c r="HO21" s="56">
        <f>IF(OR(HO$4="",$B21=""),0,SUMIF('DADOS BRUTOS'!$A$3:$A$500,$B21,'DADOS BRUTOS'!EO$3:EO$500)+IF($C21="",0,SUMIF('DADOS BRUTOS'!$A$3:$A$500,$C21,'DADOS BRUTOS'!EO$3:EO$500)))</f>
        <v/>
      </c>
      <c r="HP21" s="56">
        <f>IF(OR(HP$4="",$B21=""),0,SUMIF('DADOS BRUTOS'!$A$3:$A$500,$B21,'DADOS BRUTOS'!EP$3:EP$500)+IF($C21="",0,SUMIF('DADOS BRUTOS'!$A$3:$A$500,$C21,'DADOS BRUTOS'!EP$3:EP$500)))</f>
        <v/>
      </c>
      <c r="HQ21" s="56">
        <f>IF(OR(HQ$4="",$B21=""),0,SUMIF('DADOS BRUTOS'!$A$3:$A$500,$B21,'DADOS BRUTOS'!EQ$3:EQ$500)+IF($C21="",0,SUMIF('DADOS BRUTOS'!$A$3:$A$500,$C21,'DADOS BRUTOS'!EQ$3:EQ$500)))</f>
        <v/>
      </c>
      <c r="HR21" s="56">
        <f>IF(OR(HR$4="",$B21=""),0,SUMIF('DADOS BRUTOS'!$A$3:$A$500,$B21,'DADOS BRUTOS'!ER$3:ER$500)+IF($C21="",0,SUMIF('DADOS BRUTOS'!$A$3:$A$500,$C21,'DADOS BRUTOS'!ER$3:ER$500)))</f>
        <v/>
      </c>
      <c r="HS21" s="56">
        <f>IF(OR(HS$4="",$B21=""),0,SUMIF('DADOS BRUTOS'!$A$3:$A$500,$B21,'DADOS BRUTOS'!ES$3:ES$500)+IF($C21="",0,SUMIF('DADOS BRUTOS'!$A$3:$A$500,$C21,'DADOS BRUTOS'!ES$3:ES$500)))</f>
        <v/>
      </c>
      <c r="HT21" s="56">
        <f>IF(OR(HT$4="",$B21=""),0,SUMIF('DADOS BRUTOS'!$A$3:$A$500,$B21,'DADOS BRUTOS'!ET$3:ET$500)+IF($C21="",0,SUMIF('DADOS BRUTOS'!$A$3:$A$500,$C21,'DADOS BRUTOS'!ET$3:ET$500)))</f>
        <v/>
      </c>
      <c r="HU21" s="56">
        <f>IF(OR(HU$4="",$B21=""),0,SUMIF('DADOS BRUTOS'!$A$3:$A$500,$B21,'DADOS BRUTOS'!EU$3:EU$500)+IF($C21="",0,SUMIF('DADOS BRUTOS'!$A$3:$A$500,$C21,'DADOS BRUTOS'!EU$3:EU$500)))</f>
        <v/>
      </c>
      <c r="HV21" s="56">
        <f>IF(OR(HV$4="",$B21=""),0,SUMIF('DADOS BRUTOS'!$A$3:$A$500,$B21,'DADOS BRUTOS'!EV$3:EV$500)+IF($C21="",0,SUMIF('DADOS BRUTOS'!$A$3:$A$500,$C21,'DADOS BRUTOS'!EV$3:EV$500)))</f>
        <v/>
      </c>
      <c r="HW21" s="56">
        <f>IF(OR(HW$4="",$B21=""),0,SUMIF('DADOS BRUTOS'!$A$3:$A$500,$B21,'DADOS BRUTOS'!EW$3:EW$500)+IF($C21="",0,SUMIF('DADOS BRUTOS'!$A$3:$A$500,$C21,'DADOS BRUTOS'!EW$3:EW$500)))</f>
        <v/>
      </c>
      <c r="HX21" s="56">
        <f>IF(OR(HX$4="",$B21=""),0,SUMIF('DADOS BRUTOS'!$A$3:$A$500,$B21,'DADOS BRUTOS'!EX$3:EX$500)+IF($C21="",0,SUMIF('DADOS BRUTOS'!$A$3:$A$500,$C21,'DADOS BRUTOS'!EX$3:EX$500)))</f>
        <v/>
      </c>
      <c r="HY21" s="56">
        <f>IF(OR(HY$4="",$B21=""),0,SUMIF('DADOS BRUTOS'!$A$3:$A$500,$B21,'DADOS BRUTOS'!EY$3:EY$500)+IF($C21="",0,SUMIF('DADOS BRUTOS'!$A$3:$A$500,$C21,'DADOS BRUTOS'!EY$3:EY$500)))</f>
        <v/>
      </c>
      <c r="HZ21" s="56">
        <f>IF(OR(HZ$4="",$B21=""),0,SUMIF('DADOS BRUTOS'!$A$3:$A$500,$B21,'DADOS BRUTOS'!EZ$3:EZ$500)+IF($C21="",0,SUMIF('DADOS BRUTOS'!$A$3:$A$500,$C21,'DADOS BRUTOS'!EZ$3:EZ$500)))</f>
        <v/>
      </c>
      <c r="IA21" s="56">
        <f>IF(OR(IA$4="",$B21=""),0,SUMIF('DADOS BRUTOS'!$A$3:$A$500,$B21,'DADOS BRUTOS'!FA$3:FA$500)+IF($C21="",0,SUMIF('DADOS BRUTOS'!$A$3:$A$500,$C21,'DADOS BRUTOS'!FA$3:FA$500)))</f>
        <v/>
      </c>
      <c r="IB21" s="56">
        <f>IF(OR(IB$4="",$B21=""),0,SUMIF('DADOS BRUTOS'!$A$3:$A$500,$B21,'DADOS BRUTOS'!FB$3:FB$500)+IF($C21="",0,SUMIF('DADOS BRUTOS'!$A$3:$A$500,$C21,'DADOS BRUTOS'!FB$3:FB$500)))</f>
        <v/>
      </c>
      <c r="IC21" s="56">
        <f>IF(OR(IC$4="",$B21=""),0,SUMIF('DADOS BRUTOS'!$A$3:$A$500,$B21,'DADOS BRUTOS'!FC$3:FC$500)+IF($C21="",0,SUMIF('DADOS BRUTOS'!$A$3:$A$500,$C21,'DADOS BRUTOS'!FC$3:FC$500)))</f>
        <v/>
      </c>
      <c r="ID21" s="56">
        <f>IF(OR(ID$4="",$B21=""),0,SUMIF('DADOS BRUTOS'!$A$3:$A$500,$B21,'DADOS BRUTOS'!FD$3:FD$500)+IF($C21="",0,SUMIF('DADOS BRUTOS'!$A$3:$A$500,$C21,'DADOS BRUTOS'!FD$3:FD$500)))</f>
        <v/>
      </c>
      <c r="IE21" s="56">
        <f>IF(OR(IE$4="",$B21=""),0,SUMIF('DADOS BRUTOS'!$A$3:$A$500,$B21,'DADOS BRUTOS'!FE$3:FE$500)+IF($C21="",0,SUMIF('DADOS BRUTOS'!$A$3:$A$500,$C21,'DADOS BRUTOS'!FE$3:FE$500)))</f>
        <v/>
      </c>
      <c r="IF21" s="56">
        <f>IF(OR(IF$4="",$B21=""),0,SUMIF('DADOS BRUTOS'!$A$3:$A$500,$B21,'DADOS BRUTOS'!FF$3:FF$500)+IF($C21="",0,SUMIF('DADOS BRUTOS'!$A$3:$A$500,$C21,'DADOS BRUTOS'!FF$3:FF$500)))</f>
        <v/>
      </c>
      <c r="IG21" s="56">
        <f>IF(OR(IG$4="",$B21=""),0,SUMIF('DADOS BRUTOS'!$A$3:$A$500,$B21,'DADOS BRUTOS'!FG$3:FG$500)+IF($C21="",0,SUMIF('DADOS BRUTOS'!$A$3:$A$500,$C21,'DADOS BRUTOS'!FG$3:FG$500)))</f>
        <v/>
      </c>
      <c r="IH21" s="56">
        <f>IF(OR(IH$4="",$B21=""),0,SUMIF('DADOS BRUTOS'!$A$3:$A$500,$B21,'DADOS BRUTOS'!FH$3:FH$500)+IF($C21="",0,SUMIF('DADOS BRUTOS'!$A$3:$A$500,$C21,'DADOS BRUTOS'!FH$3:FH$500)))</f>
        <v/>
      </c>
      <c r="II21" s="56">
        <f>IF(OR(II$4="",$B21=""),0,SUMIF('DADOS BRUTOS'!$A$3:$A$500,$B21,'DADOS BRUTOS'!FI$3:FI$500)+IF($C21="",0,SUMIF('DADOS BRUTOS'!$A$3:$A$500,$C21,'DADOS BRUTOS'!FI$3:FI$500)))</f>
        <v/>
      </c>
      <c r="IJ21" s="56">
        <f>IF(OR(IJ$4="",$B21=""),0,SUMIF('DADOS BRUTOS'!$A$3:$A$500,$B21,'DADOS BRUTOS'!FJ$3:FJ$500)+IF($C21="",0,SUMIF('DADOS BRUTOS'!$A$3:$A$500,$C21,'DADOS BRUTOS'!FJ$3:FJ$500)))</f>
        <v/>
      </c>
      <c r="IK21" s="56">
        <f>IF(OR(IK$4="",$B21=""),0,SUMIF('DADOS BRUTOS'!$A$3:$A$500,$B21,'DADOS BRUTOS'!FK$3:FK$500)+IF($C21="",0,SUMIF('DADOS BRUTOS'!$A$3:$A$500,$C21,'DADOS BRUTOS'!FK$3:FK$500)))</f>
        <v/>
      </c>
      <c r="IL21" s="56">
        <f>IF(OR(IL$4="",$B21=""),0,SUMIF('DADOS BRUTOS'!$A$3:$A$500,$B21,'DADOS BRUTOS'!FL$3:FL$500)+IF($C21="",0,SUMIF('DADOS BRUTOS'!$A$3:$A$500,$C21,'DADOS BRUTOS'!FL$3:FL$500)))</f>
        <v/>
      </c>
      <c r="IM21" s="56">
        <f>IF(OR(IM$4="",$B21=""),0,SUMIF('DADOS BRUTOS'!$A$3:$A$500,$B21,'DADOS BRUTOS'!FM$3:FM$500)+IF($C21="",0,SUMIF('DADOS BRUTOS'!$A$3:$A$500,$C21,'DADOS BRUTOS'!FM$3:FM$500)))</f>
        <v/>
      </c>
      <c r="IN21" s="56">
        <f>IF(OR(IN$4="",$B21=""),0,SUMIF('DADOS BRUTOS'!$A$3:$A$500,$B21,'DADOS BRUTOS'!FN$3:FN$500)+IF($C21="",0,SUMIF('DADOS BRUTOS'!$A$3:$A$500,$C21,'DADOS BRUTOS'!FN$3:FN$500)))</f>
        <v/>
      </c>
      <c r="IO21" s="56">
        <f>IF(OR(IO$4="",$B21=""),0,SUMIF('DADOS BRUTOS'!$A$3:$A$500,$B21,'DADOS BRUTOS'!FO$3:FO$500)+IF($C21="",0,SUMIF('DADOS BRUTOS'!$A$3:$A$500,$C21,'DADOS BRUTOS'!FO$3:FO$500)))</f>
        <v/>
      </c>
      <c r="IP21" s="56">
        <f>IF(OR(IP$4="",$B21=""),0,SUMIF('DADOS BRUTOS'!$A$3:$A$500,$B21,'DADOS BRUTOS'!FP$3:FP$500)+IF($C21="",0,SUMIF('DADOS BRUTOS'!$A$3:$A$500,$C21,'DADOS BRUTOS'!FP$3:FP$500)))</f>
        <v/>
      </c>
      <c r="IQ21" s="56">
        <f>IF(OR(IQ$4="",$B21=""),0,SUMIF('DADOS BRUTOS'!$A$3:$A$500,$B21,'DADOS BRUTOS'!FQ$3:FQ$500)+IF($C21="",0,SUMIF('DADOS BRUTOS'!$A$3:$A$500,$C21,'DADOS BRUTOS'!FQ$3:FQ$500)))</f>
        <v/>
      </c>
      <c r="IR21" s="56">
        <f>IF(OR(IR$4="",$B21=""),0,SUMIF('DADOS BRUTOS'!$A$3:$A$500,$B21,'DADOS BRUTOS'!FR$3:FR$500)+IF($C21="",0,SUMIF('DADOS BRUTOS'!$A$3:$A$500,$C21,'DADOS BRUTOS'!FR$3:FR$500)))</f>
        <v/>
      </c>
      <c r="IS21" s="56">
        <f>IF(OR(IS$4="",$B21=""),0,SUMIF('DADOS BRUTOS'!$A$3:$A$500,$B21,'DADOS BRUTOS'!FS$3:FS$500)+IF($C21="",0,SUMIF('DADOS BRUTOS'!$A$3:$A$500,$C21,'DADOS BRUTOS'!FS$3:FS$500)))</f>
        <v/>
      </c>
      <c r="IT21" s="56">
        <f>IF(OR(IT$4="",$B21=""),0,SUMIF('DADOS BRUTOS'!$A$3:$A$500,$B21,'DADOS BRUTOS'!FT$3:FT$500)+IF($C21="",0,SUMIF('DADOS BRUTOS'!$A$3:$A$500,$C21,'DADOS BRUTOS'!FT$3:FT$500)))</f>
        <v/>
      </c>
      <c r="IU21" s="56">
        <f>IF(OR(IU$4="",$B21=""),0,SUMIF('DADOS BRUTOS'!$A$3:$A$500,$B21,'DADOS BRUTOS'!FU$3:FU$500)+IF($C21="",0,SUMIF('DADOS BRUTOS'!$A$3:$A$500,$C21,'DADOS BRUTOS'!FU$3:FU$500)))</f>
        <v/>
      </c>
      <c r="IV21" s="56">
        <f>IF(OR(IV$4="",$B21=""),0,SUMIF('DADOS BRUTOS'!$A$3:$A$500,$B21,'DADOS BRUTOS'!FV$3:FV$500)+IF($C21="",0,SUMIF('DADOS BRUTOS'!$A$3:$A$500,$C21,'DADOS BRUTOS'!FV$3:FV$500)))</f>
        <v/>
      </c>
      <c r="IW21" s="56">
        <f>IF(OR(IW$4="",$B21=""),0,SUMIF('DADOS BRUTOS'!$A$3:$A$500,$B21,'DADOS BRUTOS'!FW$3:FW$500)+IF($C21="",0,SUMIF('DADOS BRUTOS'!$A$3:$A$500,$C21,'DADOS BRUTOS'!FW$3:FW$500)))</f>
        <v/>
      </c>
      <c r="IX21" s="56">
        <f>IF(OR(IX$4="",$B21=""),0,SUMIF('DADOS BRUTOS'!$A$3:$A$500,$B21,'DADOS BRUTOS'!FX$3:FX$500)+IF($C21="",0,SUMIF('DADOS BRUTOS'!$A$3:$A$500,$C21,'DADOS BRUTOS'!FX$3:FX$500)))</f>
        <v/>
      </c>
      <c r="IY21" s="56">
        <f>IF(OR(IY$4="",$B21=""),0,SUMIF('DADOS BRUTOS'!$A$3:$A$500,$B21,'DADOS BRUTOS'!FY$3:FY$500)+IF($C21="",0,SUMIF('DADOS BRUTOS'!$A$3:$A$500,$C21,'DADOS BRUTOS'!FY$3:FY$500)))</f>
        <v/>
      </c>
      <c r="IZ21" s="56">
        <f>IF(OR(IZ$4="",$B21=""),0,SUMIF('DADOS BRUTOS'!$A$3:$A$500,$B21,'DADOS BRUTOS'!FZ$3:FZ$500)+IF($C21="",0,SUMIF('DADOS BRUTOS'!$A$3:$A$500,$C21,'DADOS BRUTOS'!FZ$3:FZ$500)))</f>
        <v/>
      </c>
      <c r="JA21" s="56">
        <f>IF(OR(JA$4="",$B21=""),0,SUMIF('DADOS BRUTOS'!$A$3:$A$500,$B21,'DADOS BRUTOS'!GA$3:GA$500)+IF($C21="",0,SUMIF('DADOS BRUTOS'!$A$3:$A$500,$C21,'DADOS BRUTOS'!GA$3:GA$500)))</f>
        <v/>
      </c>
      <c r="JB21" s="56">
        <f>IF(OR(JB$4="",$B21=""),0,SUMIF('DADOS BRUTOS'!$A$3:$A$500,$B21,'DADOS BRUTOS'!GB$3:GB$500)+IF($C21="",0,SUMIF('DADOS BRUTOS'!$A$3:$A$500,$C21,'DADOS BRUTOS'!GB$3:GB$500)))</f>
        <v/>
      </c>
      <c r="JC21" s="56">
        <f>IF(OR(JC$4="",$B21=""),0,SUMIF('DADOS BRUTOS'!$A$3:$A$500,$B21,'DADOS BRUTOS'!GC$3:GC$500)+IF($C21="",0,SUMIF('DADOS BRUTOS'!$A$3:$A$500,$C21,'DADOS BRUTOS'!GC$3:GC$500)))</f>
        <v/>
      </c>
      <c r="JD21" s="56">
        <f>IF(OR(JD$4="",$B21=""),0,SUMIF('DADOS BRUTOS'!$A$3:$A$500,$B21,'DADOS BRUTOS'!GD$3:GD$500)+IF($C21="",0,SUMIF('DADOS BRUTOS'!$A$3:$A$500,$C21,'DADOS BRUTOS'!GD$3:GD$500)))</f>
        <v/>
      </c>
      <c r="JE21" s="56">
        <f>IF(OR(JE$4="",$B21=""),0,SUMIF('DADOS BRUTOS'!$A$3:$A$500,$B21,'DADOS BRUTOS'!GE$3:GE$500)+IF($C21="",0,SUMIF('DADOS BRUTOS'!$A$3:$A$500,$C21,'DADOS BRUTOS'!GE$3:GE$500)))</f>
        <v/>
      </c>
      <c r="JF21" s="56">
        <f>IF(OR(JF$4="",$B21=""),0,SUMIF('DADOS BRUTOS'!$A$3:$A$500,$B21,'DADOS BRUTOS'!GF$3:GF$500)+IF($C21="",0,SUMIF('DADOS BRUTOS'!$A$3:$A$500,$C21,'DADOS BRUTOS'!GF$3:GF$500)))</f>
        <v/>
      </c>
      <c r="JG21" s="56">
        <f>IF(OR(JG$4="",$B21=""),0,SUMIF('DADOS BRUTOS'!$A$3:$A$500,$B21,'DADOS BRUTOS'!GG$3:GG$500)+IF($C21="",0,SUMIF('DADOS BRUTOS'!$A$3:$A$500,$C21,'DADOS BRUTOS'!GG$3:GG$500)))</f>
        <v/>
      </c>
      <c r="JH21" s="56">
        <f>IF(OR(JH$4="",$B21=""),0,SUMIF('DADOS BRUTOS'!$A$3:$A$500,$B21,'DADOS BRUTOS'!GH$3:GH$500)+IF($C21="",0,SUMIF('DADOS BRUTOS'!$A$3:$A$500,$C21,'DADOS BRUTOS'!GH$3:GH$500)))</f>
        <v/>
      </c>
      <c r="JI21" s="56">
        <f>IF(OR(JI$4="",$B21=""),0,SUMIF('DADOS BRUTOS'!$A$3:$A$500,$B21,'DADOS BRUTOS'!GI$3:GI$500)+IF($C21="",0,SUMIF('DADOS BRUTOS'!$A$3:$A$500,$C21,'DADOS BRUTOS'!GI$3:GI$500)))</f>
        <v/>
      </c>
      <c r="JJ21" s="56">
        <f>IF(OR(JJ$4="",$B21=""),0,SUMIF('DADOS BRUTOS'!$A$3:$A$500,$B21,'DADOS BRUTOS'!GJ$3:GJ$500)+IF($C21="",0,SUMIF('DADOS BRUTOS'!$A$3:$A$500,$C21,'DADOS BRUTOS'!GJ$3:GJ$500)))</f>
        <v/>
      </c>
      <c r="JK21" s="56">
        <f>IF(OR(JK$4="",$B21=""),0,SUMIF('DADOS BRUTOS'!$A$3:$A$500,$B21,'DADOS BRUTOS'!GK$3:GK$500)+IF($C21="",0,SUMIF('DADOS BRUTOS'!$A$3:$A$500,$C21,'DADOS BRUTOS'!GK$3:GK$500)))</f>
        <v/>
      </c>
      <c r="JL21" s="56">
        <f>IF(OR(JL$4="",$B21=""),0,SUMIF('DADOS BRUTOS'!$A$3:$A$500,$B21,'DADOS BRUTOS'!GL$3:GL$500)+IF($C21="",0,SUMIF('DADOS BRUTOS'!$A$3:$A$500,$C21,'DADOS BRUTOS'!GL$3:GL$500)))</f>
        <v/>
      </c>
      <c r="JM21" s="56">
        <f>IF(OR(JM$4="",$B21=""),0,SUMIF('DADOS BRUTOS'!$A$3:$A$500,$B21,'DADOS BRUTOS'!GM$3:GM$500)+IF($C21="",0,SUMIF('DADOS BRUTOS'!$A$3:$A$500,$C21,'DADOS BRUTOS'!GM$3:GM$500)))</f>
        <v/>
      </c>
      <c r="JN21" s="56">
        <f>IF(OR(JN$4="",$B21=""),0,SUMIF('DADOS BRUTOS'!$A$3:$A$500,$B21,'DADOS BRUTOS'!GN$3:GN$500)+IF($C21="",0,SUMIF('DADOS BRUTOS'!$A$3:$A$500,$C21,'DADOS BRUTOS'!GN$3:GN$500)))</f>
        <v/>
      </c>
      <c r="JO21" s="56">
        <f>IF(OR(JO$4="",$B21=""),0,SUMIF('DADOS BRUTOS'!$A$3:$A$500,$B21,'DADOS BRUTOS'!GO$3:GO$500)+IF($C21="",0,SUMIF('DADOS BRUTOS'!$A$3:$A$500,$C21,'DADOS BRUTOS'!GO$3:GO$500)))</f>
        <v/>
      </c>
      <c r="JP21" s="56">
        <f>IF(OR(JP$4="",$B21=""),0,SUMIF('DADOS BRUTOS'!$A$3:$A$500,$B21,'DADOS BRUTOS'!GP$3:GP$500)+IF($C21="",0,SUMIF('DADOS BRUTOS'!$A$3:$A$500,$C21,'DADOS BRUTOS'!GP$3:GP$500)))</f>
        <v/>
      </c>
      <c r="JQ21" s="56">
        <f>IF(OR(JQ$4="",$B21=""),0,SUMIF('DADOS BRUTOS'!$A$3:$A$500,$B21,'DADOS BRUTOS'!GQ$3:GQ$500)+IF($C21="",0,SUMIF('DADOS BRUTOS'!$A$3:$A$500,$C21,'DADOS BRUTOS'!GQ$3:GQ$500)))</f>
        <v/>
      </c>
      <c r="JR21" s="56">
        <f>IF(OR(JR$4="",$B21=""),0,SUMIF('DADOS BRUTOS'!$A$3:$A$500,$B21,'DADOS BRUTOS'!GR$3:GR$500)+IF($C21="",0,SUMIF('DADOS BRUTOS'!$A$3:$A$500,$C21,'DADOS BRUTOS'!GR$3:GR$500)))</f>
        <v/>
      </c>
      <c r="JS21" s="56">
        <f>IF(OR(JS$4="",$B21=""),0,SUMIF('DADOS BRUTOS'!$A$3:$A$500,$B21,'DADOS BRUTOS'!GS$3:GS$500)+IF($C21="",0,SUMIF('DADOS BRUTOS'!$A$3:$A$500,$C21,'DADOS BRUTOS'!GS$3:GS$500)))</f>
        <v/>
      </c>
    </row>
    <row r="22">
      <c r="A22" s="34">
        <f>'VALOR POR PL'!D28</f>
        <v/>
      </c>
      <c r="B22" s="21" t="inlineStr">
        <is>
          <t>ALVENARIA</t>
        </is>
      </c>
      <c r="C22" s="21" t="n"/>
      <c r="D22" s="17">
        <f>SUMIF($CB$4:$JS$4,"&lt;="&amp;D$4,$CB22:$JS22)</f>
        <v/>
      </c>
      <c r="E22" s="17">
        <f>SUMIF($CB$4:$JS$4,E$4,$CB22:$JS22)</f>
        <v/>
      </c>
      <c r="F22" s="17">
        <f>SUMIF($CB$4:$JS$4,F$4,$CB22:$JS22)</f>
        <v/>
      </c>
      <c r="G22" s="17">
        <f>SUMIF($CB$4:$JS$4,G$4,$CB22:$JS22)</f>
        <v/>
      </c>
      <c r="H22" s="17">
        <f>SUMIF($CB$4:$JS$4,H$4,$CB22:$JS22)</f>
        <v/>
      </c>
      <c r="I22" s="17">
        <f>SUMIF($CB$4:$JS$4,I$4,$CB22:$JS22)</f>
        <v/>
      </c>
      <c r="J22" s="17">
        <f>SUMIF($CB$4:$JS$4,J$4,$CB22:$JS22)</f>
        <v/>
      </c>
      <c r="K22" s="17">
        <f>SUMIF($CB$4:$JS$4,K$4,$CB22:$JS22)</f>
        <v/>
      </c>
      <c r="L22" s="17">
        <f>SUMIF($CB$4:$JS$4,L$4,$CB22:$JS22)</f>
        <v/>
      </c>
      <c r="M22" s="17">
        <f>SUMIF($CB$4:$JS$4,M$4,$CB22:$JS22)</f>
        <v/>
      </c>
      <c r="N22" s="17">
        <f>SUMIF($CB$4:$JS$4,N$4,$CB22:$JS22)</f>
        <v/>
      </c>
      <c r="O22" s="17">
        <f>SUMIF($CB$4:$JS$4,O$4,$CB22:$JS22)</f>
        <v/>
      </c>
      <c r="P22" s="17">
        <f>SUMIF($CB$4:$JS$4,P$4,$CB22:$JS22)</f>
        <v/>
      </c>
      <c r="Q22" s="17">
        <f>SUMIF($CB$4:$JS$4,Q$4,$CB22:$JS22)</f>
        <v/>
      </c>
      <c r="R22" s="17">
        <f>SUMIF($CB$4:$JS$4,R$4,$CB22:$JS22)</f>
        <v/>
      </c>
      <c r="S22" s="17">
        <f>SUMIF($CB$4:$JS$4,S$4,$CB22:$JS22)</f>
        <v/>
      </c>
      <c r="T22" s="17">
        <f>SUMIF($CB$4:$JS$4,T$4,$CB22:$JS22)</f>
        <v/>
      </c>
      <c r="U22" s="17">
        <f>SUMIF($CB$4:$JS$4,U$4,$CB22:$JS22)</f>
        <v/>
      </c>
      <c r="V22" s="17">
        <f>SUMIF($CB$4:$JS$4,V$4,$CB22:$JS22)</f>
        <v/>
      </c>
      <c r="W22" s="17">
        <f>SUMIF($CB$4:$JS$4,W$4,$CB22:$JS22)</f>
        <v/>
      </c>
      <c r="X22" s="17">
        <f>SUMIF($CB$4:$JS$4,X$4,$CB22:$JS22)</f>
        <v/>
      </c>
      <c r="Y22" s="17">
        <f>SUMIF($CB$4:$JS$4,Y$4,$CB22:$JS22)</f>
        <v/>
      </c>
      <c r="Z22" s="17">
        <f>SUMIF($CB$4:$JS$4,Z$4,$CB22:$JS22)</f>
        <v/>
      </c>
      <c r="AA22" s="17">
        <f>SUMIF($CB$4:$JS$4,AA$4,$CB22:$JS22)</f>
        <v/>
      </c>
      <c r="AB22" s="17">
        <f>SUMIF($CB$4:$JS$4,AB$4,$CB22:$JS22)</f>
        <v/>
      </c>
      <c r="AC22" s="17">
        <f>SUMIF($CB$4:$JS$4,AC$4,$CB22:$JS22)</f>
        <v/>
      </c>
      <c r="AD22" s="17">
        <f>SUMIF($CB$4:$JS$4,AD$4,$CB22:$JS22)</f>
        <v/>
      </c>
      <c r="AE22" s="17">
        <f>SUMIF($CB$4:$JS$4,AE$4,$CB22:$JS22)</f>
        <v/>
      </c>
      <c r="AF22" s="17">
        <f>SUMIF($CB$4:$JS$4,AF$4,$CB22:$JS22)</f>
        <v/>
      </c>
      <c r="AG22" s="17">
        <f>SUMIF($CB$4:$JS$4,AG$4,$CB22:$JS22)</f>
        <v/>
      </c>
      <c r="AH22" s="17">
        <f>SUMIF($CB$4:$JS$4,AH$4,$CB22:$JS22)</f>
        <v/>
      </c>
      <c r="AI22" s="17">
        <f>SUMIF($CB$4:$JS$4,AI$4,$CB22:$JS22)</f>
        <v/>
      </c>
      <c r="AJ22" s="17">
        <f>SUMIF($CB$4:$JS$4,AJ$4,$CB22:$JS22)</f>
        <v/>
      </c>
      <c r="AK22" s="17">
        <f>SUMIF($CB$4:$JS$4,AK$4,$CB22:$JS22)</f>
        <v/>
      </c>
      <c r="AL22" s="17">
        <f>SUMIF($CB$4:$JS$4,AL$4,$CB22:$JS22)</f>
        <v/>
      </c>
      <c r="AM22" s="17">
        <f>SUMIF($CB$4:$JS$4,AM$4,$CB22:$JS22)</f>
        <v/>
      </c>
      <c r="AN22" s="17">
        <f>SUMIF($CB$4:$JS$4,AN$4,$CB22:$JS22)</f>
        <v/>
      </c>
      <c r="AO22" s="17">
        <f>SUMIF($CB$4:$JS$4,AO$4,$CB22:$JS22)</f>
        <v/>
      </c>
      <c r="AP22" s="17">
        <f>SUMIF($CB$4:$JS$4,AP$4,$CB22:$JS22)</f>
        <v/>
      </c>
      <c r="AQ22" s="17">
        <f>SUMIF($CB$4:$JS$4,AQ$4,$CB22:$JS22)</f>
        <v/>
      </c>
      <c r="AR22" s="17">
        <f>SUMIF($CB$4:$JS$4,AR$4,$CB22:$JS22)</f>
        <v/>
      </c>
      <c r="AS22" s="17">
        <f>SUMIF($CB$4:$JS$4,AS$4,$CB22:$JS22)</f>
        <v/>
      </c>
      <c r="AT22" s="17">
        <f>SUMIF($CB$4:$JS$4,AT$4,$CB22:$JS22)</f>
        <v/>
      </c>
      <c r="AU22" s="17">
        <f>SUMIF($CB$4:$JS$4,AU$4,$CB22:$JS22)</f>
        <v/>
      </c>
      <c r="AV22" s="17">
        <f>SUMIF($CB$4:$JS$4,AV$4,$CB22:$JS22)</f>
        <v/>
      </c>
      <c r="AW22" s="17">
        <f>SUMIF($CB$4:$JS$4,AW$4,$CB22:$JS22)</f>
        <v/>
      </c>
      <c r="AX22" s="17">
        <f>SUMIF($CB$4:$JS$4,AX$4,$CB22:$JS22)</f>
        <v/>
      </c>
      <c r="AY22" s="17">
        <f>SUMIF($CB$4:$JS$4,AY$4,$CB22:$JS22)</f>
        <v/>
      </c>
      <c r="AZ22" s="17">
        <f>SUMIF($CB$4:$JS$4,AZ$4,$CB22:$JS22)</f>
        <v/>
      </c>
      <c r="BA22" s="17">
        <f>SUMIF($CB$4:$JS$4,BA$4,$CB22:$JS22)</f>
        <v/>
      </c>
      <c r="BB22" s="17">
        <f>SUMIF($CB$4:$JS$4,BB$4,$CB22:$JS22)</f>
        <v/>
      </c>
      <c r="BC22" s="17">
        <f>SUMIF($CB$4:$JS$4,BC$4,$CB22:$JS22)</f>
        <v/>
      </c>
      <c r="BD22" s="17">
        <f>SUMIF($CB$4:$JS$4,BD$4,$CB22:$JS22)</f>
        <v/>
      </c>
      <c r="BE22" s="17">
        <f>SUMIF($CB$4:$JS$4,BE$4,$CB22:$JS22)</f>
        <v/>
      </c>
      <c r="BF22" s="17">
        <f>SUMIF($CB$4:$JS$4,BF$4,$CB22:$JS22)</f>
        <v/>
      </c>
      <c r="BG22" s="17">
        <f>SUMIF($CB$4:$JS$4,BG$4,$CB22:$JS22)</f>
        <v/>
      </c>
      <c r="BH22" s="17">
        <f>SUMIF($CB$4:$JS$4,BH$4,$CB22:$JS22)</f>
        <v/>
      </c>
      <c r="BI22" s="17">
        <f>SUMIF($CB$4:$JS$4,BI$4,$CB22:$JS22)</f>
        <v/>
      </c>
      <c r="BJ22" s="17">
        <f>SUMIF($CB$4:$JS$4,BJ$4,$CB22:$JS22)</f>
        <v/>
      </c>
      <c r="BK22" s="17">
        <f>SUMIF($CB$4:$JS$4,BK$4,$CB22:$JS22)</f>
        <v/>
      </c>
      <c r="BL22" s="17">
        <f>SUMIF($CB$4:$JS$4,BL$4,$CB22:$JS22)</f>
        <v/>
      </c>
      <c r="BM22" s="17">
        <f>SUMIF($CB$4:$JS$4,BM$4,$CB22:$JS22)</f>
        <v/>
      </c>
      <c r="BN22" s="17">
        <f>SUMIF($CB$4:$JS$4,BN$4,$CB22:$JS22)</f>
        <v/>
      </c>
      <c r="BO22" s="17">
        <f>SUMIF($CB$4:$JS$4,BO$4,$CB22:$JS22)</f>
        <v/>
      </c>
      <c r="BP22" s="17">
        <f>SUMIF($CB$4:$JS$4,BP$4,$CB22:$JS22)</f>
        <v/>
      </c>
      <c r="BQ22" s="17">
        <f>SUMIF($CB$4:$JS$4,BQ$4,$CB22:$JS22)</f>
        <v/>
      </c>
      <c r="BR22" s="17">
        <f>SUMIF($CB$4:$JS$4,BR$4,$CB22:$JS22)</f>
        <v/>
      </c>
      <c r="BS22" s="17">
        <f>SUMIF($CB$4:$JS$4,BS$4,$CB22:$JS22)</f>
        <v/>
      </c>
      <c r="BT22" s="17">
        <f>SUMIF($CB$4:$JS$4,BT$4,$CB22:$JS22)</f>
        <v/>
      </c>
      <c r="BU22" s="17">
        <f>SUMIF($CB$4:$JS$4,BU$4,$CB22:$JS22)</f>
        <v/>
      </c>
      <c r="BV22" s="17">
        <f>SUMIF($CB$4:$JS$4,BV$4,$CB22:$JS22)</f>
        <v/>
      </c>
      <c r="BW22" s="17">
        <f>SUMIF($CB$4:$JS$4,BW$4,$CB22:$JS22)</f>
        <v/>
      </c>
      <c r="BX22" s="17">
        <f>SUMIF($CB$4:$JS$4,"&gt;"&amp;'VALOR POR PL'!$P$8,$CB22:$JS22)</f>
        <v/>
      </c>
      <c r="BY22" s="17">
        <f>SUM($CB22:$JS22)</f>
        <v/>
      </c>
      <c r="CB22" s="56">
        <f>IF(OR(CB$4="",$B22=""),0,SUMIF('DADOS BRUTOS'!$A$3:$A$500,$B22,'DADOS BRUTOS'!B$3:B$500)+IF($C22="",0,SUMIF('DADOS BRUTOS'!$A$3:$A$500,$C22,'DADOS BRUTOS'!B$3:B$500)))</f>
        <v/>
      </c>
      <c r="CC22" s="56">
        <f>IF(OR(CC$4="",$B22=""),0,SUMIF('DADOS BRUTOS'!$A$3:$A$500,$B22,'DADOS BRUTOS'!C$3:C$500)+IF($C22="",0,SUMIF('DADOS BRUTOS'!$A$3:$A$500,$C22,'DADOS BRUTOS'!C$3:C$500)))</f>
        <v/>
      </c>
      <c r="CD22" s="56">
        <f>IF(OR(CD$4="",$B22=""),0,SUMIF('DADOS BRUTOS'!$A$3:$A$500,$B22,'DADOS BRUTOS'!D$3:D$500)+IF($C22="",0,SUMIF('DADOS BRUTOS'!$A$3:$A$500,$C22,'DADOS BRUTOS'!D$3:D$500)))</f>
        <v/>
      </c>
      <c r="CE22" s="56">
        <f>IF(OR(CE$4="",$B22=""),0,SUMIF('DADOS BRUTOS'!$A$3:$A$500,$B22,'DADOS BRUTOS'!E$3:E$500)+IF($C22="",0,SUMIF('DADOS BRUTOS'!$A$3:$A$500,$C22,'DADOS BRUTOS'!E$3:E$500)))</f>
        <v/>
      </c>
      <c r="CF22" s="56">
        <f>IF(OR(CF$4="",$B22=""),0,SUMIF('DADOS BRUTOS'!$A$3:$A$500,$B22,'DADOS BRUTOS'!F$3:F$500)+IF($C22="",0,SUMIF('DADOS BRUTOS'!$A$3:$A$500,$C22,'DADOS BRUTOS'!F$3:F$500)))</f>
        <v/>
      </c>
      <c r="CG22" s="56">
        <f>IF(OR(CG$4="",$B22=""),0,SUMIF('DADOS BRUTOS'!$A$3:$A$500,$B22,'DADOS BRUTOS'!G$3:G$500)+IF($C22="",0,SUMIF('DADOS BRUTOS'!$A$3:$A$500,$C22,'DADOS BRUTOS'!G$3:G$500)))</f>
        <v/>
      </c>
      <c r="CH22" s="56">
        <f>IF(OR(CH$4="",$B22=""),0,SUMIF('DADOS BRUTOS'!$A$3:$A$500,$B22,'DADOS BRUTOS'!H$3:H$500)+IF($C22="",0,SUMIF('DADOS BRUTOS'!$A$3:$A$500,$C22,'DADOS BRUTOS'!H$3:H$500)))</f>
        <v/>
      </c>
      <c r="CI22" s="56">
        <f>IF(OR(CI$4="",$B22=""),0,SUMIF('DADOS BRUTOS'!$A$3:$A$500,$B22,'DADOS BRUTOS'!I$3:I$500)+IF($C22="",0,SUMIF('DADOS BRUTOS'!$A$3:$A$500,$C22,'DADOS BRUTOS'!I$3:I$500)))</f>
        <v/>
      </c>
      <c r="CJ22" s="56">
        <f>IF(OR(CJ$4="",$B22=""),0,SUMIF('DADOS BRUTOS'!$A$3:$A$500,$B22,'DADOS BRUTOS'!J$3:J$500)+IF($C22="",0,SUMIF('DADOS BRUTOS'!$A$3:$A$500,$C22,'DADOS BRUTOS'!J$3:J$500)))</f>
        <v/>
      </c>
      <c r="CK22" s="56">
        <f>IF(OR(CK$4="",$B22=""),0,SUMIF('DADOS BRUTOS'!$A$3:$A$500,$B22,'DADOS BRUTOS'!K$3:K$500)+IF($C22="",0,SUMIF('DADOS BRUTOS'!$A$3:$A$500,$C22,'DADOS BRUTOS'!K$3:K$500)))</f>
        <v/>
      </c>
      <c r="CL22" s="56">
        <f>IF(OR(CL$4="",$B22=""),0,SUMIF('DADOS BRUTOS'!$A$3:$A$500,$B22,'DADOS BRUTOS'!L$3:L$500)+IF($C22="",0,SUMIF('DADOS BRUTOS'!$A$3:$A$500,$C22,'DADOS BRUTOS'!L$3:L$500)))</f>
        <v/>
      </c>
      <c r="CM22" s="56">
        <f>IF(OR(CM$4="",$B22=""),0,SUMIF('DADOS BRUTOS'!$A$3:$A$500,$B22,'DADOS BRUTOS'!M$3:M$500)+IF($C22="",0,SUMIF('DADOS BRUTOS'!$A$3:$A$500,$C22,'DADOS BRUTOS'!M$3:M$500)))</f>
        <v/>
      </c>
      <c r="CN22" s="56">
        <f>IF(OR(CN$4="",$B22=""),0,SUMIF('DADOS BRUTOS'!$A$3:$A$500,$B22,'DADOS BRUTOS'!N$3:N$500)+IF($C22="",0,SUMIF('DADOS BRUTOS'!$A$3:$A$500,$C22,'DADOS BRUTOS'!N$3:N$500)))</f>
        <v/>
      </c>
      <c r="CO22" s="56">
        <f>IF(OR(CO$4="",$B22=""),0,SUMIF('DADOS BRUTOS'!$A$3:$A$500,$B22,'DADOS BRUTOS'!O$3:O$500)+IF($C22="",0,SUMIF('DADOS BRUTOS'!$A$3:$A$500,$C22,'DADOS BRUTOS'!O$3:O$500)))</f>
        <v/>
      </c>
      <c r="CP22" s="56">
        <f>IF(OR(CP$4="",$B22=""),0,SUMIF('DADOS BRUTOS'!$A$3:$A$500,$B22,'DADOS BRUTOS'!P$3:P$500)+IF($C22="",0,SUMIF('DADOS BRUTOS'!$A$3:$A$500,$C22,'DADOS BRUTOS'!P$3:P$500)))</f>
        <v/>
      </c>
      <c r="CQ22" s="56">
        <f>IF(OR(CQ$4="",$B22=""),0,SUMIF('DADOS BRUTOS'!$A$3:$A$500,$B22,'DADOS BRUTOS'!Q$3:Q$500)+IF($C22="",0,SUMIF('DADOS BRUTOS'!$A$3:$A$500,$C22,'DADOS BRUTOS'!Q$3:Q$500)))</f>
        <v/>
      </c>
      <c r="CR22" s="56">
        <f>IF(OR(CR$4="",$B22=""),0,SUMIF('DADOS BRUTOS'!$A$3:$A$500,$B22,'DADOS BRUTOS'!R$3:R$500)+IF($C22="",0,SUMIF('DADOS BRUTOS'!$A$3:$A$500,$C22,'DADOS BRUTOS'!R$3:R$500)))</f>
        <v/>
      </c>
      <c r="CS22" s="56">
        <f>IF(OR(CS$4="",$B22=""),0,SUMIF('DADOS BRUTOS'!$A$3:$A$500,$B22,'DADOS BRUTOS'!S$3:S$500)+IF($C22="",0,SUMIF('DADOS BRUTOS'!$A$3:$A$500,$C22,'DADOS BRUTOS'!S$3:S$500)))</f>
        <v/>
      </c>
      <c r="CT22" s="56">
        <f>IF(OR(CT$4="",$B22=""),0,SUMIF('DADOS BRUTOS'!$A$3:$A$500,$B22,'DADOS BRUTOS'!T$3:T$500)+IF($C22="",0,SUMIF('DADOS BRUTOS'!$A$3:$A$500,$C22,'DADOS BRUTOS'!T$3:T$500)))</f>
        <v/>
      </c>
      <c r="CU22" s="56">
        <f>IF(OR(CU$4="",$B22=""),0,SUMIF('DADOS BRUTOS'!$A$3:$A$500,$B22,'DADOS BRUTOS'!U$3:U$500)+IF($C22="",0,SUMIF('DADOS BRUTOS'!$A$3:$A$500,$C22,'DADOS BRUTOS'!U$3:U$500)))</f>
        <v/>
      </c>
      <c r="CV22" s="56">
        <f>IF(OR(CV$4="",$B22=""),0,SUMIF('DADOS BRUTOS'!$A$3:$A$500,$B22,'DADOS BRUTOS'!V$3:V$500)+IF($C22="",0,SUMIF('DADOS BRUTOS'!$A$3:$A$500,$C22,'DADOS BRUTOS'!V$3:V$500)))</f>
        <v/>
      </c>
      <c r="CW22" s="56">
        <f>IF(OR(CW$4="",$B22=""),0,SUMIF('DADOS BRUTOS'!$A$3:$A$500,$B22,'DADOS BRUTOS'!W$3:W$500)+IF($C22="",0,SUMIF('DADOS BRUTOS'!$A$3:$A$500,$C22,'DADOS BRUTOS'!W$3:W$500)))</f>
        <v/>
      </c>
      <c r="CX22" s="56">
        <f>IF(OR(CX$4="",$B22=""),0,SUMIF('DADOS BRUTOS'!$A$3:$A$500,$B22,'DADOS BRUTOS'!X$3:X$500)+IF($C22="",0,SUMIF('DADOS BRUTOS'!$A$3:$A$500,$C22,'DADOS BRUTOS'!X$3:X$500)))</f>
        <v/>
      </c>
      <c r="CY22" s="56">
        <f>IF(OR(CY$4="",$B22=""),0,SUMIF('DADOS BRUTOS'!$A$3:$A$500,$B22,'DADOS BRUTOS'!Y$3:Y$500)+IF($C22="",0,SUMIF('DADOS BRUTOS'!$A$3:$A$500,$C22,'DADOS BRUTOS'!Y$3:Y$500)))</f>
        <v/>
      </c>
      <c r="CZ22" s="56">
        <f>IF(OR(CZ$4="",$B22=""),0,SUMIF('DADOS BRUTOS'!$A$3:$A$500,$B22,'DADOS BRUTOS'!Z$3:Z$500)+IF($C22="",0,SUMIF('DADOS BRUTOS'!$A$3:$A$500,$C22,'DADOS BRUTOS'!Z$3:Z$500)))</f>
        <v/>
      </c>
      <c r="DA22" s="56">
        <f>IF(OR(DA$4="",$B22=""),0,SUMIF('DADOS BRUTOS'!$A$3:$A$500,$B22,'DADOS BRUTOS'!AA$3:AA$500)+IF($C22="",0,SUMIF('DADOS BRUTOS'!$A$3:$A$500,$C22,'DADOS BRUTOS'!AA$3:AA$500)))</f>
        <v/>
      </c>
      <c r="DB22" s="56">
        <f>IF(OR(DB$4="",$B22=""),0,SUMIF('DADOS BRUTOS'!$A$3:$A$500,$B22,'DADOS BRUTOS'!AB$3:AB$500)+IF($C22="",0,SUMIF('DADOS BRUTOS'!$A$3:$A$500,$C22,'DADOS BRUTOS'!AB$3:AB$500)))</f>
        <v/>
      </c>
      <c r="DC22" s="56">
        <f>IF(OR(DC$4="",$B22=""),0,SUMIF('DADOS BRUTOS'!$A$3:$A$500,$B22,'DADOS BRUTOS'!AC$3:AC$500)+IF($C22="",0,SUMIF('DADOS BRUTOS'!$A$3:$A$500,$C22,'DADOS BRUTOS'!AC$3:AC$500)))</f>
        <v/>
      </c>
      <c r="DD22" s="56">
        <f>IF(OR(DD$4="",$B22=""),0,SUMIF('DADOS BRUTOS'!$A$3:$A$500,$B22,'DADOS BRUTOS'!AD$3:AD$500)+IF($C22="",0,SUMIF('DADOS BRUTOS'!$A$3:$A$500,$C22,'DADOS BRUTOS'!AD$3:AD$500)))</f>
        <v/>
      </c>
      <c r="DE22" s="56">
        <f>IF(OR(DE$4="",$B22=""),0,SUMIF('DADOS BRUTOS'!$A$3:$A$500,$B22,'DADOS BRUTOS'!AE$3:AE$500)+IF($C22="",0,SUMIF('DADOS BRUTOS'!$A$3:$A$500,$C22,'DADOS BRUTOS'!AE$3:AE$500)))</f>
        <v/>
      </c>
      <c r="DF22" s="56">
        <f>IF(OR(DF$4="",$B22=""),0,SUMIF('DADOS BRUTOS'!$A$3:$A$500,$B22,'DADOS BRUTOS'!AF$3:AF$500)+IF($C22="",0,SUMIF('DADOS BRUTOS'!$A$3:$A$500,$C22,'DADOS BRUTOS'!AF$3:AF$500)))</f>
        <v/>
      </c>
      <c r="DG22" s="56">
        <f>IF(OR(DG$4="",$B22=""),0,SUMIF('DADOS BRUTOS'!$A$3:$A$500,$B22,'DADOS BRUTOS'!AG$3:AG$500)+IF($C22="",0,SUMIF('DADOS BRUTOS'!$A$3:$A$500,$C22,'DADOS BRUTOS'!AG$3:AG$500)))</f>
        <v/>
      </c>
      <c r="DH22" s="56">
        <f>IF(OR(DH$4="",$B22=""),0,SUMIF('DADOS BRUTOS'!$A$3:$A$500,$B22,'DADOS BRUTOS'!AH$3:AH$500)+IF($C22="",0,SUMIF('DADOS BRUTOS'!$A$3:$A$500,$C22,'DADOS BRUTOS'!AH$3:AH$500)))</f>
        <v/>
      </c>
      <c r="DI22" s="56">
        <f>IF(OR(DI$4="",$B22=""),0,SUMIF('DADOS BRUTOS'!$A$3:$A$500,$B22,'DADOS BRUTOS'!AI$3:AI$500)+IF($C22="",0,SUMIF('DADOS BRUTOS'!$A$3:$A$500,$C22,'DADOS BRUTOS'!AI$3:AI$500)))</f>
        <v/>
      </c>
      <c r="DJ22" s="56">
        <f>IF(OR(DJ$4="",$B22=""),0,SUMIF('DADOS BRUTOS'!$A$3:$A$500,$B22,'DADOS BRUTOS'!AJ$3:AJ$500)+IF($C22="",0,SUMIF('DADOS BRUTOS'!$A$3:$A$500,$C22,'DADOS BRUTOS'!AJ$3:AJ$500)))</f>
        <v/>
      </c>
      <c r="DK22" s="56">
        <f>IF(OR(DK$4="",$B22=""),0,SUMIF('DADOS BRUTOS'!$A$3:$A$500,$B22,'DADOS BRUTOS'!AK$3:AK$500)+IF($C22="",0,SUMIF('DADOS BRUTOS'!$A$3:$A$500,$C22,'DADOS BRUTOS'!AK$3:AK$500)))</f>
        <v/>
      </c>
      <c r="DL22" s="56">
        <f>IF(OR(DL$4="",$B22=""),0,SUMIF('DADOS BRUTOS'!$A$3:$A$500,$B22,'DADOS BRUTOS'!AL$3:AL$500)+IF($C22="",0,SUMIF('DADOS BRUTOS'!$A$3:$A$500,$C22,'DADOS BRUTOS'!AL$3:AL$500)))</f>
        <v/>
      </c>
      <c r="DM22" s="56">
        <f>IF(OR(DM$4="",$B22=""),0,SUMIF('DADOS BRUTOS'!$A$3:$A$500,$B22,'DADOS BRUTOS'!AM$3:AM$500)+IF($C22="",0,SUMIF('DADOS BRUTOS'!$A$3:$A$500,$C22,'DADOS BRUTOS'!AM$3:AM$500)))</f>
        <v/>
      </c>
      <c r="DN22" s="56">
        <f>IF(OR(DN$4="",$B22=""),0,SUMIF('DADOS BRUTOS'!$A$3:$A$500,$B22,'DADOS BRUTOS'!AN$3:AN$500)+IF($C22="",0,SUMIF('DADOS BRUTOS'!$A$3:$A$500,$C22,'DADOS BRUTOS'!AN$3:AN$500)))</f>
        <v/>
      </c>
      <c r="DO22" s="56">
        <f>IF(OR(DO$4="",$B22=""),0,SUMIF('DADOS BRUTOS'!$A$3:$A$500,$B22,'DADOS BRUTOS'!AO$3:AO$500)+IF($C22="",0,SUMIF('DADOS BRUTOS'!$A$3:$A$500,$C22,'DADOS BRUTOS'!AO$3:AO$500)))</f>
        <v/>
      </c>
      <c r="DP22" s="56">
        <f>IF(OR(DP$4="",$B22=""),0,SUMIF('DADOS BRUTOS'!$A$3:$A$500,$B22,'DADOS BRUTOS'!AP$3:AP$500)+IF($C22="",0,SUMIF('DADOS BRUTOS'!$A$3:$A$500,$C22,'DADOS BRUTOS'!AP$3:AP$500)))</f>
        <v/>
      </c>
      <c r="DQ22" s="56">
        <f>IF(OR(DQ$4="",$B22=""),0,SUMIF('DADOS BRUTOS'!$A$3:$A$500,$B22,'DADOS BRUTOS'!AQ$3:AQ$500)+IF($C22="",0,SUMIF('DADOS BRUTOS'!$A$3:$A$500,$C22,'DADOS BRUTOS'!AQ$3:AQ$500)))</f>
        <v/>
      </c>
      <c r="DR22" s="56">
        <f>IF(OR(DR$4="",$B22=""),0,SUMIF('DADOS BRUTOS'!$A$3:$A$500,$B22,'DADOS BRUTOS'!AR$3:AR$500)+IF($C22="",0,SUMIF('DADOS BRUTOS'!$A$3:$A$500,$C22,'DADOS BRUTOS'!AR$3:AR$500)))</f>
        <v/>
      </c>
      <c r="DS22" s="56">
        <f>IF(OR(DS$4="",$B22=""),0,SUMIF('DADOS BRUTOS'!$A$3:$A$500,$B22,'DADOS BRUTOS'!AS$3:AS$500)+IF($C22="",0,SUMIF('DADOS BRUTOS'!$A$3:$A$500,$C22,'DADOS BRUTOS'!AS$3:AS$500)))</f>
        <v/>
      </c>
      <c r="DT22" s="56">
        <f>IF(OR(DT$4="",$B22=""),0,SUMIF('DADOS BRUTOS'!$A$3:$A$500,$B22,'DADOS BRUTOS'!AT$3:AT$500)+IF($C22="",0,SUMIF('DADOS BRUTOS'!$A$3:$A$500,$C22,'DADOS BRUTOS'!AT$3:AT$500)))</f>
        <v/>
      </c>
      <c r="DU22" s="56">
        <f>IF(OR(DU$4="",$B22=""),0,SUMIF('DADOS BRUTOS'!$A$3:$A$500,$B22,'DADOS BRUTOS'!AU$3:AU$500)+IF($C22="",0,SUMIF('DADOS BRUTOS'!$A$3:$A$500,$C22,'DADOS BRUTOS'!AU$3:AU$500)))</f>
        <v/>
      </c>
      <c r="DV22" s="56">
        <f>IF(OR(DV$4="",$B22=""),0,SUMIF('DADOS BRUTOS'!$A$3:$A$500,$B22,'DADOS BRUTOS'!AV$3:AV$500)+IF($C22="",0,SUMIF('DADOS BRUTOS'!$A$3:$A$500,$C22,'DADOS BRUTOS'!AV$3:AV$500)))</f>
        <v/>
      </c>
      <c r="DW22" s="56">
        <f>IF(OR(DW$4="",$B22=""),0,SUMIF('DADOS BRUTOS'!$A$3:$A$500,$B22,'DADOS BRUTOS'!AW$3:AW$500)+IF($C22="",0,SUMIF('DADOS BRUTOS'!$A$3:$A$500,$C22,'DADOS BRUTOS'!AW$3:AW$500)))</f>
        <v/>
      </c>
      <c r="DX22" s="56">
        <f>IF(OR(DX$4="",$B22=""),0,SUMIF('DADOS BRUTOS'!$A$3:$A$500,$B22,'DADOS BRUTOS'!AX$3:AX$500)+IF($C22="",0,SUMIF('DADOS BRUTOS'!$A$3:$A$500,$C22,'DADOS BRUTOS'!AX$3:AX$500)))</f>
        <v/>
      </c>
      <c r="DY22" s="56">
        <f>IF(OR(DY$4="",$B22=""),0,SUMIF('DADOS BRUTOS'!$A$3:$A$500,$B22,'DADOS BRUTOS'!AY$3:AY$500)+IF($C22="",0,SUMIF('DADOS BRUTOS'!$A$3:$A$500,$C22,'DADOS BRUTOS'!AY$3:AY$500)))</f>
        <v/>
      </c>
      <c r="DZ22" s="56">
        <f>IF(OR(DZ$4="",$B22=""),0,SUMIF('DADOS BRUTOS'!$A$3:$A$500,$B22,'DADOS BRUTOS'!AZ$3:AZ$500)+IF($C22="",0,SUMIF('DADOS BRUTOS'!$A$3:$A$500,$C22,'DADOS BRUTOS'!AZ$3:AZ$500)))</f>
        <v/>
      </c>
      <c r="EA22" s="56">
        <f>IF(OR(EA$4="",$B22=""),0,SUMIF('DADOS BRUTOS'!$A$3:$A$500,$B22,'DADOS BRUTOS'!BA$3:BA$500)+IF($C22="",0,SUMIF('DADOS BRUTOS'!$A$3:$A$500,$C22,'DADOS BRUTOS'!BA$3:BA$500)))</f>
        <v/>
      </c>
      <c r="EB22" s="56">
        <f>IF(OR(EB$4="",$B22=""),0,SUMIF('DADOS BRUTOS'!$A$3:$A$500,$B22,'DADOS BRUTOS'!BB$3:BB$500)+IF($C22="",0,SUMIF('DADOS BRUTOS'!$A$3:$A$500,$C22,'DADOS BRUTOS'!BB$3:BB$500)))</f>
        <v/>
      </c>
      <c r="EC22" s="56">
        <f>IF(OR(EC$4="",$B22=""),0,SUMIF('DADOS BRUTOS'!$A$3:$A$500,$B22,'DADOS BRUTOS'!BC$3:BC$500)+IF($C22="",0,SUMIF('DADOS BRUTOS'!$A$3:$A$500,$C22,'DADOS BRUTOS'!BC$3:BC$500)))</f>
        <v/>
      </c>
      <c r="ED22" s="56">
        <f>IF(OR(ED$4="",$B22=""),0,SUMIF('DADOS BRUTOS'!$A$3:$A$500,$B22,'DADOS BRUTOS'!BD$3:BD$500)+IF($C22="",0,SUMIF('DADOS BRUTOS'!$A$3:$A$500,$C22,'DADOS BRUTOS'!BD$3:BD$500)))</f>
        <v/>
      </c>
      <c r="EE22" s="56">
        <f>IF(OR(EE$4="",$B22=""),0,SUMIF('DADOS BRUTOS'!$A$3:$A$500,$B22,'DADOS BRUTOS'!BE$3:BE$500)+IF($C22="",0,SUMIF('DADOS BRUTOS'!$A$3:$A$500,$C22,'DADOS BRUTOS'!BE$3:BE$500)))</f>
        <v/>
      </c>
      <c r="EF22" s="56">
        <f>IF(OR(EF$4="",$B22=""),0,SUMIF('DADOS BRUTOS'!$A$3:$A$500,$B22,'DADOS BRUTOS'!BF$3:BF$500)+IF($C22="",0,SUMIF('DADOS BRUTOS'!$A$3:$A$500,$C22,'DADOS BRUTOS'!BF$3:BF$500)))</f>
        <v/>
      </c>
      <c r="EG22" s="56">
        <f>IF(OR(EG$4="",$B22=""),0,SUMIF('DADOS BRUTOS'!$A$3:$A$500,$B22,'DADOS BRUTOS'!BG$3:BG$500)+IF($C22="",0,SUMIF('DADOS BRUTOS'!$A$3:$A$500,$C22,'DADOS BRUTOS'!BG$3:BG$500)))</f>
        <v/>
      </c>
      <c r="EH22" s="56">
        <f>IF(OR(EH$4="",$B22=""),0,SUMIF('DADOS BRUTOS'!$A$3:$A$500,$B22,'DADOS BRUTOS'!BH$3:BH$500)+IF($C22="",0,SUMIF('DADOS BRUTOS'!$A$3:$A$500,$C22,'DADOS BRUTOS'!BH$3:BH$500)))</f>
        <v/>
      </c>
      <c r="EI22" s="56">
        <f>IF(OR(EI$4="",$B22=""),0,SUMIF('DADOS BRUTOS'!$A$3:$A$500,$B22,'DADOS BRUTOS'!BI$3:BI$500)+IF($C22="",0,SUMIF('DADOS BRUTOS'!$A$3:$A$500,$C22,'DADOS BRUTOS'!BI$3:BI$500)))</f>
        <v/>
      </c>
      <c r="EJ22" s="56">
        <f>IF(OR(EJ$4="",$B22=""),0,SUMIF('DADOS BRUTOS'!$A$3:$A$500,$B22,'DADOS BRUTOS'!BJ$3:BJ$500)+IF($C22="",0,SUMIF('DADOS BRUTOS'!$A$3:$A$500,$C22,'DADOS BRUTOS'!BJ$3:BJ$500)))</f>
        <v/>
      </c>
      <c r="EK22" s="56">
        <f>IF(OR(EK$4="",$B22=""),0,SUMIF('DADOS BRUTOS'!$A$3:$A$500,$B22,'DADOS BRUTOS'!BK$3:BK$500)+IF($C22="",0,SUMIF('DADOS BRUTOS'!$A$3:$A$500,$C22,'DADOS BRUTOS'!BK$3:BK$500)))</f>
        <v/>
      </c>
      <c r="EL22" s="56">
        <f>IF(OR(EL$4="",$B22=""),0,SUMIF('DADOS BRUTOS'!$A$3:$A$500,$B22,'DADOS BRUTOS'!BL$3:BL$500)+IF($C22="",0,SUMIF('DADOS BRUTOS'!$A$3:$A$500,$C22,'DADOS BRUTOS'!BL$3:BL$500)))</f>
        <v/>
      </c>
      <c r="EM22" s="56">
        <f>IF(OR(EM$4="",$B22=""),0,SUMIF('DADOS BRUTOS'!$A$3:$A$500,$B22,'DADOS BRUTOS'!BM$3:BM$500)+IF($C22="",0,SUMIF('DADOS BRUTOS'!$A$3:$A$500,$C22,'DADOS BRUTOS'!BM$3:BM$500)))</f>
        <v/>
      </c>
      <c r="EN22" s="56">
        <f>IF(OR(EN$4="",$B22=""),0,SUMIF('DADOS BRUTOS'!$A$3:$A$500,$B22,'DADOS BRUTOS'!BN$3:BN$500)+IF($C22="",0,SUMIF('DADOS BRUTOS'!$A$3:$A$500,$C22,'DADOS BRUTOS'!BN$3:BN$500)))</f>
        <v/>
      </c>
      <c r="EO22" s="56">
        <f>IF(OR(EO$4="",$B22=""),0,SUMIF('DADOS BRUTOS'!$A$3:$A$500,$B22,'DADOS BRUTOS'!BO$3:BO$500)+IF($C22="",0,SUMIF('DADOS BRUTOS'!$A$3:$A$500,$C22,'DADOS BRUTOS'!BO$3:BO$500)))</f>
        <v/>
      </c>
      <c r="EP22" s="56">
        <f>IF(OR(EP$4="",$B22=""),0,SUMIF('DADOS BRUTOS'!$A$3:$A$500,$B22,'DADOS BRUTOS'!BP$3:BP$500)+IF($C22="",0,SUMIF('DADOS BRUTOS'!$A$3:$A$500,$C22,'DADOS BRUTOS'!BP$3:BP$500)))</f>
        <v/>
      </c>
      <c r="EQ22" s="56">
        <f>IF(OR(EQ$4="",$B22=""),0,SUMIF('DADOS BRUTOS'!$A$3:$A$500,$B22,'DADOS BRUTOS'!BQ$3:BQ$500)+IF($C22="",0,SUMIF('DADOS BRUTOS'!$A$3:$A$500,$C22,'DADOS BRUTOS'!BQ$3:BQ$500)))</f>
        <v/>
      </c>
      <c r="ER22" s="56">
        <f>IF(OR(ER$4="",$B22=""),0,SUMIF('DADOS BRUTOS'!$A$3:$A$500,$B22,'DADOS BRUTOS'!BR$3:BR$500)+IF($C22="",0,SUMIF('DADOS BRUTOS'!$A$3:$A$500,$C22,'DADOS BRUTOS'!BR$3:BR$500)))</f>
        <v/>
      </c>
      <c r="ES22" s="56">
        <f>IF(OR(ES$4="",$B22=""),0,SUMIF('DADOS BRUTOS'!$A$3:$A$500,$B22,'DADOS BRUTOS'!BS$3:BS$500)+IF($C22="",0,SUMIF('DADOS BRUTOS'!$A$3:$A$500,$C22,'DADOS BRUTOS'!BS$3:BS$500)))</f>
        <v/>
      </c>
      <c r="ET22" s="56">
        <f>IF(OR(ET$4="",$B22=""),0,SUMIF('DADOS BRUTOS'!$A$3:$A$500,$B22,'DADOS BRUTOS'!BT$3:BT$500)+IF($C22="",0,SUMIF('DADOS BRUTOS'!$A$3:$A$500,$C22,'DADOS BRUTOS'!BT$3:BT$500)))</f>
        <v/>
      </c>
      <c r="EU22" s="56">
        <f>IF(OR(EU$4="",$B22=""),0,SUMIF('DADOS BRUTOS'!$A$3:$A$500,$B22,'DADOS BRUTOS'!BU$3:BU$500)+IF($C22="",0,SUMIF('DADOS BRUTOS'!$A$3:$A$500,$C22,'DADOS BRUTOS'!BU$3:BU$500)))</f>
        <v/>
      </c>
      <c r="EV22" s="56">
        <f>IF(OR(EV$4="",$B22=""),0,SUMIF('DADOS BRUTOS'!$A$3:$A$500,$B22,'DADOS BRUTOS'!BV$3:BV$500)+IF($C22="",0,SUMIF('DADOS BRUTOS'!$A$3:$A$500,$C22,'DADOS BRUTOS'!BV$3:BV$500)))</f>
        <v/>
      </c>
      <c r="EW22" s="56">
        <f>IF(OR(EW$4="",$B22=""),0,SUMIF('DADOS BRUTOS'!$A$3:$A$500,$B22,'DADOS BRUTOS'!BW$3:BW$500)+IF($C22="",0,SUMIF('DADOS BRUTOS'!$A$3:$A$500,$C22,'DADOS BRUTOS'!BW$3:BW$500)))</f>
        <v/>
      </c>
      <c r="EX22" s="56">
        <f>IF(OR(EX$4="",$B22=""),0,SUMIF('DADOS BRUTOS'!$A$3:$A$500,$B22,'DADOS BRUTOS'!BX$3:BX$500)+IF($C22="",0,SUMIF('DADOS BRUTOS'!$A$3:$A$500,$C22,'DADOS BRUTOS'!BX$3:BX$500)))</f>
        <v/>
      </c>
      <c r="EY22" s="56">
        <f>IF(OR(EY$4="",$B22=""),0,SUMIF('DADOS BRUTOS'!$A$3:$A$500,$B22,'DADOS BRUTOS'!BY$3:BY$500)+IF($C22="",0,SUMIF('DADOS BRUTOS'!$A$3:$A$500,$C22,'DADOS BRUTOS'!BY$3:BY$500)))</f>
        <v/>
      </c>
      <c r="EZ22" s="56">
        <f>IF(OR(EZ$4="",$B22=""),0,SUMIF('DADOS BRUTOS'!$A$3:$A$500,$B22,'DADOS BRUTOS'!BZ$3:BZ$500)+IF($C22="",0,SUMIF('DADOS BRUTOS'!$A$3:$A$500,$C22,'DADOS BRUTOS'!BZ$3:BZ$500)))</f>
        <v/>
      </c>
      <c r="FA22" s="56">
        <f>IF(OR(FA$4="",$B22=""),0,SUMIF('DADOS BRUTOS'!$A$3:$A$500,$B22,'DADOS BRUTOS'!CA$3:CA$500)+IF($C22="",0,SUMIF('DADOS BRUTOS'!$A$3:$A$500,$C22,'DADOS BRUTOS'!CA$3:CA$500)))</f>
        <v/>
      </c>
      <c r="FB22" s="56">
        <f>IF(OR(FB$4="",$B22=""),0,SUMIF('DADOS BRUTOS'!$A$3:$A$500,$B22,'DADOS BRUTOS'!CB$3:CB$500)+IF($C22="",0,SUMIF('DADOS BRUTOS'!$A$3:$A$500,$C22,'DADOS BRUTOS'!CB$3:CB$500)))</f>
        <v/>
      </c>
      <c r="FC22" s="56">
        <f>IF(OR(FC$4="",$B22=""),0,SUMIF('DADOS BRUTOS'!$A$3:$A$500,$B22,'DADOS BRUTOS'!CC$3:CC$500)+IF($C22="",0,SUMIF('DADOS BRUTOS'!$A$3:$A$500,$C22,'DADOS BRUTOS'!CC$3:CC$500)))</f>
        <v/>
      </c>
      <c r="FD22" s="56">
        <f>IF(OR(FD$4="",$B22=""),0,SUMIF('DADOS BRUTOS'!$A$3:$A$500,$B22,'DADOS BRUTOS'!CD$3:CD$500)+IF($C22="",0,SUMIF('DADOS BRUTOS'!$A$3:$A$500,$C22,'DADOS BRUTOS'!CD$3:CD$500)))</f>
        <v/>
      </c>
      <c r="FE22" s="56">
        <f>IF(OR(FE$4="",$B22=""),0,SUMIF('DADOS BRUTOS'!$A$3:$A$500,$B22,'DADOS BRUTOS'!CE$3:CE$500)+IF($C22="",0,SUMIF('DADOS BRUTOS'!$A$3:$A$500,$C22,'DADOS BRUTOS'!CE$3:CE$500)))</f>
        <v/>
      </c>
      <c r="FF22" s="56">
        <f>IF(OR(FF$4="",$B22=""),0,SUMIF('DADOS BRUTOS'!$A$3:$A$500,$B22,'DADOS BRUTOS'!CF$3:CF$500)+IF($C22="",0,SUMIF('DADOS BRUTOS'!$A$3:$A$500,$C22,'DADOS BRUTOS'!CF$3:CF$500)))</f>
        <v/>
      </c>
      <c r="FG22" s="56">
        <f>IF(OR(FG$4="",$B22=""),0,SUMIF('DADOS BRUTOS'!$A$3:$A$500,$B22,'DADOS BRUTOS'!CG$3:CG$500)+IF($C22="",0,SUMIF('DADOS BRUTOS'!$A$3:$A$500,$C22,'DADOS BRUTOS'!CG$3:CG$500)))</f>
        <v/>
      </c>
      <c r="FH22" s="56">
        <f>IF(OR(FH$4="",$B22=""),0,SUMIF('DADOS BRUTOS'!$A$3:$A$500,$B22,'DADOS BRUTOS'!CH$3:CH$500)+IF($C22="",0,SUMIF('DADOS BRUTOS'!$A$3:$A$500,$C22,'DADOS BRUTOS'!CH$3:CH$500)))</f>
        <v/>
      </c>
      <c r="FI22" s="56">
        <f>IF(OR(FI$4="",$B22=""),0,SUMIF('DADOS BRUTOS'!$A$3:$A$500,$B22,'DADOS BRUTOS'!CI$3:CI$500)+IF($C22="",0,SUMIF('DADOS BRUTOS'!$A$3:$A$500,$C22,'DADOS BRUTOS'!CI$3:CI$500)))</f>
        <v/>
      </c>
      <c r="FJ22" s="56">
        <f>IF(OR(FJ$4="",$B22=""),0,SUMIF('DADOS BRUTOS'!$A$3:$A$500,$B22,'DADOS BRUTOS'!CJ$3:CJ$500)+IF($C22="",0,SUMIF('DADOS BRUTOS'!$A$3:$A$500,$C22,'DADOS BRUTOS'!CJ$3:CJ$500)))</f>
        <v/>
      </c>
      <c r="FK22" s="56">
        <f>IF(OR(FK$4="",$B22=""),0,SUMIF('DADOS BRUTOS'!$A$3:$A$500,$B22,'DADOS BRUTOS'!CK$3:CK$500)+IF($C22="",0,SUMIF('DADOS BRUTOS'!$A$3:$A$500,$C22,'DADOS BRUTOS'!CK$3:CK$500)))</f>
        <v/>
      </c>
      <c r="FL22" s="56">
        <f>IF(OR(FL$4="",$B22=""),0,SUMIF('DADOS BRUTOS'!$A$3:$A$500,$B22,'DADOS BRUTOS'!CL$3:CL$500)+IF($C22="",0,SUMIF('DADOS BRUTOS'!$A$3:$A$500,$C22,'DADOS BRUTOS'!CL$3:CL$500)))</f>
        <v/>
      </c>
      <c r="FM22" s="56">
        <f>IF(OR(FM$4="",$B22=""),0,SUMIF('DADOS BRUTOS'!$A$3:$A$500,$B22,'DADOS BRUTOS'!CM$3:CM$500)+IF($C22="",0,SUMIF('DADOS BRUTOS'!$A$3:$A$500,$C22,'DADOS BRUTOS'!CM$3:CM$500)))</f>
        <v/>
      </c>
      <c r="FN22" s="56">
        <f>IF(OR(FN$4="",$B22=""),0,SUMIF('DADOS BRUTOS'!$A$3:$A$500,$B22,'DADOS BRUTOS'!CN$3:CN$500)+IF($C22="",0,SUMIF('DADOS BRUTOS'!$A$3:$A$500,$C22,'DADOS BRUTOS'!CN$3:CN$500)))</f>
        <v/>
      </c>
      <c r="FO22" s="56">
        <f>IF(OR(FO$4="",$B22=""),0,SUMIF('DADOS BRUTOS'!$A$3:$A$500,$B22,'DADOS BRUTOS'!CO$3:CO$500)+IF($C22="",0,SUMIF('DADOS BRUTOS'!$A$3:$A$500,$C22,'DADOS BRUTOS'!CO$3:CO$500)))</f>
        <v/>
      </c>
      <c r="FP22" s="56">
        <f>IF(OR(FP$4="",$B22=""),0,SUMIF('DADOS BRUTOS'!$A$3:$A$500,$B22,'DADOS BRUTOS'!CP$3:CP$500)+IF($C22="",0,SUMIF('DADOS BRUTOS'!$A$3:$A$500,$C22,'DADOS BRUTOS'!CP$3:CP$500)))</f>
        <v/>
      </c>
      <c r="FQ22" s="56">
        <f>IF(OR(FQ$4="",$B22=""),0,SUMIF('DADOS BRUTOS'!$A$3:$A$500,$B22,'DADOS BRUTOS'!CQ$3:CQ$500)+IF($C22="",0,SUMIF('DADOS BRUTOS'!$A$3:$A$500,$C22,'DADOS BRUTOS'!CQ$3:CQ$500)))</f>
        <v/>
      </c>
      <c r="FR22" s="56">
        <f>IF(OR(FR$4="",$B22=""),0,SUMIF('DADOS BRUTOS'!$A$3:$A$500,$B22,'DADOS BRUTOS'!CR$3:CR$500)+IF($C22="",0,SUMIF('DADOS BRUTOS'!$A$3:$A$500,$C22,'DADOS BRUTOS'!CR$3:CR$500)))</f>
        <v/>
      </c>
      <c r="FS22" s="56">
        <f>IF(OR(FS$4="",$B22=""),0,SUMIF('DADOS BRUTOS'!$A$3:$A$500,$B22,'DADOS BRUTOS'!CS$3:CS$500)+IF($C22="",0,SUMIF('DADOS BRUTOS'!$A$3:$A$500,$C22,'DADOS BRUTOS'!CS$3:CS$500)))</f>
        <v/>
      </c>
      <c r="FT22" s="56">
        <f>IF(OR(FT$4="",$B22=""),0,SUMIF('DADOS BRUTOS'!$A$3:$A$500,$B22,'DADOS BRUTOS'!CT$3:CT$500)+IF($C22="",0,SUMIF('DADOS BRUTOS'!$A$3:$A$500,$C22,'DADOS BRUTOS'!CT$3:CT$500)))</f>
        <v/>
      </c>
      <c r="FU22" s="56">
        <f>IF(OR(FU$4="",$B22=""),0,SUMIF('DADOS BRUTOS'!$A$3:$A$500,$B22,'DADOS BRUTOS'!CU$3:CU$500)+IF($C22="",0,SUMIF('DADOS BRUTOS'!$A$3:$A$500,$C22,'DADOS BRUTOS'!CU$3:CU$500)))</f>
        <v/>
      </c>
      <c r="FV22" s="56">
        <f>IF(OR(FV$4="",$B22=""),0,SUMIF('DADOS BRUTOS'!$A$3:$A$500,$B22,'DADOS BRUTOS'!CV$3:CV$500)+IF($C22="",0,SUMIF('DADOS BRUTOS'!$A$3:$A$500,$C22,'DADOS BRUTOS'!CV$3:CV$500)))</f>
        <v/>
      </c>
      <c r="FW22" s="56">
        <f>IF(OR(FW$4="",$B22=""),0,SUMIF('DADOS BRUTOS'!$A$3:$A$500,$B22,'DADOS BRUTOS'!CW$3:CW$500)+IF($C22="",0,SUMIF('DADOS BRUTOS'!$A$3:$A$500,$C22,'DADOS BRUTOS'!CW$3:CW$500)))</f>
        <v/>
      </c>
      <c r="FX22" s="56">
        <f>IF(OR(FX$4="",$B22=""),0,SUMIF('DADOS BRUTOS'!$A$3:$A$500,$B22,'DADOS BRUTOS'!CX$3:CX$500)+IF($C22="",0,SUMIF('DADOS BRUTOS'!$A$3:$A$500,$C22,'DADOS BRUTOS'!CX$3:CX$500)))</f>
        <v/>
      </c>
      <c r="FY22" s="56">
        <f>IF(OR(FY$4="",$B22=""),0,SUMIF('DADOS BRUTOS'!$A$3:$A$500,$B22,'DADOS BRUTOS'!CY$3:CY$500)+IF($C22="",0,SUMIF('DADOS BRUTOS'!$A$3:$A$500,$C22,'DADOS BRUTOS'!CY$3:CY$500)))</f>
        <v/>
      </c>
      <c r="FZ22" s="56">
        <f>IF(OR(FZ$4="",$B22=""),0,SUMIF('DADOS BRUTOS'!$A$3:$A$500,$B22,'DADOS BRUTOS'!CZ$3:CZ$500)+IF($C22="",0,SUMIF('DADOS BRUTOS'!$A$3:$A$500,$C22,'DADOS BRUTOS'!CZ$3:CZ$500)))</f>
        <v/>
      </c>
      <c r="GA22" s="56">
        <f>IF(OR(GA$4="",$B22=""),0,SUMIF('DADOS BRUTOS'!$A$3:$A$500,$B22,'DADOS BRUTOS'!DA$3:DA$500)+IF($C22="",0,SUMIF('DADOS BRUTOS'!$A$3:$A$500,$C22,'DADOS BRUTOS'!DA$3:DA$500)))</f>
        <v/>
      </c>
      <c r="GB22" s="56">
        <f>IF(OR(GB$4="",$B22=""),0,SUMIF('DADOS BRUTOS'!$A$3:$A$500,$B22,'DADOS BRUTOS'!DB$3:DB$500)+IF($C22="",0,SUMIF('DADOS BRUTOS'!$A$3:$A$500,$C22,'DADOS BRUTOS'!DB$3:DB$500)))</f>
        <v/>
      </c>
      <c r="GC22" s="56">
        <f>IF(OR(GC$4="",$B22=""),0,SUMIF('DADOS BRUTOS'!$A$3:$A$500,$B22,'DADOS BRUTOS'!DC$3:DC$500)+IF($C22="",0,SUMIF('DADOS BRUTOS'!$A$3:$A$500,$C22,'DADOS BRUTOS'!DC$3:DC$500)))</f>
        <v/>
      </c>
      <c r="GD22" s="56">
        <f>IF(OR(GD$4="",$B22=""),0,SUMIF('DADOS BRUTOS'!$A$3:$A$500,$B22,'DADOS BRUTOS'!DD$3:DD$500)+IF($C22="",0,SUMIF('DADOS BRUTOS'!$A$3:$A$500,$C22,'DADOS BRUTOS'!DD$3:DD$500)))</f>
        <v/>
      </c>
      <c r="GE22" s="56">
        <f>IF(OR(GE$4="",$B22=""),0,SUMIF('DADOS BRUTOS'!$A$3:$A$500,$B22,'DADOS BRUTOS'!DE$3:DE$500)+IF($C22="",0,SUMIF('DADOS BRUTOS'!$A$3:$A$500,$C22,'DADOS BRUTOS'!DE$3:DE$500)))</f>
        <v/>
      </c>
      <c r="GF22" s="56">
        <f>IF(OR(GF$4="",$B22=""),0,SUMIF('DADOS BRUTOS'!$A$3:$A$500,$B22,'DADOS BRUTOS'!DF$3:DF$500)+IF($C22="",0,SUMIF('DADOS BRUTOS'!$A$3:$A$500,$C22,'DADOS BRUTOS'!DF$3:DF$500)))</f>
        <v/>
      </c>
      <c r="GG22" s="56">
        <f>IF(OR(GG$4="",$B22=""),0,SUMIF('DADOS BRUTOS'!$A$3:$A$500,$B22,'DADOS BRUTOS'!DG$3:DG$500)+IF($C22="",0,SUMIF('DADOS BRUTOS'!$A$3:$A$500,$C22,'DADOS BRUTOS'!DG$3:DG$500)))</f>
        <v/>
      </c>
      <c r="GH22" s="56">
        <f>IF(OR(GH$4="",$B22=""),0,SUMIF('DADOS BRUTOS'!$A$3:$A$500,$B22,'DADOS BRUTOS'!DH$3:DH$500)+IF($C22="",0,SUMIF('DADOS BRUTOS'!$A$3:$A$500,$C22,'DADOS BRUTOS'!DH$3:DH$500)))</f>
        <v/>
      </c>
      <c r="GI22" s="56">
        <f>IF(OR(GI$4="",$B22=""),0,SUMIF('DADOS BRUTOS'!$A$3:$A$500,$B22,'DADOS BRUTOS'!DI$3:DI$500)+IF($C22="",0,SUMIF('DADOS BRUTOS'!$A$3:$A$500,$C22,'DADOS BRUTOS'!DI$3:DI$500)))</f>
        <v/>
      </c>
      <c r="GJ22" s="56">
        <f>IF(OR(GJ$4="",$B22=""),0,SUMIF('DADOS BRUTOS'!$A$3:$A$500,$B22,'DADOS BRUTOS'!DJ$3:DJ$500)+IF($C22="",0,SUMIF('DADOS BRUTOS'!$A$3:$A$500,$C22,'DADOS BRUTOS'!DJ$3:DJ$500)))</f>
        <v/>
      </c>
      <c r="GK22" s="56">
        <f>IF(OR(GK$4="",$B22=""),0,SUMIF('DADOS BRUTOS'!$A$3:$A$500,$B22,'DADOS BRUTOS'!DK$3:DK$500)+IF($C22="",0,SUMIF('DADOS BRUTOS'!$A$3:$A$500,$C22,'DADOS BRUTOS'!DK$3:DK$500)))</f>
        <v/>
      </c>
      <c r="GL22" s="56">
        <f>IF(OR(GL$4="",$B22=""),0,SUMIF('DADOS BRUTOS'!$A$3:$A$500,$B22,'DADOS BRUTOS'!DL$3:DL$500)+IF($C22="",0,SUMIF('DADOS BRUTOS'!$A$3:$A$500,$C22,'DADOS BRUTOS'!DL$3:DL$500)))</f>
        <v/>
      </c>
      <c r="GM22" s="56">
        <f>IF(OR(GM$4="",$B22=""),0,SUMIF('DADOS BRUTOS'!$A$3:$A$500,$B22,'DADOS BRUTOS'!DM$3:DM$500)+IF($C22="",0,SUMIF('DADOS BRUTOS'!$A$3:$A$500,$C22,'DADOS BRUTOS'!DM$3:DM$500)))</f>
        <v/>
      </c>
      <c r="GN22" s="56">
        <f>IF(OR(GN$4="",$B22=""),0,SUMIF('DADOS BRUTOS'!$A$3:$A$500,$B22,'DADOS BRUTOS'!DN$3:DN$500)+IF($C22="",0,SUMIF('DADOS BRUTOS'!$A$3:$A$500,$C22,'DADOS BRUTOS'!DN$3:DN$500)))</f>
        <v/>
      </c>
      <c r="GO22" s="56">
        <f>IF(OR(GO$4="",$B22=""),0,SUMIF('DADOS BRUTOS'!$A$3:$A$500,$B22,'DADOS BRUTOS'!DO$3:DO$500)+IF($C22="",0,SUMIF('DADOS BRUTOS'!$A$3:$A$500,$C22,'DADOS BRUTOS'!DO$3:DO$500)))</f>
        <v/>
      </c>
      <c r="GP22" s="56">
        <f>IF(OR(GP$4="",$B22=""),0,SUMIF('DADOS BRUTOS'!$A$3:$A$500,$B22,'DADOS BRUTOS'!DP$3:DP$500)+IF($C22="",0,SUMIF('DADOS BRUTOS'!$A$3:$A$500,$C22,'DADOS BRUTOS'!DP$3:DP$500)))</f>
        <v/>
      </c>
      <c r="GQ22" s="56">
        <f>IF(OR(GQ$4="",$B22=""),0,SUMIF('DADOS BRUTOS'!$A$3:$A$500,$B22,'DADOS BRUTOS'!DQ$3:DQ$500)+IF($C22="",0,SUMIF('DADOS BRUTOS'!$A$3:$A$500,$C22,'DADOS BRUTOS'!DQ$3:DQ$500)))</f>
        <v/>
      </c>
      <c r="GR22" s="56">
        <f>IF(OR(GR$4="",$B22=""),0,SUMIF('DADOS BRUTOS'!$A$3:$A$500,$B22,'DADOS BRUTOS'!DR$3:DR$500)+IF($C22="",0,SUMIF('DADOS BRUTOS'!$A$3:$A$500,$C22,'DADOS BRUTOS'!DR$3:DR$500)))</f>
        <v/>
      </c>
      <c r="GS22" s="56">
        <f>IF(OR(GS$4="",$B22=""),0,SUMIF('DADOS BRUTOS'!$A$3:$A$500,$B22,'DADOS BRUTOS'!DS$3:DS$500)+IF($C22="",0,SUMIF('DADOS BRUTOS'!$A$3:$A$500,$C22,'DADOS BRUTOS'!DS$3:DS$500)))</f>
        <v/>
      </c>
      <c r="GT22" s="56">
        <f>IF(OR(GT$4="",$B22=""),0,SUMIF('DADOS BRUTOS'!$A$3:$A$500,$B22,'DADOS BRUTOS'!DT$3:DT$500)+IF($C22="",0,SUMIF('DADOS BRUTOS'!$A$3:$A$500,$C22,'DADOS BRUTOS'!DT$3:DT$500)))</f>
        <v/>
      </c>
      <c r="GU22" s="56">
        <f>IF(OR(GU$4="",$B22=""),0,SUMIF('DADOS BRUTOS'!$A$3:$A$500,$B22,'DADOS BRUTOS'!DU$3:DU$500)+IF($C22="",0,SUMIF('DADOS BRUTOS'!$A$3:$A$500,$C22,'DADOS BRUTOS'!DU$3:DU$500)))</f>
        <v/>
      </c>
      <c r="GV22" s="56">
        <f>IF(OR(GV$4="",$B22=""),0,SUMIF('DADOS BRUTOS'!$A$3:$A$500,$B22,'DADOS BRUTOS'!DV$3:DV$500)+IF($C22="",0,SUMIF('DADOS BRUTOS'!$A$3:$A$500,$C22,'DADOS BRUTOS'!DV$3:DV$500)))</f>
        <v/>
      </c>
      <c r="GW22" s="56">
        <f>IF(OR(GW$4="",$B22=""),0,SUMIF('DADOS BRUTOS'!$A$3:$A$500,$B22,'DADOS BRUTOS'!DW$3:DW$500)+IF($C22="",0,SUMIF('DADOS BRUTOS'!$A$3:$A$500,$C22,'DADOS BRUTOS'!DW$3:DW$500)))</f>
        <v/>
      </c>
      <c r="GX22" s="56">
        <f>IF(OR(GX$4="",$B22=""),0,SUMIF('DADOS BRUTOS'!$A$3:$A$500,$B22,'DADOS BRUTOS'!DX$3:DX$500)+IF($C22="",0,SUMIF('DADOS BRUTOS'!$A$3:$A$500,$C22,'DADOS BRUTOS'!DX$3:DX$500)))</f>
        <v/>
      </c>
      <c r="GY22" s="56">
        <f>IF(OR(GY$4="",$B22=""),0,SUMIF('DADOS BRUTOS'!$A$3:$A$500,$B22,'DADOS BRUTOS'!DY$3:DY$500)+IF($C22="",0,SUMIF('DADOS BRUTOS'!$A$3:$A$500,$C22,'DADOS BRUTOS'!DY$3:DY$500)))</f>
        <v/>
      </c>
      <c r="GZ22" s="56">
        <f>IF(OR(GZ$4="",$B22=""),0,SUMIF('DADOS BRUTOS'!$A$3:$A$500,$B22,'DADOS BRUTOS'!DZ$3:DZ$500)+IF($C22="",0,SUMIF('DADOS BRUTOS'!$A$3:$A$500,$C22,'DADOS BRUTOS'!DZ$3:DZ$500)))</f>
        <v/>
      </c>
      <c r="HA22" s="56">
        <f>IF(OR(HA$4="",$B22=""),0,SUMIF('DADOS BRUTOS'!$A$3:$A$500,$B22,'DADOS BRUTOS'!EA$3:EA$500)+IF($C22="",0,SUMIF('DADOS BRUTOS'!$A$3:$A$500,$C22,'DADOS BRUTOS'!EA$3:EA$500)))</f>
        <v/>
      </c>
      <c r="HB22" s="56">
        <f>IF(OR(HB$4="",$B22=""),0,SUMIF('DADOS BRUTOS'!$A$3:$A$500,$B22,'DADOS BRUTOS'!EB$3:EB$500)+IF($C22="",0,SUMIF('DADOS BRUTOS'!$A$3:$A$500,$C22,'DADOS BRUTOS'!EB$3:EB$500)))</f>
        <v/>
      </c>
      <c r="HC22" s="56">
        <f>IF(OR(HC$4="",$B22=""),0,SUMIF('DADOS BRUTOS'!$A$3:$A$500,$B22,'DADOS BRUTOS'!EC$3:EC$500)+IF($C22="",0,SUMIF('DADOS BRUTOS'!$A$3:$A$500,$C22,'DADOS BRUTOS'!EC$3:EC$500)))</f>
        <v/>
      </c>
      <c r="HD22" s="56">
        <f>IF(OR(HD$4="",$B22=""),0,SUMIF('DADOS BRUTOS'!$A$3:$A$500,$B22,'DADOS BRUTOS'!ED$3:ED$500)+IF($C22="",0,SUMIF('DADOS BRUTOS'!$A$3:$A$500,$C22,'DADOS BRUTOS'!ED$3:ED$500)))</f>
        <v/>
      </c>
      <c r="HE22" s="56">
        <f>IF(OR(HE$4="",$B22=""),0,SUMIF('DADOS BRUTOS'!$A$3:$A$500,$B22,'DADOS BRUTOS'!EE$3:EE$500)+IF($C22="",0,SUMIF('DADOS BRUTOS'!$A$3:$A$500,$C22,'DADOS BRUTOS'!EE$3:EE$500)))</f>
        <v/>
      </c>
      <c r="HF22" s="56">
        <f>IF(OR(HF$4="",$B22=""),0,SUMIF('DADOS BRUTOS'!$A$3:$A$500,$B22,'DADOS BRUTOS'!EF$3:EF$500)+IF($C22="",0,SUMIF('DADOS BRUTOS'!$A$3:$A$500,$C22,'DADOS BRUTOS'!EF$3:EF$500)))</f>
        <v/>
      </c>
      <c r="HG22" s="56">
        <f>IF(OR(HG$4="",$B22=""),0,SUMIF('DADOS BRUTOS'!$A$3:$A$500,$B22,'DADOS BRUTOS'!EG$3:EG$500)+IF($C22="",0,SUMIF('DADOS BRUTOS'!$A$3:$A$500,$C22,'DADOS BRUTOS'!EG$3:EG$500)))</f>
        <v/>
      </c>
      <c r="HH22" s="56">
        <f>IF(OR(HH$4="",$B22=""),0,SUMIF('DADOS BRUTOS'!$A$3:$A$500,$B22,'DADOS BRUTOS'!EH$3:EH$500)+IF($C22="",0,SUMIF('DADOS BRUTOS'!$A$3:$A$500,$C22,'DADOS BRUTOS'!EH$3:EH$500)))</f>
        <v/>
      </c>
      <c r="HI22" s="56">
        <f>IF(OR(HI$4="",$B22=""),0,SUMIF('DADOS BRUTOS'!$A$3:$A$500,$B22,'DADOS BRUTOS'!EI$3:EI$500)+IF($C22="",0,SUMIF('DADOS BRUTOS'!$A$3:$A$500,$C22,'DADOS BRUTOS'!EI$3:EI$500)))</f>
        <v/>
      </c>
      <c r="HJ22" s="56">
        <f>IF(OR(HJ$4="",$B22=""),0,SUMIF('DADOS BRUTOS'!$A$3:$A$500,$B22,'DADOS BRUTOS'!EJ$3:EJ$500)+IF($C22="",0,SUMIF('DADOS BRUTOS'!$A$3:$A$500,$C22,'DADOS BRUTOS'!EJ$3:EJ$500)))</f>
        <v/>
      </c>
      <c r="HK22" s="56">
        <f>IF(OR(HK$4="",$B22=""),0,SUMIF('DADOS BRUTOS'!$A$3:$A$500,$B22,'DADOS BRUTOS'!EK$3:EK$500)+IF($C22="",0,SUMIF('DADOS BRUTOS'!$A$3:$A$500,$C22,'DADOS BRUTOS'!EK$3:EK$500)))</f>
        <v/>
      </c>
      <c r="HL22" s="56">
        <f>IF(OR(HL$4="",$B22=""),0,SUMIF('DADOS BRUTOS'!$A$3:$A$500,$B22,'DADOS BRUTOS'!EL$3:EL$500)+IF($C22="",0,SUMIF('DADOS BRUTOS'!$A$3:$A$500,$C22,'DADOS BRUTOS'!EL$3:EL$500)))</f>
        <v/>
      </c>
      <c r="HM22" s="56">
        <f>IF(OR(HM$4="",$B22=""),0,SUMIF('DADOS BRUTOS'!$A$3:$A$500,$B22,'DADOS BRUTOS'!EM$3:EM$500)+IF($C22="",0,SUMIF('DADOS BRUTOS'!$A$3:$A$500,$C22,'DADOS BRUTOS'!EM$3:EM$500)))</f>
        <v/>
      </c>
      <c r="HN22" s="56">
        <f>IF(OR(HN$4="",$B22=""),0,SUMIF('DADOS BRUTOS'!$A$3:$A$500,$B22,'DADOS BRUTOS'!EN$3:EN$500)+IF($C22="",0,SUMIF('DADOS BRUTOS'!$A$3:$A$500,$C22,'DADOS BRUTOS'!EN$3:EN$500)))</f>
        <v/>
      </c>
      <c r="HO22" s="56">
        <f>IF(OR(HO$4="",$B22=""),0,SUMIF('DADOS BRUTOS'!$A$3:$A$500,$B22,'DADOS BRUTOS'!EO$3:EO$500)+IF($C22="",0,SUMIF('DADOS BRUTOS'!$A$3:$A$500,$C22,'DADOS BRUTOS'!EO$3:EO$500)))</f>
        <v/>
      </c>
      <c r="HP22" s="56">
        <f>IF(OR(HP$4="",$B22=""),0,SUMIF('DADOS BRUTOS'!$A$3:$A$500,$B22,'DADOS BRUTOS'!EP$3:EP$500)+IF($C22="",0,SUMIF('DADOS BRUTOS'!$A$3:$A$500,$C22,'DADOS BRUTOS'!EP$3:EP$500)))</f>
        <v/>
      </c>
      <c r="HQ22" s="56">
        <f>IF(OR(HQ$4="",$B22=""),0,SUMIF('DADOS BRUTOS'!$A$3:$A$500,$B22,'DADOS BRUTOS'!EQ$3:EQ$500)+IF($C22="",0,SUMIF('DADOS BRUTOS'!$A$3:$A$500,$C22,'DADOS BRUTOS'!EQ$3:EQ$500)))</f>
        <v/>
      </c>
      <c r="HR22" s="56">
        <f>IF(OR(HR$4="",$B22=""),0,SUMIF('DADOS BRUTOS'!$A$3:$A$500,$B22,'DADOS BRUTOS'!ER$3:ER$500)+IF($C22="",0,SUMIF('DADOS BRUTOS'!$A$3:$A$500,$C22,'DADOS BRUTOS'!ER$3:ER$500)))</f>
        <v/>
      </c>
      <c r="HS22" s="56">
        <f>IF(OR(HS$4="",$B22=""),0,SUMIF('DADOS BRUTOS'!$A$3:$A$500,$B22,'DADOS BRUTOS'!ES$3:ES$500)+IF($C22="",0,SUMIF('DADOS BRUTOS'!$A$3:$A$500,$C22,'DADOS BRUTOS'!ES$3:ES$500)))</f>
        <v/>
      </c>
      <c r="HT22" s="56">
        <f>IF(OR(HT$4="",$B22=""),0,SUMIF('DADOS BRUTOS'!$A$3:$A$500,$B22,'DADOS BRUTOS'!ET$3:ET$500)+IF($C22="",0,SUMIF('DADOS BRUTOS'!$A$3:$A$500,$C22,'DADOS BRUTOS'!ET$3:ET$500)))</f>
        <v/>
      </c>
      <c r="HU22" s="56">
        <f>IF(OR(HU$4="",$B22=""),0,SUMIF('DADOS BRUTOS'!$A$3:$A$500,$B22,'DADOS BRUTOS'!EU$3:EU$500)+IF($C22="",0,SUMIF('DADOS BRUTOS'!$A$3:$A$500,$C22,'DADOS BRUTOS'!EU$3:EU$500)))</f>
        <v/>
      </c>
      <c r="HV22" s="56">
        <f>IF(OR(HV$4="",$B22=""),0,SUMIF('DADOS BRUTOS'!$A$3:$A$500,$B22,'DADOS BRUTOS'!EV$3:EV$500)+IF($C22="",0,SUMIF('DADOS BRUTOS'!$A$3:$A$500,$C22,'DADOS BRUTOS'!EV$3:EV$500)))</f>
        <v/>
      </c>
      <c r="HW22" s="56">
        <f>IF(OR(HW$4="",$B22=""),0,SUMIF('DADOS BRUTOS'!$A$3:$A$500,$B22,'DADOS BRUTOS'!EW$3:EW$500)+IF($C22="",0,SUMIF('DADOS BRUTOS'!$A$3:$A$500,$C22,'DADOS BRUTOS'!EW$3:EW$500)))</f>
        <v/>
      </c>
      <c r="HX22" s="56">
        <f>IF(OR(HX$4="",$B22=""),0,SUMIF('DADOS BRUTOS'!$A$3:$A$500,$B22,'DADOS BRUTOS'!EX$3:EX$500)+IF($C22="",0,SUMIF('DADOS BRUTOS'!$A$3:$A$500,$C22,'DADOS BRUTOS'!EX$3:EX$500)))</f>
        <v/>
      </c>
      <c r="HY22" s="56">
        <f>IF(OR(HY$4="",$B22=""),0,SUMIF('DADOS BRUTOS'!$A$3:$A$500,$B22,'DADOS BRUTOS'!EY$3:EY$500)+IF($C22="",0,SUMIF('DADOS BRUTOS'!$A$3:$A$500,$C22,'DADOS BRUTOS'!EY$3:EY$500)))</f>
        <v/>
      </c>
      <c r="HZ22" s="56">
        <f>IF(OR(HZ$4="",$B22=""),0,SUMIF('DADOS BRUTOS'!$A$3:$A$500,$B22,'DADOS BRUTOS'!EZ$3:EZ$500)+IF($C22="",0,SUMIF('DADOS BRUTOS'!$A$3:$A$500,$C22,'DADOS BRUTOS'!EZ$3:EZ$500)))</f>
        <v/>
      </c>
      <c r="IA22" s="56">
        <f>IF(OR(IA$4="",$B22=""),0,SUMIF('DADOS BRUTOS'!$A$3:$A$500,$B22,'DADOS BRUTOS'!FA$3:FA$500)+IF($C22="",0,SUMIF('DADOS BRUTOS'!$A$3:$A$500,$C22,'DADOS BRUTOS'!FA$3:FA$500)))</f>
        <v/>
      </c>
      <c r="IB22" s="56">
        <f>IF(OR(IB$4="",$B22=""),0,SUMIF('DADOS BRUTOS'!$A$3:$A$500,$B22,'DADOS BRUTOS'!FB$3:FB$500)+IF($C22="",0,SUMIF('DADOS BRUTOS'!$A$3:$A$500,$C22,'DADOS BRUTOS'!FB$3:FB$500)))</f>
        <v/>
      </c>
      <c r="IC22" s="56">
        <f>IF(OR(IC$4="",$B22=""),0,SUMIF('DADOS BRUTOS'!$A$3:$A$500,$B22,'DADOS BRUTOS'!FC$3:FC$500)+IF($C22="",0,SUMIF('DADOS BRUTOS'!$A$3:$A$500,$C22,'DADOS BRUTOS'!FC$3:FC$500)))</f>
        <v/>
      </c>
      <c r="ID22" s="56">
        <f>IF(OR(ID$4="",$B22=""),0,SUMIF('DADOS BRUTOS'!$A$3:$A$500,$B22,'DADOS BRUTOS'!FD$3:FD$500)+IF($C22="",0,SUMIF('DADOS BRUTOS'!$A$3:$A$500,$C22,'DADOS BRUTOS'!FD$3:FD$500)))</f>
        <v/>
      </c>
      <c r="IE22" s="56">
        <f>IF(OR(IE$4="",$B22=""),0,SUMIF('DADOS BRUTOS'!$A$3:$A$500,$B22,'DADOS BRUTOS'!FE$3:FE$500)+IF($C22="",0,SUMIF('DADOS BRUTOS'!$A$3:$A$500,$C22,'DADOS BRUTOS'!FE$3:FE$500)))</f>
        <v/>
      </c>
      <c r="IF22" s="56">
        <f>IF(OR(IF$4="",$B22=""),0,SUMIF('DADOS BRUTOS'!$A$3:$A$500,$B22,'DADOS BRUTOS'!FF$3:FF$500)+IF($C22="",0,SUMIF('DADOS BRUTOS'!$A$3:$A$500,$C22,'DADOS BRUTOS'!FF$3:FF$500)))</f>
        <v/>
      </c>
      <c r="IG22" s="56">
        <f>IF(OR(IG$4="",$B22=""),0,SUMIF('DADOS BRUTOS'!$A$3:$A$500,$B22,'DADOS BRUTOS'!FG$3:FG$500)+IF($C22="",0,SUMIF('DADOS BRUTOS'!$A$3:$A$500,$C22,'DADOS BRUTOS'!FG$3:FG$500)))</f>
        <v/>
      </c>
      <c r="IH22" s="56">
        <f>IF(OR(IH$4="",$B22=""),0,SUMIF('DADOS BRUTOS'!$A$3:$A$500,$B22,'DADOS BRUTOS'!FH$3:FH$500)+IF($C22="",0,SUMIF('DADOS BRUTOS'!$A$3:$A$500,$C22,'DADOS BRUTOS'!FH$3:FH$500)))</f>
        <v/>
      </c>
      <c r="II22" s="56">
        <f>IF(OR(II$4="",$B22=""),0,SUMIF('DADOS BRUTOS'!$A$3:$A$500,$B22,'DADOS BRUTOS'!FI$3:FI$500)+IF($C22="",0,SUMIF('DADOS BRUTOS'!$A$3:$A$500,$C22,'DADOS BRUTOS'!FI$3:FI$500)))</f>
        <v/>
      </c>
      <c r="IJ22" s="56">
        <f>IF(OR(IJ$4="",$B22=""),0,SUMIF('DADOS BRUTOS'!$A$3:$A$500,$B22,'DADOS BRUTOS'!FJ$3:FJ$500)+IF($C22="",0,SUMIF('DADOS BRUTOS'!$A$3:$A$500,$C22,'DADOS BRUTOS'!FJ$3:FJ$500)))</f>
        <v/>
      </c>
      <c r="IK22" s="56">
        <f>IF(OR(IK$4="",$B22=""),0,SUMIF('DADOS BRUTOS'!$A$3:$A$500,$B22,'DADOS BRUTOS'!FK$3:FK$500)+IF($C22="",0,SUMIF('DADOS BRUTOS'!$A$3:$A$500,$C22,'DADOS BRUTOS'!FK$3:FK$500)))</f>
        <v/>
      </c>
      <c r="IL22" s="56">
        <f>IF(OR(IL$4="",$B22=""),0,SUMIF('DADOS BRUTOS'!$A$3:$A$500,$B22,'DADOS BRUTOS'!FL$3:FL$500)+IF($C22="",0,SUMIF('DADOS BRUTOS'!$A$3:$A$500,$C22,'DADOS BRUTOS'!FL$3:FL$500)))</f>
        <v/>
      </c>
      <c r="IM22" s="56">
        <f>IF(OR(IM$4="",$B22=""),0,SUMIF('DADOS BRUTOS'!$A$3:$A$500,$B22,'DADOS BRUTOS'!FM$3:FM$500)+IF($C22="",0,SUMIF('DADOS BRUTOS'!$A$3:$A$500,$C22,'DADOS BRUTOS'!FM$3:FM$500)))</f>
        <v/>
      </c>
      <c r="IN22" s="56">
        <f>IF(OR(IN$4="",$B22=""),0,SUMIF('DADOS BRUTOS'!$A$3:$A$500,$B22,'DADOS BRUTOS'!FN$3:FN$500)+IF($C22="",0,SUMIF('DADOS BRUTOS'!$A$3:$A$500,$C22,'DADOS BRUTOS'!FN$3:FN$500)))</f>
        <v/>
      </c>
      <c r="IO22" s="56">
        <f>IF(OR(IO$4="",$B22=""),0,SUMIF('DADOS BRUTOS'!$A$3:$A$500,$B22,'DADOS BRUTOS'!FO$3:FO$500)+IF($C22="",0,SUMIF('DADOS BRUTOS'!$A$3:$A$500,$C22,'DADOS BRUTOS'!FO$3:FO$500)))</f>
        <v/>
      </c>
      <c r="IP22" s="56">
        <f>IF(OR(IP$4="",$B22=""),0,SUMIF('DADOS BRUTOS'!$A$3:$A$500,$B22,'DADOS BRUTOS'!FP$3:FP$500)+IF($C22="",0,SUMIF('DADOS BRUTOS'!$A$3:$A$500,$C22,'DADOS BRUTOS'!FP$3:FP$500)))</f>
        <v/>
      </c>
      <c r="IQ22" s="56">
        <f>IF(OR(IQ$4="",$B22=""),0,SUMIF('DADOS BRUTOS'!$A$3:$A$500,$B22,'DADOS BRUTOS'!FQ$3:FQ$500)+IF($C22="",0,SUMIF('DADOS BRUTOS'!$A$3:$A$500,$C22,'DADOS BRUTOS'!FQ$3:FQ$500)))</f>
        <v/>
      </c>
      <c r="IR22" s="56">
        <f>IF(OR(IR$4="",$B22=""),0,SUMIF('DADOS BRUTOS'!$A$3:$A$500,$B22,'DADOS BRUTOS'!FR$3:FR$500)+IF($C22="",0,SUMIF('DADOS BRUTOS'!$A$3:$A$500,$C22,'DADOS BRUTOS'!FR$3:FR$500)))</f>
        <v/>
      </c>
      <c r="IS22" s="56">
        <f>IF(OR(IS$4="",$B22=""),0,SUMIF('DADOS BRUTOS'!$A$3:$A$500,$B22,'DADOS BRUTOS'!FS$3:FS$500)+IF($C22="",0,SUMIF('DADOS BRUTOS'!$A$3:$A$500,$C22,'DADOS BRUTOS'!FS$3:FS$500)))</f>
        <v/>
      </c>
      <c r="IT22" s="56">
        <f>IF(OR(IT$4="",$B22=""),0,SUMIF('DADOS BRUTOS'!$A$3:$A$500,$B22,'DADOS BRUTOS'!FT$3:FT$500)+IF($C22="",0,SUMIF('DADOS BRUTOS'!$A$3:$A$500,$C22,'DADOS BRUTOS'!FT$3:FT$500)))</f>
        <v/>
      </c>
      <c r="IU22" s="56">
        <f>IF(OR(IU$4="",$B22=""),0,SUMIF('DADOS BRUTOS'!$A$3:$A$500,$B22,'DADOS BRUTOS'!FU$3:FU$500)+IF($C22="",0,SUMIF('DADOS BRUTOS'!$A$3:$A$500,$C22,'DADOS BRUTOS'!FU$3:FU$500)))</f>
        <v/>
      </c>
      <c r="IV22" s="56">
        <f>IF(OR(IV$4="",$B22=""),0,SUMIF('DADOS BRUTOS'!$A$3:$A$500,$B22,'DADOS BRUTOS'!FV$3:FV$500)+IF($C22="",0,SUMIF('DADOS BRUTOS'!$A$3:$A$500,$C22,'DADOS BRUTOS'!FV$3:FV$500)))</f>
        <v/>
      </c>
      <c r="IW22" s="56">
        <f>IF(OR(IW$4="",$B22=""),0,SUMIF('DADOS BRUTOS'!$A$3:$A$500,$B22,'DADOS BRUTOS'!FW$3:FW$500)+IF($C22="",0,SUMIF('DADOS BRUTOS'!$A$3:$A$500,$C22,'DADOS BRUTOS'!FW$3:FW$500)))</f>
        <v/>
      </c>
      <c r="IX22" s="56">
        <f>IF(OR(IX$4="",$B22=""),0,SUMIF('DADOS BRUTOS'!$A$3:$A$500,$B22,'DADOS BRUTOS'!FX$3:FX$500)+IF($C22="",0,SUMIF('DADOS BRUTOS'!$A$3:$A$500,$C22,'DADOS BRUTOS'!FX$3:FX$500)))</f>
        <v/>
      </c>
      <c r="IY22" s="56">
        <f>IF(OR(IY$4="",$B22=""),0,SUMIF('DADOS BRUTOS'!$A$3:$A$500,$B22,'DADOS BRUTOS'!FY$3:FY$500)+IF($C22="",0,SUMIF('DADOS BRUTOS'!$A$3:$A$500,$C22,'DADOS BRUTOS'!FY$3:FY$500)))</f>
        <v/>
      </c>
      <c r="IZ22" s="56">
        <f>IF(OR(IZ$4="",$B22=""),0,SUMIF('DADOS BRUTOS'!$A$3:$A$500,$B22,'DADOS BRUTOS'!FZ$3:FZ$500)+IF($C22="",0,SUMIF('DADOS BRUTOS'!$A$3:$A$500,$C22,'DADOS BRUTOS'!FZ$3:FZ$500)))</f>
        <v/>
      </c>
      <c r="JA22" s="56">
        <f>IF(OR(JA$4="",$B22=""),0,SUMIF('DADOS BRUTOS'!$A$3:$A$500,$B22,'DADOS BRUTOS'!GA$3:GA$500)+IF($C22="",0,SUMIF('DADOS BRUTOS'!$A$3:$A$500,$C22,'DADOS BRUTOS'!GA$3:GA$500)))</f>
        <v/>
      </c>
      <c r="JB22" s="56">
        <f>IF(OR(JB$4="",$B22=""),0,SUMIF('DADOS BRUTOS'!$A$3:$A$500,$B22,'DADOS BRUTOS'!GB$3:GB$500)+IF($C22="",0,SUMIF('DADOS BRUTOS'!$A$3:$A$500,$C22,'DADOS BRUTOS'!GB$3:GB$500)))</f>
        <v/>
      </c>
      <c r="JC22" s="56">
        <f>IF(OR(JC$4="",$B22=""),0,SUMIF('DADOS BRUTOS'!$A$3:$A$500,$B22,'DADOS BRUTOS'!GC$3:GC$500)+IF($C22="",0,SUMIF('DADOS BRUTOS'!$A$3:$A$500,$C22,'DADOS BRUTOS'!GC$3:GC$500)))</f>
        <v/>
      </c>
      <c r="JD22" s="56">
        <f>IF(OR(JD$4="",$B22=""),0,SUMIF('DADOS BRUTOS'!$A$3:$A$500,$B22,'DADOS BRUTOS'!GD$3:GD$500)+IF($C22="",0,SUMIF('DADOS BRUTOS'!$A$3:$A$500,$C22,'DADOS BRUTOS'!GD$3:GD$500)))</f>
        <v/>
      </c>
      <c r="JE22" s="56">
        <f>IF(OR(JE$4="",$B22=""),0,SUMIF('DADOS BRUTOS'!$A$3:$A$500,$B22,'DADOS BRUTOS'!GE$3:GE$500)+IF($C22="",0,SUMIF('DADOS BRUTOS'!$A$3:$A$500,$C22,'DADOS BRUTOS'!GE$3:GE$500)))</f>
        <v/>
      </c>
      <c r="JF22" s="56">
        <f>IF(OR(JF$4="",$B22=""),0,SUMIF('DADOS BRUTOS'!$A$3:$A$500,$B22,'DADOS BRUTOS'!GF$3:GF$500)+IF($C22="",0,SUMIF('DADOS BRUTOS'!$A$3:$A$500,$C22,'DADOS BRUTOS'!GF$3:GF$500)))</f>
        <v/>
      </c>
      <c r="JG22" s="56">
        <f>IF(OR(JG$4="",$B22=""),0,SUMIF('DADOS BRUTOS'!$A$3:$A$500,$B22,'DADOS BRUTOS'!GG$3:GG$500)+IF($C22="",0,SUMIF('DADOS BRUTOS'!$A$3:$A$500,$C22,'DADOS BRUTOS'!GG$3:GG$500)))</f>
        <v/>
      </c>
      <c r="JH22" s="56">
        <f>IF(OR(JH$4="",$B22=""),0,SUMIF('DADOS BRUTOS'!$A$3:$A$500,$B22,'DADOS BRUTOS'!GH$3:GH$500)+IF($C22="",0,SUMIF('DADOS BRUTOS'!$A$3:$A$500,$C22,'DADOS BRUTOS'!GH$3:GH$500)))</f>
        <v/>
      </c>
      <c r="JI22" s="56">
        <f>IF(OR(JI$4="",$B22=""),0,SUMIF('DADOS BRUTOS'!$A$3:$A$500,$B22,'DADOS BRUTOS'!GI$3:GI$500)+IF($C22="",0,SUMIF('DADOS BRUTOS'!$A$3:$A$500,$C22,'DADOS BRUTOS'!GI$3:GI$500)))</f>
        <v/>
      </c>
      <c r="JJ22" s="56">
        <f>IF(OR(JJ$4="",$B22=""),0,SUMIF('DADOS BRUTOS'!$A$3:$A$500,$B22,'DADOS BRUTOS'!GJ$3:GJ$500)+IF($C22="",0,SUMIF('DADOS BRUTOS'!$A$3:$A$500,$C22,'DADOS BRUTOS'!GJ$3:GJ$500)))</f>
        <v/>
      </c>
      <c r="JK22" s="56">
        <f>IF(OR(JK$4="",$B22=""),0,SUMIF('DADOS BRUTOS'!$A$3:$A$500,$B22,'DADOS BRUTOS'!GK$3:GK$500)+IF($C22="",0,SUMIF('DADOS BRUTOS'!$A$3:$A$500,$C22,'DADOS BRUTOS'!GK$3:GK$500)))</f>
        <v/>
      </c>
      <c r="JL22" s="56">
        <f>IF(OR(JL$4="",$B22=""),0,SUMIF('DADOS BRUTOS'!$A$3:$A$500,$B22,'DADOS BRUTOS'!GL$3:GL$500)+IF($C22="",0,SUMIF('DADOS BRUTOS'!$A$3:$A$500,$C22,'DADOS BRUTOS'!GL$3:GL$500)))</f>
        <v/>
      </c>
      <c r="JM22" s="56">
        <f>IF(OR(JM$4="",$B22=""),0,SUMIF('DADOS BRUTOS'!$A$3:$A$500,$B22,'DADOS BRUTOS'!GM$3:GM$500)+IF($C22="",0,SUMIF('DADOS BRUTOS'!$A$3:$A$500,$C22,'DADOS BRUTOS'!GM$3:GM$500)))</f>
        <v/>
      </c>
      <c r="JN22" s="56">
        <f>IF(OR(JN$4="",$B22=""),0,SUMIF('DADOS BRUTOS'!$A$3:$A$500,$B22,'DADOS BRUTOS'!GN$3:GN$500)+IF($C22="",0,SUMIF('DADOS BRUTOS'!$A$3:$A$500,$C22,'DADOS BRUTOS'!GN$3:GN$500)))</f>
        <v/>
      </c>
      <c r="JO22" s="56">
        <f>IF(OR(JO$4="",$B22=""),0,SUMIF('DADOS BRUTOS'!$A$3:$A$500,$B22,'DADOS BRUTOS'!GO$3:GO$500)+IF($C22="",0,SUMIF('DADOS BRUTOS'!$A$3:$A$500,$C22,'DADOS BRUTOS'!GO$3:GO$500)))</f>
        <v/>
      </c>
      <c r="JP22" s="56">
        <f>IF(OR(JP$4="",$B22=""),0,SUMIF('DADOS BRUTOS'!$A$3:$A$500,$B22,'DADOS BRUTOS'!GP$3:GP$500)+IF($C22="",0,SUMIF('DADOS BRUTOS'!$A$3:$A$500,$C22,'DADOS BRUTOS'!GP$3:GP$500)))</f>
        <v/>
      </c>
      <c r="JQ22" s="56">
        <f>IF(OR(JQ$4="",$B22=""),0,SUMIF('DADOS BRUTOS'!$A$3:$A$500,$B22,'DADOS BRUTOS'!GQ$3:GQ$500)+IF($C22="",0,SUMIF('DADOS BRUTOS'!$A$3:$A$500,$C22,'DADOS BRUTOS'!GQ$3:GQ$500)))</f>
        <v/>
      </c>
      <c r="JR22" s="56">
        <f>IF(OR(JR$4="",$B22=""),0,SUMIF('DADOS BRUTOS'!$A$3:$A$500,$B22,'DADOS BRUTOS'!GR$3:GR$500)+IF($C22="",0,SUMIF('DADOS BRUTOS'!$A$3:$A$500,$C22,'DADOS BRUTOS'!GR$3:GR$500)))</f>
        <v/>
      </c>
      <c r="JS22" s="56">
        <f>IF(OR(JS$4="",$B22=""),0,SUMIF('DADOS BRUTOS'!$A$3:$A$500,$B22,'DADOS BRUTOS'!GS$3:GS$500)+IF($C22="",0,SUMIF('DADOS BRUTOS'!$A$3:$A$500,$C22,'DADOS BRUTOS'!GS$3:GS$500)))</f>
        <v/>
      </c>
    </row>
    <row r="23">
      <c r="A23" s="34">
        <f>'VALOR POR PL'!D29</f>
        <v/>
      </c>
      <c r="B23" s="21" t="inlineStr">
        <is>
          <t>IMPERMEABILIZAÇÃO</t>
        </is>
      </c>
      <c r="C23" s="21" t="n"/>
      <c r="D23" s="17">
        <f>SUMIF($CB$4:$JS$4,"&lt;="&amp;D$4,$CB23:$JS23)</f>
        <v/>
      </c>
      <c r="E23" s="17">
        <f>SUMIF($CB$4:$JS$4,E$4,$CB23:$JS23)</f>
        <v/>
      </c>
      <c r="F23" s="17">
        <f>SUMIF($CB$4:$JS$4,F$4,$CB23:$JS23)</f>
        <v/>
      </c>
      <c r="G23" s="17">
        <f>SUMIF($CB$4:$JS$4,G$4,$CB23:$JS23)</f>
        <v/>
      </c>
      <c r="H23" s="17">
        <f>SUMIF($CB$4:$JS$4,H$4,$CB23:$JS23)</f>
        <v/>
      </c>
      <c r="I23" s="17">
        <f>SUMIF($CB$4:$JS$4,I$4,$CB23:$JS23)</f>
        <v/>
      </c>
      <c r="J23" s="17">
        <f>SUMIF($CB$4:$JS$4,J$4,$CB23:$JS23)</f>
        <v/>
      </c>
      <c r="K23" s="17">
        <f>SUMIF($CB$4:$JS$4,K$4,$CB23:$JS23)</f>
        <v/>
      </c>
      <c r="L23" s="17">
        <f>SUMIF($CB$4:$JS$4,L$4,$CB23:$JS23)</f>
        <v/>
      </c>
      <c r="M23" s="17">
        <f>SUMIF($CB$4:$JS$4,M$4,$CB23:$JS23)</f>
        <v/>
      </c>
      <c r="N23" s="17">
        <f>SUMIF($CB$4:$JS$4,N$4,$CB23:$JS23)</f>
        <v/>
      </c>
      <c r="O23" s="17">
        <f>SUMIF($CB$4:$JS$4,O$4,$CB23:$JS23)</f>
        <v/>
      </c>
      <c r="P23" s="17">
        <f>SUMIF($CB$4:$JS$4,P$4,$CB23:$JS23)</f>
        <v/>
      </c>
      <c r="Q23" s="17">
        <f>SUMIF($CB$4:$JS$4,Q$4,$CB23:$JS23)</f>
        <v/>
      </c>
      <c r="R23" s="17">
        <f>SUMIF($CB$4:$JS$4,R$4,$CB23:$JS23)</f>
        <v/>
      </c>
      <c r="S23" s="17">
        <f>SUMIF($CB$4:$JS$4,S$4,$CB23:$JS23)</f>
        <v/>
      </c>
      <c r="T23" s="17">
        <f>SUMIF($CB$4:$JS$4,T$4,$CB23:$JS23)</f>
        <v/>
      </c>
      <c r="U23" s="17">
        <f>SUMIF($CB$4:$JS$4,U$4,$CB23:$JS23)</f>
        <v/>
      </c>
      <c r="V23" s="17">
        <f>SUMIF($CB$4:$JS$4,V$4,$CB23:$JS23)</f>
        <v/>
      </c>
      <c r="W23" s="17">
        <f>SUMIF($CB$4:$JS$4,W$4,$CB23:$JS23)</f>
        <v/>
      </c>
      <c r="X23" s="17">
        <f>SUMIF($CB$4:$JS$4,X$4,$CB23:$JS23)</f>
        <v/>
      </c>
      <c r="Y23" s="17">
        <f>SUMIF($CB$4:$JS$4,Y$4,$CB23:$JS23)</f>
        <v/>
      </c>
      <c r="Z23" s="17">
        <f>SUMIF($CB$4:$JS$4,Z$4,$CB23:$JS23)</f>
        <v/>
      </c>
      <c r="AA23" s="17">
        <f>SUMIF($CB$4:$JS$4,AA$4,$CB23:$JS23)</f>
        <v/>
      </c>
      <c r="AB23" s="17">
        <f>SUMIF($CB$4:$JS$4,AB$4,$CB23:$JS23)</f>
        <v/>
      </c>
      <c r="AC23" s="17">
        <f>SUMIF($CB$4:$JS$4,AC$4,$CB23:$JS23)</f>
        <v/>
      </c>
      <c r="AD23" s="17">
        <f>SUMIF($CB$4:$JS$4,AD$4,$CB23:$JS23)</f>
        <v/>
      </c>
      <c r="AE23" s="17">
        <f>SUMIF($CB$4:$JS$4,AE$4,$CB23:$JS23)</f>
        <v/>
      </c>
      <c r="AF23" s="17">
        <f>SUMIF($CB$4:$JS$4,AF$4,$CB23:$JS23)</f>
        <v/>
      </c>
      <c r="AG23" s="17">
        <f>SUMIF($CB$4:$JS$4,AG$4,$CB23:$JS23)</f>
        <v/>
      </c>
      <c r="AH23" s="17">
        <f>SUMIF($CB$4:$JS$4,AH$4,$CB23:$JS23)</f>
        <v/>
      </c>
      <c r="AI23" s="17">
        <f>SUMIF($CB$4:$JS$4,AI$4,$CB23:$JS23)</f>
        <v/>
      </c>
      <c r="AJ23" s="17">
        <f>SUMIF($CB$4:$JS$4,AJ$4,$CB23:$JS23)</f>
        <v/>
      </c>
      <c r="AK23" s="17">
        <f>SUMIF($CB$4:$JS$4,AK$4,$CB23:$JS23)</f>
        <v/>
      </c>
      <c r="AL23" s="17">
        <f>SUMIF($CB$4:$JS$4,AL$4,$CB23:$JS23)</f>
        <v/>
      </c>
      <c r="AM23" s="17">
        <f>SUMIF($CB$4:$JS$4,AM$4,$CB23:$JS23)</f>
        <v/>
      </c>
      <c r="AN23" s="17">
        <f>SUMIF($CB$4:$JS$4,AN$4,$CB23:$JS23)</f>
        <v/>
      </c>
      <c r="AO23" s="17">
        <f>SUMIF($CB$4:$JS$4,AO$4,$CB23:$JS23)</f>
        <v/>
      </c>
      <c r="AP23" s="17">
        <f>SUMIF($CB$4:$JS$4,AP$4,$CB23:$JS23)</f>
        <v/>
      </c>
      <c r="AQ23" s="17">
        <f>SUMIF($CB$4:$JS$4,AQ$4,$CB23:$JS23)</f>
        <v/>
      </c>
      <c r="AR23" s="17">
        <f>SUMIF($CB$4:$JS$4,AR$4,$CB23:$JS23)</f>
        <v/>
      </c>
      <c r="AS23" s="17">
        <f>SUMIF($CB$4:$JS$4,AS$4,$CB23:$JS23)</f>
        <v/>
      </c>
      <c r="AT23" s="17">
        <f>SUMIF($CB$4:$JS$4,AT$4,$CB23:$JS23)</f>
        <v/>
      </c>
      <c r="AU23" s="17">
        <f>SUMIF($CB$4:$JS$4,AU$4,$CB23:$JS23)</f>
        <v/>
      </c>
      <c r="AV23" s="17">
        <f>SUMIF($CB$4:$JS$4,AV$4,$CB23:$JS23)</f>
        <v/>
      </c>
      <c r="AW23" s="17">
        <f>SUMIF($CB$4:$JS$4,AW$4,$CB23:$JS23)</f>
        <v/>
      </c>
      <c r="AX23" s="17">
        <f>SUMIF($CB$4:$JS$4,AX$4,$CB23:$JS23)</f>
        <v/>
      </c>
      <c r="AY23" s="17">
        <f>SUMIF($CB$4:$JS$4,AY$4,$CB23:$JS23)</f>
        <v/>
      </c>
      <c r="AZ23" s="17">
        <f>SUMIF($CB$4:$JS$4,AZ$4,$CB23:$JS23)</f>
        <v/>
      </c>
      <c r="BA23" s="17">
        <f>SUMIF($CB$4:$JS$4,BA$4,$CB23:$JS23)</f>
        <v/>
      </c>
      <c r="BB23" s="17">
        <f>SUMIF($CB$4:$JS$4,BB$4,$CB23:$JS23)</f>
        <v/>
      </c>
      <c r="BC23" s="17">
        <f>SUMIF($CB$4:$JS$4,BC$4,$CB23:$JS23)</f>
        <v/>
      </c>
      <c r="BD23" s="17">
        <f>SUMIF($CB$4:$JS$4,BD$4,$CB23:$JS23)</f>
        <v/>
      </c>
      <c r="BE23" s="17">
        <f>SUMIF($CB$4:$JS$4,BE$4,$CB23:$JS23)</f>
        <v/>
      </c>
      <c r="BF23" s="17">
        <f>SUMIF($CB$4:$JS$4,BF$4,$CB23:$JS23)</f>
        <v/>
      </c>
      <c r="BG23" s="17">
        <f>SUMIF($CB$4:$JS$4,BG$4,$CB23:$JS23)</f>
        <v/>
      </c>
      <c r="BH23" s="17">
        <f>SUMIF($CB$4:$JS$4,BH$4,$CB23:$JS23)</f>
        <v/>
      </c>
      <c r="BI23" s="17">
        <f>SUMIF($CB$4:$JS$4,BI$4,$CB23:$JS23)</f>
        <v/>
      </c>
      <c r="BJ23" s="17">
        <f>SUMIF($CB$4:$JS$4,BJ$4,$CB23:$JS23)</f>
        <v/>
      </c>
      <c r="BK23" s="17">
        <f>SUMIF($CB$4:$JS$4,BK$4,$CB23:$JS23)</f>
        <v/>
      </c>
      <c r="BL23" s="17">
        <f>SUMIF($CB$4:$JS$4,BL$4,$CB23:$JS23)</f>
        <v/>
      </c>
      <c r="BM23" s="17">
        <f>SUMIF($CB$4:$JS$4,BM$4,$CB23:$JS23)</f>
        <v/>
      </c>
      <c r="BN23" s="17">
        <f>SUMIF($CB$4:$JS$4,BN$4,$CB23:$JS23)</f>
        <v/>
      </c>
      <c r="BO23" s="17">
        <f>SUMIF($CB$4:$JS$4,BO$4,$CB23:$JS23)</f>
        <v/>
      </c>
      <c r="BP23" s="17">
        <f>SUMIF($CB$4:$JS$4,BP$4,$CB23:$JS23)</f>
        <v/>
      </c>
      <c r="BQ23" s="17">
        <f>SUMIF($CB$4:$JS$4,BQ$4,$CB23:$JS23)</f>
        <v/>
      </c>
      <c r="BR23" s="17">
        <f>SUMIF($CB$4:$JS$4,BR$4,$CB23:$JS23)</f>
        <v/>
      </c>
      <c r="BS23" s="17">
        <f>SUMIF($CB$4:$JS$4,BS$4,$CB23:$JS23)</f>
        <v/>
      </c>
      <c r="BT23" s="17">
        <f>SUMIF($CB$4:$JS$4,BT$4,$CB23:$JS23)</f>
        <v/>
      </c>
      <c r="BU23" s="17">
        <f>SUMIF($CB$4:$JS$4,BU$4,$CB23:$JS23)</f>
        <v/>
      </c>
      <c r="BV23" s="17">
        <f>SUMIF($CB$4:$JS$4,BV$4,$CB23:$JS23)</f>
        <v/>
      </c>
      <c r="BW23" s="17">
        <f>SUMIF($CB$4:$JS$4,BW$4,$CB23:$JS23)</f>
        <v/>
      </c>
      <c r="BX23" s="17">
        <f>SUMIF($CB$4:$JS$4,"&gt;"&amp;'VALOR POR PL'!$P$8,$CB23:$JS23)</f>
        <v/>
      </c>
      <c r="BY23" s="17">
        <f>SUM($CB23:$JS23)</f>
        <v/>
      </c>
      <c r="CB23" s="56">
        <f>IF(OR(CB$4="",$B23=""),0,SUMIF('DADOS BRUTOS'!$A$3:$A$500,$B23,'DADOS BRUTOS'!B$3:B$500)+IF($C23="",0,SUMIF('DADOS BRUTOS'!$A$3:$A$500,$C23,'DADOS BRUTOS'!B$3:B$500)))</f>
        <v/>
      </c>
      <c r="CC23" s="56">
        <f>IF(OR(CC$4="",$B23=""),0,SUMIF('DADOS BRUTOS'!$A$3:$A$500,$B23,'DADOS BRUTOS'!C$3:C$500)+IF($C23="",0,SUMIF('DADOS BRUTOS'!$A$3:$A$500,$C23,'DADOS BRUTOS'!C$3:C$500)))</f>
        <v/>
      </c>
      <c r="CD23" s="56">
        <f>IF(OR(CD$4="",$B23=""),0,SUMIF('DADOS BRUTOS'!$A$3:$A$500,$B23,'DADOS BRUTOS'!D$3:D$500)+IF($C23="",0,SUMIF('DADOS BRUTOS'!$A$3:$A$500,$C23,'DADOS BRUTOS'!D$3:D$500)))</f>
        <v/>
      </c>
      <c r="CE23" s="56">
        <f>IF(OR(CE$4="",$B23=""),0,SUMIF('DADOS BRUTOS'!$A$3:$A$500,$B23,'DADOS BRUTOS'!E$3:E$500)+IF($C23="",0,SUMIF('DADOS BRUTOS'!$A$3:$A$500,$C23,'DADOS BRUTOS'!E$3:E$500)))</f>
        <v/>
      </c>
      <c r="CF23" s="56">
        <f>IF(OR(CF$4="",$B23=""),0,SUMIF('DADOS BRUTOS'!$A$3:$A$500,$B23,'DADOS BRUTOS'!F$3:F$500)+IF($C23="",0,SUMIF('DADOS BRUTOS'!$A$3:$A$500,$C23,'DADOS BRUTOS'!F$3:F$500)))</f>
        <v/>
      </c>
      <c r="CG23" s="56">
        <f>IF(OR(CG$4="",$B23=""),0,SUMIF('DADOS BRUTOS'!$A$3:$A$500,$B23,'DADOS BRUTOS'!G$3:G$500)+IF($C23="",0,SUMIF('DADOS BRUTOS'!$A$3:$A$500,$C23,'DADOS BRUTOS'!G$3:G$500)))</f>
        <v/>
      </c>
      <c r="CH23" s="56">
        <f>IF(OR(CH$4="",$B23=""),0,SUMIF('DADOS BRUTOS'!$A$3:$A$500,$B23,'DADOS BRUTOS'!H$3:H$500)+IF($C23="",0,SUMIF('DADOS BRUTOS'!$A$3:$A$500,$C23,'DADOS BRUTOS'!H$3:H$500)))</f>
        <v/>
      </c>
      <c r="CI23" s="56">
        <f>IF(OR(CI$4="",$B23=""),0,SUMIF('DADOS BRUTOS'!$A$3:$A$500,$B23,'DADOS BRUTOS'!I$3:I$500)+IF($C23="",0,SUMIF('DADOS BRUTOS'!$A$3:$A$500,$C23,'DADOS BRUTOS'!I$3:I$500)))</f>
        <v/>
      </c>
      <c r="CJ23" s="56">
        <f>IF(OR(CJ$4="",$B23=""),0,SUMIF('DADOS BRUTOS'!$A$3:$A$500,$B23,'DADOS BRUTOS'!J$3:J$500)+IF($C23="",0,SUMIF('DADOS BRUTOS'!$A$3:$A$500,$C23,'DADOS BRUTOS'!J$3:J$500)))</f>
        <v/>
      </c>
      <c r="CK23" s="56">
        <f>IF(OR(CK$4="",$B23=""),0,SUMIF('DADOS BRUTOS'!$A$3:$A$500,$B23,'DADOS BRUTOS'!K$3:K$500)+IF($C23="",0,SUMIF('DADOS BRUTOS'!$A$3:$A$500,$C23,'DADOS BRUTOS'!K$3:K$500)))</f>
        <v/>
      </c>
      <c r="CL23" s="56">
        <f>IF(OR(CL$4="",$B23=""),0,SUMIF('DADOS BRUTOS'!$A$3:$A$500,$B23,'DADOS BRUTOS'!L$3:L$500)+IF($C23="",0,SUMIF('DADOS BRUTOS'!$A$3:$A$500,$C23,'DADOS BRUTOS'!L$3:L$500)))</f>
        <v/>
      </c>
      <c r="CM23" s="56">
        <f>IF(OR(CM$4="",$B23=""),0,SUMIF('DADOS BRUTOS'!$A$3:$A$500,$B23,'DADOS BRUTOS'!M$3:M$500)+IF($C23="",0,SUMIF('DADOS BRUTOS'!$A$3:$A$500,$C23,'DADOS BRUTOS'!M$3:M$500)))</f>
        <v/>
      </c>
      <c r="CN23" s="56">
        <f>IF(OR(CN$4="",$B23=""),0,SUMIF('DADOS BRUTOS'!$A$3:$A$500,$B23,'DADOS BRUTOS'!N$3:N$500)+IF($C23="",0,SUMIF('DADOS BRUTOS'!$A$3:$A$500,$C23,'DADOS BRUTOS'!N$3:N$500)))</f>
        <v/>
      </c>
      <c r="CO23" s="56">
        <f>IF(OR(CO$4="",$B23=""),0,SUMIF('DADOS BRUTOS'!$A$3:$A$500,$B23,'DADOS BRUTOS'!O$3:O$500)+IF($C23="",0,SUMIF('DADOS BRUTOS'!$A$3:$A$500,$C23,'DADOS BRUTOS'!O$3:O$500)))</f>
        <v/>
      </c>
      <c r="CP23" s="56">
        <f>IF(OR(CP$4="",$B23=""),0,SUMIF('DADOS BRUTOS'!$A$3:$A$500,$B23,'DADOS BRUTOS'!P$3:P$500)+IF($C23="",0,SUMIF('DADOS BRUTOS'!$A$3:$A$500,$C23,'DADOS BRUTOS'!P$3:P$500)))</f>
        <v/>
      </c>
      <c r="CQ23" s="56">
        <f>IF(OR(CQ$4="",$B23=""),0,SUMIF('DADOS BRUTOS'!$A$3:$A$500,$B23,'DADOS BRUTOS'!Q$3:Q$500)+IF($C23="",0,SUMIF('DADOS BRUTOS'!$A$3:$A$500,$C23,'DADOS BRUTOS'!Q$3:Q$500)))</f>
        <v/>
      </c>
      <c r="CR23" s="56">
        <f>IF(OR(CR$4="",$B23=""),0,SUMIF('DADOS BRUTOS'!$A$3:$A$500,$B23,'DADOS BRUTOS'!R$3:R$500)+IF($C23="",0,SUMIF('DADOS BRUTOS'!$A$3:$A$500,$C23,'DADOS BRUTOS'!R$3:R$500)))</f>
        <v/>
      </c>
      <c r="CS23" s="56">
        <f>IF(OR(CS$4="",$B23=""),0,SUMIF('DADOS BRUTOS'!$A$3:$A$500,$B23,'DADOS BRUTOS'!S$3:S$500)+IF($C23="",0,SUMIF('DADOS BRUTOS'!$A$3:$A$500,$C23,'DADOS BRUTOS'!S$3:S$500)))</f>
        <v/>
      </c>
      <c r="CT23" s="56">
        <f>IF(OR(CT$4="",$B23=""),0,SUMIF('DADOS BRUTOS'!$A$3:$A$500,$B23,'DADOS BRUTOS'!T$3:T$500)+IF($C23="",0,SUMIF('DADOS BRUTOS'!$A$3:$A$500,$C23,'DADOS BRUTOS'!T$3:T$500)))</f>
        <v/>
      </c>
      <c r="CU23" s="56">
        <f>IF(OR(CU$4="",$B23=""),0,SUMIF('DADOS BRUTOS'!$A$3:$A$500,$B23,'DADOS BRUTOS'!U$3:U$500)+IF($C23="",0,SUMIF('DADOS BRUTOS'!$A$3:$A$500,$C23,'DADOS BRUTOS'!U$3:U$500)))</f>
        <v/>
      </c>
      <c r="CV23" s="56">
        <f>IF(OR(CV$4="",$B23=""),0,SUMIF('DADOS BRUTOS'!$A$3:$A$500,$B23,'DADOS BRUTOS'!V$3:V$500)+IF($C23="",0,SUMIF('DADOS BRUTOS'!$A$3:$A$500,$C23,'DADOS BRUTOS'!V$3:V$500)))</f>
        <v/>
      </c>
      <c r="CW23" s="56">
        <f>IF(OR(CW$4="",$B23=""),0,SUMIF('DADOS BRUTOS'!$A$3:$A$500,$B23,'DADOS BRUTOS'!W$3:W$500)+IF($C23="",0,SUMIF('DADOS BRUTOS'!$A$3:$A$500,$C23,'DADOS BRUTOS'!W$3:W$500)))</f>
        <v/>
      </c>
      <c r="CX23" s="56">
        <f>IF(OR(CX$4="",$B23=""),0,SUMIF('DADOS BRUTOS'!$A$3:$A$500,$B23,'DADOS BRUTOS'!X$3:X$500)+IF($C23="",0,SUMIF('DADOS BRUTOS'!$A$3:$A$500,$C23,'DADOS BRUTOS'!X$3:X$500)))</f>
        <v/>
      </c>
      <c r="CY23" s="56">
        <f>IF(OR(CY$4="",$B23=""),0,SUMIF('DADOS BRUTOS'!$A$3:$A$500,$B23,'DADOS BRUTOS'!Y$3:Y$500)+IF($C23="",0,SUMIF('DADOS BRUTOS'!$A$3:$A$500,$C23,'DADOS BRUTOS'!Y$3:Y$500)))</f>
        <v/>
      </c>
      <c r="CZ23" s="56">
        <f>IF(OR(CZ$4="",$B23=""),0,SUMIF('DADOS BRUTOS'!$A$3:$A$500,$B23,'DADOS BRUTOS'!Z$3:Z$500)+IF($C23="",0,SUMIF('DADOS BRUTOS'!$A$3:$A$500,$C23,'DADOS BRUTOS'!Z$3:Z$500)))</f>
        <v/>
      </c>
      <c r="DA23" s="56">
        <f>IF(OR(DA$4="",$B23=""),0,SUMIF('DADOS BRUTOS'!$A$3:$A$500,$B23,'DADOS BRUTOS'!AA$3:AA$500)+IF($C23="",0,SUMIF('DADOS BRUTOS'!$A$3:$A$500,$C23,'DADOS BRUTOS'!AA$3:AA$500)))</f>
        <v/>
      </c>
      <c r="DB23" s="56">
        <f>IF(OR(DB$4="",$B23=""),0,SUMIF('DADOS BRUTOS'!$A$3:$A$500,$B23,'DADOS BRUTOS'!AB$3:AB$500)+IF($C23="",0,SUMIF('DADOS BRUTOS'!$A$3:$A$500,$C23,'DADOS BRUTOS'!AB$3:AB$500)))</f>
        <v/>
      </c>
      <c r="DC23" s="56">
        <f>IF(OR(DC$4="",$B23=""),0,SUMIF('DADOS BRUTOS'!$A$3:$A$500,$B23,'DADOS BRUTOS'!AC$3:AC$500)+IF($C23="",0,SUMIF('DADOS BRUTOS'!$A$3:$A$500,$C23,'DADOS BRUTOS'!AC$3:AC$500)))</f>
        <v/>
      </c>
      <c r="DD23" s="56">
        <f>IF(OR(DD$4="",$B23=""),0,SUMIF('DADOS BRUTOS'!$A$3:$A$500,$B23,'DADOS BRUTOS'!AD$3:AD$500)+IF($C23="",0,SUMIF('DADOS BRUTOS'!$A$3:$A$500,$C23,'DADOS BRUTOS'!AD$3:AD$500)))</f>
        <v/>
      </c>
      <c r="DE23" s="56">
        <f>IF(OR(DE$4="",$B23=""),0,SUMIF('DADOS BRUTOS'!$A$3:$A$500,$B23,'DADOS BRUTOS'!AE$3:AE$500)+IF($C23="",0,SUMIF('DADOS BRUTOS'!$A$3:$A$500,$C23,'DADOS BRUTOS'!AE$3:AE$500)))</f>
        <v/>
      </c>
      <c r="DF23" s="56">
        <f>IF(OR(DF$4="",$B23=""),0,SUMIF('DADOS BRUTOS'!$A$3:$A$500,$B23,'DADOS BRUTOS'!AF$3:AF$500)+IF($C23="",0,SUMIF('DADOS BRUTOS'!$A$3:$A$500,$C23,'DADOS BRUTOS'!AF$3:AF$500)))</f>
        <v/>
      </c>
      <c r="DG23" s="56">
        <f>IF(OR(DG$4="",$B23=""),0,SUMIF('DADOS BRUTOS'!$A$3:$A$500,$B23,'DADOS BRUTOS'!AG$3:AG$500)+IF($C23="",0,SUMIF('DADOS BRUTOS'!$A$3:$A$500,$C23,'DADOS BRUTOS'!AG$3:AG$500)))</f>
        <v/>
      </c>
      <c r="DH23" s="56">
        <f>IF(OR(DH$4="",$B23=""),0,SUMIF('DADOS BRUTOS'!$A$3:$A$500,$B23,'DADOS BRUTOS'!AH$3:AH$500)+IF($C23="",0,SUMIF('DADOS BRUTOS'!$A$3:$A$500,$C23,'DADOS BRUTOS'!AH$3:AH$500)))</f>
        <v/>
      </c>
      <c r="DI23" s="56">
        <f>IF(OR(DI$4="",$B23=""),0,SUMIF('DADOS BRUTOS'!$A$3:$A$500,$B23,'DADOS BRUTOS'!AI$3:AI$500)+IF($C23="",0,SUMIF('DADOS BRUTOS'!$A$3:$A$500,$C23,'DADOS BRUTOS'!AI$3:AI$500)))</f>
        <v/>
      </c>
      <c r="DJ23" s="56">
        <f>IF(OR(DJ$4="",$B23=""),0,SUMIF('DADOS BRUTOS'!$A$3:$A$500,$B23,'DADOS BRUTOS'!AJ$3:AJ$500)+IF($C23="",0,SUMIF('DADOS BRUTOS'!$A$3:$A$500,$C23,'DADOS BRUTOS'!AJ$3:AJ$500)))</f>
        <v/>
      </c>
      <c r="DK23" s="56">
        <f>IF(OR(DK$4="",$B23=""),0,SUMIF('DADOS BRUTOS'!$A$3:$A$500,$B23,'DADOS BRUTOS'!AK$3:AK$500)+IF($C23="",0,SUMIF('DADOS BRUTOS'!$A$3:$A$500,$C23,'DADOS BRUTOS'!AK$3:AK$500)))</f>
        <v/>
      </c>
      <c r="DL23" s="56">
        <f>IF(OR(DL$4="",$B23=""),0,SUMIF('DADOS BRUTOS'!$A$3:$A$500,$B23,'DADOS BRUTOS'!AL$3:AL$500)+IF($C23="",0,SUMIF('DADOS BRUTOS'!$A$3:$A$500,$C23,'DADOS BRUTOS'!AL$3:AL$500)))</f>
        <v/>
      </c>
      <c r="DM23" s="56">
        <f>IF(OR(DM$4="",$B23=""),0,SUMIF('DADOS BRUTOS'!$A$3:$A$500,$B23,'DADOS BRUTOS'!AM$3:AM$500)+IF($C23="",0,SUMIF('DADOS BRUTOS'!$A$3:$A$500,$C23,'DADOS BRUTOS'!AM$3:AM$500)))</f>
        <v/>
      </c>
      <c r="DN23" s="56">
        <f>IF(OR(DN$4="",$B23=""),0,SUMIF('DADOS BRUTOS'!$A$3:$A$500,$B23,'DADOS BRUTOS'!AN$3:AN$500)+IF($C23="",0,SUMIF('DADOS BRUTOS'!$A$3:$A$500,$C23,'DADOS BRUTOS'!AN$3:AN$500)))</f>
        <v/>
      </c>
      <c r="DO23" s="56">
        <f>IF(OR(DO$4="",$B23=""),0,SUMIF('DADOS BRUTOS'!$A$3:$A$500,$B23,'DADOS BRUTOS'!AO$3:AO$500)+IF($C23="",0,SUMIF('DADOS BRUTOS'!$A$3:$A$500,$C23,'DADOS BRUTOS'!AO$3:AO$500)))</f>
        <v/>
      </c>
      <c r="DP23" s="56">
        <f>IF(OR(DP$4="",$B23=""),0,SUMIF('DADOS BRUTOS'!$A$3:$A$500,$B23,'DADOS BRUTOS'!AP$3:AP$500)+IF($C23="",0,SUMIF('DADOS BRUTOS'!$A$3:$A$500,$C23,'DADOS BRUTOS'!AP$3:AP$500)))</f>
        <v/>
      </c>
      <c r="DQ23" s="56">
        <f>IF(OR(DQ$4="",$B23=""),0,SUMIF('DADOS BRUTOS'!$A$3:$A$500,$B23,'DADOS BRUTOS'!AQ$3:AQ$500)+IF($C23="",0,SUMIF('DADOS BRUTOS'!$A$3:$A$500,$C23,'DADOS BRUTOS'!AQ$3:AQ$500)))</f>
        <v/>
      </c>
      <c r="DR23" s="56">
        <f>IF(OR(DR$4="",$B23=""),0,SUMIF('DADOS BRUTOS'!$A$3:$A$500,$B23,'DADOS BRUTOS'!AR$3:AR$500)+IF($C23="",0,SUMIF('DADOS BRUTOS'!$A$3:$A$500,$C23,'DADOS BRUTOS'!AR$3:AR$500)))</f>
        <v/>
      </c>
      <c r="DS23" s="56">
        <f>IF(OR(DS$4="",$B23=""),0,SUMIF('DADOS BRUTOS'!$A$3:$A$500,$B23,'DADOS BRUTOS'!AS$3:AS$500)+IF($C23="",0,SUMIF('DADOS BRUTOS'!$A$3:$A$500,$C23,'DADOS BRUTOS'!AS$3:AS$500)))</f>
        <v/>
      </c>
      <c r="DT23" s="56">
        <f>IF(OR(DT$4="",$B23=""),0,SUMIF('DADOS BRUTOS'!$A$3:$A$500,$B23,'DADOS BRUTOS'!AT$3:AT$500)+IF($C23="",0,SUMIF('DADOS BRUTOS'!$A$3:$A$500,$C23,'DADOS BRUTOS'!AT$3:AT$500)))</f>
        <v/>
      </c>
      <c r="DU23" s="56">
        <f>IF(OR(DU$4="",$B23=""),0,SUMIF('DADOS BRUTOS'!$A$3:$A$500,$B23,'DADOS BRUTOS'!AU$3:AU$500)+IF($C23="",0,SUMIF('DADOS BRUTOS'!$A$3:$A$500,$C23,'DADOS BRUTOS'!AU$3:AU$500)))</f>
        <v/>
      </c>
      <c r="DV23" s="56">
        <f>IF(OR(DV$4="",$B23=""),0,SUMIF('DADOS BRUTOS'!$A$3:$A$500,$B23,'DADOS BRUTOS'!AV$3:AV$500)+IF($C23="",0,SUMIF('DADOS BRUTOS'!$A$3:$A$500,$C23,'DADOS BRUTOS'!AV$3:AV$500)))</f>
        <v/>
      </c>
      <c r="DW23" s="56">
        <f>IF(OR(DW$4="",$B23=""),0,SUMIF('DADOS BRUTOS'!$A$3:$A$500,$B23,'DADOS BRUTOS'!AW$3:AW$500)+IF($C23="",0,SUMIF('DADOS BRUTOS'!$A$3:$A$500,$C23,'DADOS BRUTOS'!AW$3:AW$500)))</f>
        <v/>
      </c>
      <c r="DX23" s="56">
        <f>IF(OR(DX$4="",$B23=""),0,SUMIF('DADOS BRUTOS'!$A$3:$A$500,$B23,'DADOS BRUTOS'!AX$3:AX$500)+IF($C23="",0,SUMIF('DADOS BRUTOS'!$A$3:$A$500,$C23,'DADOS BRUTOS'!AX$3:AX$500)))</f>
        <v/>
      </c>
      <c r="DY23" s="56">
        <f>IF(OR(DY$4="",$B23=""),0,SUMIF('DADOS BRUTOS'!$A$3:$A$500,$B23,'DADOS BRUTOS'!AY$3:AY$500)+IF($C23="",0,SUMIF('DADOS BRUTOS'!$A$3:$A$500,$C23,'DADOS BRUTOS'!AY$3:AY$500)))</f>
        <v/>
      </c>
      <c r="DZ23" s="56">
        <f>IF(OR(DZ$4="",$B23=""),0,SUMIF('DADOS BRUTOS'!$A$3:$A$500,$B23,'DADOS BRUTOS'!AZ$3:AZ$500)+IF($C23="",0,SUMIF('DADOS BRUTOS'!$A$3:$A$500,$C23,'DADOS BRUTOS'!AZ$3:AZ$500)))</f>
        <v/>
      </c>
      <c r="EA23" s="56">
        <f>IF(OR(EA$4="",$B23=""),0,SUMIF('DADOS BRUTOS'!$A$3:$A$500,$B23,'DADOS BRUTOS'!BA$3:BA$500)+IF($C23="",0,SUMIF('DADOS BRUTOS'!$A$3:$A$500,$C23,'DADOS BRUTOS'!BA$3:BA$500)))</f>
        <v/>
      </c>
      <c r="EB23" s="56">
        <f>IF(OR(EB$4="",$B23=""),0,SUMIF('DADOS BRUTOS'!$A$3:$A$500,$B23,'DADOS BRUTOS'!BB$3:BB$500)+IF($C23="",0,SUMIF('DADOS BRUTOS'!$A$3:$A$500,$C23,'DADOS BRUTOS'!BB$3:BB$500)))</f>
        <v/>
      </c>
      <c r="EC23" s="56">
        <f>IF(OR(EC$4="",$B23=""),0,SUMIF('DADOS BRUTOS'!$A$3:$A$500,$B23,'DADOS BRUTOS'!BC$3:BC$500)+IF($C23="",0,SUMIF('DADOS BRUTOS'!$A$3:$A$500,$C23,'DADOS BRUTOS'!BC$3:BC$500)))</f>
        <v/>
      </c>
      <c r="ED23" s="56">
        <f>IF(OR(ED$4="",$B23=""),0,SUMIF('DADOS BRUTOS'!$A$3:$A$500,$B23,'DADOS BRUTOS'!BD$3:BD$500)+IF($C23="",0,SUMIF('DADOS BRUTOS'!$A$3:$A$500,$C23,'DADOS BRUTOS'!BD$3:BD$500)))</f>
        <v/>
      </c>
      <c r="EE23" s="56">
        <f>IF(OR(EE$4="",$B23=""),0,SUMIF('DADOS BRUTOS'!$A$3:$A$500,$B23,'DADOS BRUTOS'!BE$3:BE$500)+IF($C23="",0,SUMIF('DADOS BRUTOS'!$A$3:$A$500,$C23,'DADOS BRUTOS'!BE$3:BE$500)))</f>
        <v/>
      </c>
      <c r="EF23" s="56">
        <f>IF(OR(EF$4="",$B23=""),0,SUMIF('DADOS BRUTOS'!$A$3:$A$500,$B23,'DADOS BRUTOS'!BF$3:BF$500)+IF($C23="",0,SUMIF('DADOS BRUTOS'!$A$3:$A$500,$C23,'DADOS BRUTOS'!BF$3:BF$500)))</f>
        <v/>
      </c>
      <c r="EG23" s="56">
        <f>IF(OR(EG$4="",$B23=""),0,SUMIF('DADOS BRUTOS'!$A$3:$A$500,$B23,'DADOS BRUTOS'!BG$3:BG$500)+IF($C23="",0,SUMIF('DADOS BRUTOS'!$A$3:$A$500,$C23,'DADOS BRUTOS'!BG$3:BG$500)))</f>
        <v/>
      </c>
      <c r="EH23" s="56">
        <f>IF(OR(EH$4="",$B23=""),0,SUMIF('DADOS BRUTOS'!$A$3:$A$500,$B23,'DADOS BRUTOS'!BH$3:BH$500)+IF($C23="",0,SUMIF('DADOS BRUTOS'!$A$3:$A$500,$C23,'DADOS BRUTOS'!BH$3:BH$500)))</f>
        <v/>
      </c>
      <c r="EI23" s="56">
        <f>IF(OR(EI$4="",$B23=""),0,SUMIF('DADOS BRUTOS'!$A$3:$A$500,$B23,'DADOS BRUTOS'!BI$3:BI$500)+IF($C23="",0,SUMIF('DADOS BRUTOS'!$A$3:$A$500,$C23,'DADOS BRUTOS'!BI$3:BI$500)))</f>
        <v/>
      </c>
      <c r="EJ23" s="56">
        <f>IF(OR(EJ$4="",$B23=""),0,SUMIF('DADOS BRUTOS'!$A$3:$A$500,$B23,'DADOS BRUTOS'!BJ$3:BJ$500)+IF($C23="",0,SUMIF('DADOS BRUTOS'!$A$3:$A$500,$C23,'DADOS BRUTOS'!BJ$3:BJ$500)))</f>
        <v/>
      </c>
      <c r="EK23" s="56">
        <f>IF(OR(EK$4="",$B23=""),0,SUMIF('DADOS BRUTOS'!$A$3:$A$500,$B23,'DADOS BRUTOS'!BK$3:BK$500)+IF($C23="",0,SUMIF('DADOS BRUTOS'!$A$3:$A$500,$C23,'DADOS BRUTOS'!BK$3:BK$500)))</f>
        <v/>
      </c>
      <c r="EL23" s="56">
        <f>IF(OR(EL$4="",$B23=""),0,SUMIF('DADOS BRUTOS'!$A$3:$A$500,$B23,'DADOS BRUTOS'!BL$3:BL$500)+IF($C23="",0,SUMIF('DADOS BRUTOS'!$A$3:$A$500,$C23,'DADOS BRUTOS'!BL$3:BL$500)))</f>
        <v/>
      </c>
      <c r="EM23" s="56">
        <f>IF(OR(EM$4="",$B23=""),0,SUMIF('DADOS BRUTOS'!$A$3:$A$500,$B23,'DADOS BRUTOS'!BM$3:BM$500)+IF($C23="",0,SUMIF('DADOS BRUTOS'!$A$3:$A$500,$C23,'DADOS BRUTOS'!BM$3:BM$500)))</f>
        <v/>
      </c>
      <c r="EN23" s="56">
        <f>IF(OR(EN$4="",$B23=""),0,SUMIF('DADOS BRUTOS'!$A$3:$A$500,$B23,'DADOS BRUTOS'!BN$3:BN$500)+IF($C23="",0,SUMIF('DADOS BRUTOS'!$A$3:$A$500,$C23,'DADOS BRUTOS'!BN$3:BN$500)))</f>
        <v/>
      </c>
      <c r="EO23" s="56">
        <f>IF(OR(EO$4="",$B23=""),0,SUMIF('DADOS BRUTOS'!$A$3:$A$500,$B23,'DADOS BRUTOS'!BO$3:BO$500)+IF($C23="",0,SUMIF('DADOS BRUTOS'!$A$3:$A$500,$C23,'DADOS BRUTOS'!BO$3:BO$500)))</f>
        <v/>
      </c>
      <c r="EP23" s="56">
        <f>IF(OR(EP$4="",$B23=""),0,SUMIF('DADOS BRUTOS'!$A$3:$A$500,$B23,'DADOS BRUTOS'!BP$3:BP$500)+IF($C23="",0,SUMIF('DADOS BRUTOS'!$A$3:$A$500,$C23,'DADOS BRUTOS'!BP$3:BP$500)))</f>
        <v/>
      </c>
      <c r="EQ23" s="56">
        <f>IF(OR(EQ$4="",$B23=""),0,SUMIF('DADOS BRUTOS'!$A$3:$A$500,$B23,'DADOS BRUTOS'!BQ$3:BQ$500)+IF($C23="",0,SUMIF('DADOS BRUTOS'!$A$3:$A$500,$C23,'DADOS BRUTOS'!BQ$3:BQ$500)))</f>
        <v/>
      </c>
      <c r="ER23" s="56">
        <f>IF(OR(ER$4="",$B23=""),0,SUMIF('DADOS BRUTOS'!$A$3:$A$500,$B23,'DADOS BRUTOS'!BR$3:BR$500)+IF($C23="",0,SUMIF('DADOS BRUTOS'!$A$3:$A$500,$C23,'DADOS BRUTOS'!BR$3:BR$500)))</f>
        <v/>
      </c>
      <c r="ES23" s="56">
        <f>IF(OR(ES$4="",$B23=""),0,SUMIF('DADOS BRUTOS'!$A$3:$A$500,$B23,'DADOS BRUTOS'!BS$3:BS$500)+IF($C23="",0,SUMIF('DADOS BRUTOS'!$A$3:$A$500,$C23,'DADOS BRUTOS'!BS$3:BS$500)))</f>
        <v/>
      </c>
      <c r="ET23" s="56">
        <f>IF(OR(ET$4="",$B23=""),0,SUMIF('DADOS BRUTOS'!$A$3:$A$500,$B23,'DADOS BRUTOS'!BT$3:BT$500)+IF($C23="",0,SUMIF('DADOS BRUTOS'!$A$3:$A$500,$C23,'DADOS BRUTOS'!BT$3:BT$500)))</f>
        <v/>
      </c>
      <c r="EU23" s="56">
        <f>IF(OR(EU$4="",$B23=""),0,SUMIF('DADOS BRUTOS'!$A$3:$A$500,$B23,'DADOS BRUTOS'!BU$3:BU$500)+IF($C23="",0,SUMIF('DADOS BRUTOS'!$A$3:$A$500,$C23,'DADOS BRUTOS'!BU$3:BU$500)))</f>
        <v/>
      </c>
      <c r="EV23" s="56">
        <f>IF(OR(EV$4="",$B23=""),0,SUMIF('DADOS BRUTOS'!$A$3:$A$500,$B23,'DADOS BRUTOS'!BV$3:BV$500)+IF($C23="",0,SUMIF('DADOS BRUTOS'!$A$3:$A$500,$C23,'DADOS BRUTOS'!BV$3:BV$500)))</f>
        <v/>
      </c>
      <c r="EW23" s="56">
        <f>IF(OR(EW$4="",$B23=""),0,SUMIF('DADOS BRUTOS'!$A$3:$A$500,$B23,'DADOS BRUTOS'!BW$3:BW$500)+IF($C23="",0,SUMIF('DADOS BRUTOS'!$A$3:$A$500,$C23,'DADOS BRUTOS'!BW$3:BW$500)))</f>
        <v/>
      </c>
      <c r="EX23" s="56">
        <f>IF(OR(EX$4="",$B23=""),0,SUMIF('DADOS BRUTOS'!$A$3:$A$500,$B23,'DADOS BRUTOS'!BX$3:BX$500)+IF($C23="",0,SUMIF('DADOS BRUTOS'!$A$3:$A$500,$C23,'DADOS BRUTOS'!BX$3:BX$500)))</f>
        <v/>
      </c>
      <c r="EY23" s="56">
        <f>IF(OR(EY$4="",$B23=""),0,SUMIF('DADOS BRUTOS'!$A$3:$A$500,$B23,'DADOS BRUTOS'!BY$3:BY$500)+IF($C23="",0,SUMIF('DADOS BRUTOS'!$A$3:$A$500,$C23,'DADOS BRUTOS'!BY$3:BY$500)))</f>
        <v/>
      </c>
      <c r="EZ23" s="56">
        <f>IF(OR(EZ$4="",$B23=""),0,SUMIF('DADOS BRUTOS'!$A$3:$A$500,$B23,'DADOS BRUTOS'!BZ$3:BZ$500)+IF($C23="",0,SUMIF('DADOS BRUTOS'!$A$3:$A$500,$C23,'DADOS BRUTOS'!BZ$3:BZ$500)))</f>
        <v/>
      </c>
      <c r="FA23" s="56">
        <f>IF(OR(FA$4="",$B23=""),0,SUMIF('DADOS BRUTOS'!$A$3:$A$500,$B23,'DADOS BRUTOS'!CA$3:CA$500)+IF($C23="",0,SUMIF('DADOS BRUTOS'!$A$3:$A$500,$C23,'DADOS BRUTOS'!CA$3:CA$500)))</f>
        <v/>
      </c>
      <c r="FB23" s="56">
        <f>IF(OR(FB$4="",$B23=""),0,SUMIF('DADOS BRUTOS'!$A$3:$A$500,$B23,'DADOS BRUTOS'!CB$3:CB$500)+IF($C23="",0,SUMIF('DADOS BRUTOS'!$A$3:$A$500,$C23,'DADOS BRUTOS'!CB$3:CB$500)))</f>
        <v/>
      </c>
      <c r="FC23" s="56">
        <f>IF(OR(FC$4="",$B23=""),0,SUMIF('DADOS BRUTOS'!$A$3:$A$500,$B23,'DADOS BRUTOS'!CC$3:CC$500)+IF($C23="",0,SUMIF('DADOS BRUTOS'!$A$3:$A$500,$C23,'DADOS BRUTOS'!CC$3:CC$500)))</f>
        <v/>
      </c>
      <c r="FD23" s="56">
        <f>IF(OR(FD$4="",$B23=""),0,SUMIF('DADOS BRUTOS'!$A$3:$A$500,$B23,'DADOS BRUTOS'!CD$3:CD$500)+IF($C23="",0,SUMIF('DADOS BRUTOS'!$A$3:$A$500,$C23,'DADOS BRUTOS'!CD$3:CD$500)))</f>
        <v/>
      </c>
      <c r="FE23" s="56">
        <f>IF(OR(FE$4="",$B23=""),0,SUMIF('DADOS BRUTOS'!$A$3:$A$500,$B23,'DADOS BRUTOS'!CE$3:CE$500)+IF($C23="",0,SUMIF('DADOS BRUTOS'!$A$3:$A$500,$C23,'DADOS BRUTOS'!CE$3:CE$500)))</f>
        <v/>
      </c>
      <c r="FF23" s="56">
        <f>IF(OR(FF$4="",$B23=""),0,SUMIF('DADOS BRUTOS'!$A$3:$A$500,$B23,'DADOS BRUTOS'!CF$3:CF$500)+IF($C23="",0,SUMIF('DADOS BRUTOS'!$A$3:$A$500,$C23,'DADOS BRUTOS'!CF$3:CF$500)))</f>
        <v/>
      </c>
      <c r="FG23" s="56">
        <f>IF(OR(FG$4="",$B23=""),0,SUMIF('DADOS BRUTOS'!$A$3:$A$500,$B23,'DADOS BRUTOS'!CG$3:CG$500)+IF($C23="",0,SUMIF('DADOS BRUTOS'!$A$3:$A$500,$C23,'DADOS BRUTOS'!CG$3:CG$500)))</f>
        <v/>
      </c>
      <c r="FH23" s="56">
        <f>IF(OR(FH$4="",$B23=""),0,SUMIF('DADOS BRUTOS'!$A$3:$A$500,$B23,'DADOS BRUTOS'!CH$3:CH$500)+IF($C23="",0,SUMIF('DADOS BRUTOS'!$A$3:$A$500,$C23,'DADOS BRUTOS'!CH$3:CH$500)))</f>
        <v/>
      </c>
      <c r="FI23" s="56">
        <f>IF(OR(FI$4="",$B23=""),0,SUMIF('DADOS BRUTOS'!$A$3:$A$500,$B23,'DADOS BRUTOS'!CI$3:CI$500)+IF($C23="",0,SUMIF('DADOS BRUTOS'!$A$3:$A$500,$C23,'DADOS BRUTOS'!CI$3:CI$500)))</f>
        <v/>
      </c>
      <c r="FJ23" s="56">
        <f>IF(OR(FJ$4="",$B23=""),0,SUMIF('DADOS BRUTOS'!$A$3:$A$500,$B23,'DADOS BRUTOS'!CJ$3:CJ$500)+IF($C23="",0,SUMIF('DADOS BRUTOS'!$A$3:$A$500,$C23,'DADOS BRUTOS'!CJ$3:CJ$500)))</f>
        <v/>
      </c>
      <c r="FK23" s="56">
        <f>IF(OR(FK$4="",$B23=""),0,SUMIF('DADOS BRUTOS'!$A$3:$A$500,$B23,'DADOS BRUTOS'!CK$3:CK$500)+IF($C23="",0,SUMIF('DADOS BRUTOS'!$A$3:$A$500,$C23,'DADOS BRUTOS'!CK$3:CK$500)))</f>
        <v/>
      </c>
      <c r="FL23" s="56">
        <f>IF(OR(FL$4="",$B23=""),0,SUMIF('DADOS BRUTOS'!$A$3:$A$500,$B23,'DADOS BRUTOS'!CL$3:CL$500)+IF($C23="",0,SUMIF('DADOS BRUTOS'!$A$3:$A$500,$C23,'DADOS BRUTOS'!CL$3:CL$500)))</f>
        <v/>
      </c>
      <c r="FM23" s="56">
        <f>IF(OR(FM$4="",$B23=""),0,SUMIF('DADOS BRUTOS'!$A$3:$A$500,$B23,'DADOS BRUTOS'!CM$3:CM$500)+IF($C23="",0,SUMIF('DADOS BRUTOS'!$A$3:$A$500,$C23,'DADOS BRUTOS'!CM$3:CM$500)))</f>
        <v/>
      </c>
      <c r="FN23" s="56">
        <f>IF(OR(FN$4="",$B23=""),0,SUMIF('DADOS BRUTOS'!$A$3:$A$500,$B23,'DADOS BRUTOS'!CN$3:CN$500)+IF($C23="",0,SUMIF('DADOS BRUTOS'!$A$3:$A$500,$C23,'DADOS BRUTOS'!CN$3:CN$500)))</f>
        <v/>
      </c>
      <c r="FO23" s="56">
        <f>IF(OR(FO$4="",$B23=""),0,SUMIF('DADOS BRUTOS'!$A$3:$A$500,$B23,'DADOS BRUTOS'!CO$3:CO$500)+IF($C23="",0,SUMIF('DADOS BRUTOS'!$A$3:$A$500,$C23,'DADOS BRUTOS'!CO$3:CO$500)))</f>
        <v/>
      </c>
      <c r="FP23" s="56">
        <f>IF(OR(FP$4="",$B23=""),0,SUMIF('DADOS BRUTOS'!$A$3:$A$500,$B23,'DADOS BRUTOS'!CP$3:CP$500)+IF($C23="",0,SUMIF('DADOS BRUTOS'!$A$3:$A$500,$C23,'DADOS BRUTOS'!CP$3:CP$500)))</f>
        <v/>
      </c>
      <c r="FQ23" s="56">
        <f>IF(OR(FQ$4="",$B23=""),0,SUMIF('DADOS BRUTOS'!$A$3:$A$500,$B23,'DADOS BRUTOS'!CQ$3:CQ$500)+IF($C23="",0,SUMIF('DADOS BRUTOS'!$A$3:$A$500,$C23,'DADOS BRUTOS'!CQ$3:CQ$500)))</f>
        <v/>
      </c>
      <c r="FR23" s="56">
        <f>IF(OR(FR$4="",$B23=""),0,SUMIF('DADOS BRUTOS'!$A$3:$A$500,$B23,'DADOS BRUTOS'!CR$3:CR$500)+IF($C23="",0,SUMIF('DADOS BRUTOS'!$A$3:$A$500,$C23,'DADOS BRUTOS'!CR$3:CR$500)))</f>
        <v/>
      </c>
      <c r="FS23" s="56">
        <f>IF(OR(FS$4="",$B23=""),0,SUMIF('DADOS BRUTOS'!$A$3:$A$500,$B23,'DADOS BRUTOS'!CS$3:CS$500)+IF($C23="",0,SUMIF('DADOS BRUTOS'!$A$3:$A$500,$C23,'DADOS BRUTOS'!CS$3:CS$500)))</f>
        <v/>
      </c>
      <c r="FT23" s="56">
        <f>IF(OR(FT$4="",$B23=""),0,SUMIF('DADOS BRUTOS'!$A$3:$A$500,$B23,'DADOS BRUTOS'!CT$3:CT$500)+IF($C23="",0,SUMIF('DADOS BRUTOS'!$A$3:$A$500,$C23,'DADOS BRUTOS'!CT$3:CT$500)))</f>
        <v/>
      </c>
      <c r="FU23" s="56">
        <f>IF(OR(FU$4="",$B23=""),0,SUMIF('DADOS BRUTOS'!$A$3:$A$500,$B23,'DADOS BRUTOS'!CU$3:CU$500)+IF($C23="",0,SUMIF('DADOS BRUTOS'!$A$3:$A$500,$C23,'DADOS BRUTOS'!CU$3:CU$500)))</f>
        <v/>
      </c>
      <c r="FV23" s="56">
        <f>IF(OR(FV$4="",$B23=""),0,SUMIF('DADOS BRUTOS'!$A$3:$A$500,$B23,'DADOS BRUTOS'!CV$3:CV$500)+IF($C23="",0,SUMIF('DADOS BRUTOS'!$A$3:$A$500,$C23,'DADOS BRUTOS'!CV$3:CV$500)))</f>
        <v/>
      </c>
      <c r="FW23" s="56">
        <f>IF(OR(FW$4="",$B23=""),0,SUMIF('DADOS BRUTOS'!$A$3:$A$500,$B23,'DADOS BRUTOS'!CW$3:CW$500)+IF($C23="",0,SUMIF('DADOS BRUTOS'!$A$3:$A$500,$C23,'DADOS BRUTOS'!CW$3:CW$500)))</f>
        <v/>
      </c>
      <c r="FX23" s="56">
        <f>IF(OR(FX$4="",$B23=""),0,SUMIF('DADOS BRUTOS'!$A$3:$A$500,$B23,'DADOS BRUTOS'!CX$3:CX$500)+IF($C23="",0,SUMIF('DADOS BRUTOS'!$A$3:$A$500,$C23,'DADOS BRUTOS'!CX$3:CX$500)))</f>
        <v/>
      </c>
      <c r="FY23" s="56">
        <f>IF(OR(FY$4="",$B23=""),0,SUMIF('DADOS BRUTOS'!$A$3:$A$500,$B23,'DADOS BRUTOS'!CY$3:CY$500)+IF($C23="",0,SUMIF('DADOS BRUTOS'!$A$3:$A$500,$C23,'DADOS BRUTOS'!CY$3:CY$500)))</f>
        <v/>
      </c>
      <c r="FZ23" s="56">
        <f>IF(OR(FZ$4="",$B23=""),0,SUMIF('DADOS BRUTOS'!$A$3:$A$500,$B23,'DADOS BRUTOS'!CZ$3:CZ$500)+IF($C23="",0,SUMIF('DADOS BRUTOS'!$A$3:$A$500,$C23,'DADOS BRUTOS'!CZ$3:CZ$500)))</f>
        <v/>
      </c>
      <c r="GA23" s="56">
        <f>IF(OR(GA$4="",$B23=""),0,SUMIF('DADOS BRUTOS'!$A$3:$A$500,$B23,'DADOS BRUTOS'!DA$3:DA$500)+IF($C23="",0,SUMIF('DADOS BRUTOS'!$A$3:$A$500,$C23,'DADOS BRUTOS'!DA$3:DA$500)))</f>
        <v/>
      </c>
      <c r="GB23" s="56">
        <f>IF(OR(GB$4="",$B23=""),0,SUMIF('DADOS BRUTOS'!$A$3:$A$500,$B23,'DADOS BRUTOS'!DB$3:DB$500)+IF($C23="",0,SUMIF('DADOS BRUTOS'!$A$3:$A$500,$C23,'DADOS BRUTOS'!DB$3:DB$500)))</f>
        <v/>
      </c>
      <c r="GC23" s="56">
        <f>IF(OR(GC$4="",$B23=""),0,SUMIF('DADOS BRUTOS'!$A$3:$A$500,$B23,'DADOS BRUTOS'!DC$3:DC$500)+IF($C23="",0,SUMIF('DADOS BRUTOS'!$A$3:$A$500,$C23,'DADOS BRUTOS'!DC$3:DC$500)))</f>
        <v/>
      </c>
      <c r="GD23" s="56">
        <f>IF(OR(GD$4="",$B23=""),0,SUMIF('DADOS BRUTOS'!$A$3:$A$500,$B23,'DADOS BRUTOS'!DD$3:DD$500)+IF($C23="",0,SUMIF('DADOS BRUTOS'!$A$3:$A$500,$C23,'DADOS BRUTOS'!DD$3:DD$500)))</f>
        <v/>
      </c>
      <c r="GE23" s="56">
        <f>IF(OR(GE$4="",$B23=""),0,SUMIF('DADOS BRUTOS'!$A$3:$A$500,$B23,'DADOS BRUTOS'!DE$3:DE$500)+IF($C23="",0,SUMIF('DADOS BRUTOS'!$A$3:$A$500,$C23,'DADOS BRUTOS'!DE$3:DE$500)))</f>
        <v/>
      </c>
      <c r="GF23" s="56">
        <f>IF(OR(GF$4="",$B23=""),0,SUMIF('DADOS BRUTOS'!$A$3:$A$500,$B23,'DADOS BRUTOS'!DF$3:DF$500)+IF($C23="",0,SUMIF('DADOS BRUTOS'!$A$3:$A$500,$C23,'DADOS BRUTOS'!DF$3:DF$500)))</f>
        <v/>
      </c>
      <c r="GG23" s="56">
        <f>IF(OR(GG$4="",$B23=""),0,SUMIF('DADOS BRUTOS'!$A$3:$A$500,$B23,'DADOS BRUTOS'!DG$3:DG$500)+IF($C23="",0,SUMIF('DADOS BRUTOS'!$A$3:$A$500,$C23,'DADOS BRUTOS'!DG$3:DG$500)))</f>
        <v/>
      </c>
      <c r="GH23" s="56">
        <f>IF(OR(GH$4="",$B23=""),0,SUMIF('DADOS BRUTOS'!$A$3:$A$500,$B23,'DADOS BRUTOS'!DH$3:DH$500)+IF($C23="",0,SUMIF('DADOS BRUTOS'!$A$3:$A$500,$C23,'DADOS BRUTOS'!DH$3:DH$500)))</f>
        <v/>
      </c>
      <c r="GI23" s="56">
        <f>IF(OR(GI$4="",$B23=""),0,SUMIF('DADOS BRUTOS'!$A$3:$A$500,$B23,'DADOS BRUTOS'!DI$3:DI$500)+IF($C23="",0,SUMIF('DADOS BRUTOS'!$A$3:$A$500,$C23,'DADOS BRUTOS'!DI$3:DI$500)))</f>
        <v/>
      </c>
      <c r="GJ23" s="56">
        <f>IF(OR(GJ$4="",$B23=""),0,SUMIF('DADOS BRUTOS'!$A$3:$A$500,$B23,'DADOS BRUTOS'!DJ$3:DJ$500)+IF($C23="",0,SUMIF('DADOS BRUTOS'!$A$3:$A$500,$C23,'DADOS BRUTOS'!DJ$3:DJ$500)))</f>
        <v/>
      </c>
      <c r="GK23" s="56">
        <f>IF(OR(GK$4="",$B23=""),0,SUMIF('DADOS BRUTOS'!$A$3:$A$500,$B23,'DADOS BRUTOS'!DK$3:DK$500)+IF($C23="",0,SUMIF('DADOS BRUTOS'!$A$3:$A$500,$C23,'DADOS BRUTOS'!DK$3:DK$500)))</f>
        <v/>
      </c>
      <c r="GL23" s="56">
        <f>IF(OR(GL$4="",$B23=""),0,SUMIF('DADOS BRUTOS'!$A$3:$A$500,$B23,'DADOS BRUTOS'!DL$3:DL$500)+IF($C23="",0,SUMIF('DADOS BRUTOS'!$A$3:$A$500,$C23,'DADOS BRUTOS'!DL$3:DL$500)))</f>
        <v/>
      </c>
      <c r="GM23" s="56">
        <f>IF(OR(GM$4="",$B23=""),0,SUMIF('DADOS BRUTOS'!$A$3:$A$500,$B23,'DADOS BRUTOS'!DM$3:DM$500)+IF($C23="",0,SUMIF('DADOS BRUTOS'!$A$3:$A$500,$C23,'DADOS BRUTOS'!DM$3:DM$500)))</f>
        <v/>
      </c>
      <c r="GN23" s="56">
        <f>IF(OR(GN$4="",$B23=""),0,SUMIF('DADOS BRUTOS'!$A$3:$A$500,$B23,'DADOS BRUTOS'!DN$3:DN$500)+IF($C23="",0,SUMIF('DADOS BRUTOS'!$A$3:$A$500,$C23,'DADOS BRUTOS'!DN$3:DN$500)))</f>
        <v/>
      </c>
      <c r="GO23" s="56">
        <f>IF(OR(GO$4="",$B23=""),0,SUMIF('DADOS BRUTOS'!$A$3:$A$500,$B23,'DADOS BRUTOS'!DO$3:DO$500)+IF($C23="",0,SUMIF('DADOS BRUTOS'!$A$3:$A$500,$C23,'DADOS BRUTOS'!DO$3:DO$500)))</f>
        <v/>
      </c>
      <c r="GP23" s="56">
        <f>IF(OR(GP$4="",$B23=""),0,SUMIF('DADOS BRUTOS'!$A$3:$A$500,$B23,'DADOS BRUTOS'!DP$3:DP$500)+IF($C23="",0,SUMIF('DADOS BRUTOS'!$A$3:$A$500,$C23,'DADOS BRUTOS'!DP$3:DP$500)))</f>
        <v/>
      </c>
      <c r="GQ23" s="56">
        <f>IF(OR(GQ$4="",$B23=""),0,SUMIF('DADOS BRUTOS'!$A$3:$A$500,$B23,'DADOS BRUTOS'!DQ$3:DQ$500)+IF($C23="",0,SUMIF('DADOS BRUTOS'!$A$3:$A$500,$C23,'DADOS BRUTOS'!DQ$3:DQ$500)))</f>
        <v/>
      </c>
      <c r="GR23" s="56">
        <f>IF(OR(GR$4="",$B23=""),0,SUMIF('DADOS BRUTOS'!$A$3:$A$500,$B23,'DADOS BRUTOS'!DR$3:DR$500)+IF($C23="",0,SUMIF('DADOS BRUTOS'!$A$3:$A$500,$C23,'DADOS BRUTOS'!DR$3:DR$500)))</f>
        <v/>
      </c>
      <c r="GS23" s="56">
        <f>IF(OR(GS$4="",$B23=""),0,SUMIF('DADOS BRUTOS'!$A$3:$A$500,$B23,'DADOS BRUTOS'!DS$3:DS$500)+IF($C23="",0,SUMIF('DADOS BRUTOS'!$A$3:$A$500,$C23,'DADOS BRUTOS'!DS$3:DS$500)))</f>
        <v/>
      </c>
      <c r="GT23" s="56">
        <f>IF(OR(GT$4="",$B23=""),0,SUMIF('DADOS BRUTOS'!$A$3:$A$500,$B23,'DADOS BRUTOS'!DT$3:DT$500)+IF($C23="",0,SUMIF('DADOS BRUTOS'!$A$3:$A$500,$C23,'DADOS BRUTOS'!DT$3:DT$500)))</f>
        <v/>
      </c>
      <c r="GU23" s="56">
        <f>IF(OR(GU$4="",$B23=""),0,SUMIF('DADOS BRUTOS'!$A$3:$A$500,$B23,'DADOS BRUTOS'!DU$3:DU$500)+IF($C23="",0,SUMIF('DADOS BRUTOS'!$A$3:$A$500,$C23,'DADOS BRUTOS'!DU$3:DU$500)))</f>
        <v/>
      </c>
      <c r="GV23" s="56">
        <f>IF(OR(GV$4="",$B23=""),0,SUMIF('DADOS BRUTOS'!$A$3:$A$500,$B23,'DADOS BRUTOS'!DV$3:DV$500)+IF($C23="",0,SUMIF('DADOS BRUTOS'!$A$3:$A$500,$C23,'DADOS BRUTOS'!DV$3:DV$500)))</f>
        <v/>
      </c>
      <c r="GW23" s="56">
        <f>IF(OR(GW$4="",$B23=""),0,SUMIF('DADOS BRUTOS'!$A$3:$A$500,$B23,'DADOS BRUTOS'!DW$3:DW$500)+IF($C23="",0,SUMIF('DADOS BRUTOS'!$A$3:$A$500,$C23,'DADOS BRUTOS'!DW$3:DW$500)))</f>
        <v/>
      </c>
      <c r="GX23" s="56">
        <f>IF(OR(GX$4="",$B23=""),0,SUMIF('DADOS BRUTOS'!$A$3:$A$500,$B23,'DADOS BRUTOS'!DX$3:DX$500)+IF($C23="",0,SUMIF('DADOS BRUTOS'!$A$3:$A$500,$C23,'DADOS BRUTOS'!DX$3:DX$500)))</f>
        <v/>
      </c>
      <c r="GY23" s="56">
        <f>IF(OR(GY$4="",$B23=""),0,SUMIF('DADOS BRUTOS'!$A$3:$A$500,$B23,'DADOS BRUTOS'!DY$3:DY$500)+IF($C23="",0,SUMIF('DADOS BRUTOS'!$A$3:$A$500,$C23,'DADOS BRUTOS'!DY$3:DY$500)))</f>
        <v/>
      </c>
      <c r="GZ23" s="56">
        <f>IF(OR(GZ$4="",$B23=""),0,SUMIF('DADOS BRUTOS'!$A$3:$A$500,$B23,'DADOS BRUTOS'!DZ$3:DZ$500)+IF($C23="",0,SUMIF('DADOS BRUTOS'!$A$3:$A$500,$C23,'DADOS BRUTOS'!DZ$3:DZ$500)))</f>
        <v/>
      </c>
      <c r="HA23" s="56">
        <f>IF(OR(HA$4="",$B23=""),0,SUMIF('DADOS BRUTOS'!$A$3:$A$500,$B23,'DADOS BRUTOS'!EA$3:EA$500)+IF($C23="",0,SUMIF('DADOS BRUTOS'!$A$3:$A$500,$C23,'DADOS BRUTOS'!EA$3:EA$500)))</f>
        <v/>
      </c>
      <c r="HB23" s="56">
        <f>IF(OR(HB$4="",$B23=""),0,SUMIF('DADOS BRUTOS'!$A$3:$A$500,$B23,'DADOS BRUTOS'!EB$3:EB$500)+IF($C23="",0,SUMIF('DADOS BRUTOS'!$A$3:$A$500,$C23,'DADOS BRUTOS'!EB$3:EB$500)))</f>
        <v/>
      </c>
      <c r="HC23" s="56">
        <f>IF(OR(HC$4="",$B23=""),0,SUMIF('DADOS BRUTOS'!$A$3:$A$500,$B23,'DADOS BRUTOS'!EC$3:EC$500)+IF($C23="",0,SUMIF('DADOS BRUTOS'!$A$3:$A$500,$C23,'DADOS BRUTOS'!EC$3:EC$500)))</f>
        <v/>
      </c>
      <c r="HD23" s="56">
        <f>IF(OR(HD$4="",$B23=""),0,SUMIF('DADOS BRUTOS'!$A$3:$A$500,$B23,'DADOS BRUTOS'!ED$3:ED$500)+IF($C23="",0,SUMIF('DADOS BRUTOS'!$A$3:$A$500,$C23,'DADOS BRUTOS'!ED$3:ED$500)))</f>
        <v/>
      </c>
      <c r="HE23" s="56">
        <f>IF(OR(HE$4="",$B23=""),0,SUMIF('DADOS BRUTOS'!$A$3:$A$500,$B23,'DADOS BRUTOS'!EE$3:EE$500)+IF($C23="",0,SUMIF('DADOS BRUTOS'!$A$3:$A$500,$C23,'DADOS BRUTOS'!EE$3:EE$500)))</f>
        <v/>
      </c>
      <c r="HF23" s="56">
        <f>IF(OR(HF$4="",$B23=""),0,SUMIF('DADOS BRUTOS'!$A$3:$A$500,$B23,'DADOS BRUTOS'!EF$3:EF$500)+IF($C23="",0,SUMIF('DADOS BRUTOS'!$A$3:$A$500,$C23,'DADOS BRUTOS'!EF$3:EF$500)))</f>
        <v/>
      </c>
      <c r="HG23" s="56">
        <f>IF(OR(HG$4="",$B23=""),0,SUMIF('DADOS BRUTOS'!$A$3:$A$500,$B23,'DADOS BRUTOS'!EG$3:EG$500)+IF($C23="",0,SUMIF('DADOS BRUTOS'!$A$3:$A$500,$C23,'DADOS BRUTOS'!EG$3:EG$500)))</f>
        <v/>
      </c>
      <c r="HH23" s="56">
        <f>IF(OR(HH$4="",$B23=""),0,SUMIF('DADOS BRUTOS'!$A$3:$A$500,$B23,'DADOS BRUTOS'!EH$3:EH$500)+IF($C23="",0,SUMIF('DADOS BRUTOS'!$A$3:$A$500,$C23,'DADOS BRUTOS'!EH$3:EH$500)))</f>
        <v/>
      </c>
      <c r="HI23" s="56">
        <f>IF(OR(HI$4="",$B23=""),0,SUMIF('DADOS BRUTOS'!$A$3:$A$500,$B23,'DADOS BRUTOS'!EI$3:EI$500)+IF($C23="",0,SUMIF('DADOS BRUTOS'!$A$3:$A$500,$C23,'DADOS BRUTOS'!EI$3:EI$500)))</f>
        <v/>
      </c>
      <c r="HJ23" s="56">
        <f>IF(OR(HJ$4="",$B23=""),0,SUMIF('DADOS BRUTOS'!$A$3:$A$500,$B23,'DADOS BRUTOS'!EJ$3:EJ$500)+IF($C23="",0,SUMIF('DADOS BRUTOS'!$A$3:$A$500,$C23,'DADOS BRUTOS'!EJ$3:EJ$500)))</f>
        <v/>
      </c>
      <c r="HK23" s="56">
        <f>IF(OR(HK$4="",$B23=""),0,SUMIF('DADOS BRUTOS'!$A$3:$A$500,$B23,'DADOS BRUTOS'!EK$3:EK$500)+IF($C23="",0,SUMIF('DADOS BRUTOS'!$A$3:$A$500,$C23,'DADOS BRUTOS'!EK$3:EK$500)))</f>
        <v/>
      </c>
      <c r="HL23" s="56">
        <f>IF(OR(HL$4="",$B23=""),0,SUMIF('DADOS BRUTOS'!$A$3:$A$500,$B23,'DADOS BRUTOS'!EL$3:EL$500)+IF($C23="",0,SUMIF('DADOS BRUTOS'!$A$3:$A$500,$C23,'DADOS BRUTOS'!EL$3:EL$500)))</f>
        <v/>
      </c>
      <c r="HM23" s="56">
        <f>IF(OR(HM$4="",$B23=""),0,SUMIF('DADOS BRUTOS'!$A$3:$A$500,$B23,'DADOS BRUTOS'!EM$3:EM$500)+IF($C23="",0,SUMIF('DADOS BRUTOS'!$A$3:$A$500,$C23,'DADOS BRUTOS'!EM$3:EM$500)))</f>
        <v/>
      </c>
      <c r="HN23" s="56">
        <f>IF(OR(HN$4="",$B23=""),0,SUMIF('DADOS BRUTOS'!$A$3:$A$500,$B23,'DADOS BRUTOS'!EN$3:EN$500)+IF($C23="",0,SUMIF('DADOS BRUTOS'!$A$3:$A$500,$C23,'DADOS BRUTOS'!EN$3:EN$500)))</f>
        <v/>
      </c>
      <c r="HO23" s="56">
        <f>IF(OR(HO$4="",$B23=""),0,SUMIF('DADOS BRUTOS'!$A$3:$A$500,$B23,'DADOS BRUTOS'!EO$3:EO$500)+IF($C23="",0,SUMIF('DADOS BRUTOS'!$A$3:$A$500,$C23,'DADOS BRUTOS'!EO$3:EO$500)))</f>
        <v/>
      </c>
      <c r="HP23" s="56">
        <f>IF(OR(HP$4="",$B23=""),0,SUMIF('DADOS BRUTOS'!$A$3:$A$500,$B23,'DADOS BRUTOS'!EP$3:EP$500)+IF($C23="",0,SUMIF('DADOS BRUTOS'!$A$3:$A$500,$C23,'DADOS BRUTOS'!EP$3:EP$500)))</f>
        <v/>
      </c>
      <c r="HQ23" s="56">
        <f>IF(OR(HQ$4="",$B23=""),0,SUMIF('DADOS BRUTOS'!$A$3:$A$500,$B23,'DADOS BRUTOS'!EQ$3:EQ$500)+IF($C23="",0,SUMIF('DADOS BRUTOS'!$A$3:$A$500,$C23,'DADOS BRUTOS'!EQ$3:EQ$500)))</f>
        <v/>
      </c>
      <c r="HR23" s="56">
        <f>IF(OR(HR$4="",$B23=""),0,SUMIF('DADOS BRUTOS'!$A$3:$A$500,$B23,'DADOS BRUTOS'!ER$3:ER$500)+IF($C23="",0,SUMIF('DADOS BRUTOS'!$A$3:$A$500,$C23,'DADOS BRUTOS'!ER$3:ER$500)))</f>
        <v/>
      </c>
      <c r="HS23" s="56">
        <f>IF(OR(HS$4="",$B23=""),0,SUMIF('DADOS BRUTOS'!$A$3:$A$500,$B23,'DADOS BRUTOS'!ES$3:ES$500)+IF($C23="",0,SUMIF('DADOS BRUTOS'!$A$3:$A$500,$C23,'DADOS BRUTOS'!ES$3:ES$500)))</f>
        <v/>
      </c>
      <c r="HT23" s="56">
        <f>IF(OR(HT$4="",$B23=""),0,SUMIF('DADOS BRUTOS'!$A$3:$A$500,$B23,'DADOS BRUTOS'!ET$3:ET$500)+IF($C23="",0,SUMIF('DADOS BRUTOS'!$A$3:$A$500,$C23,'DADOS BRUTOS'!ET$3:ET$500)))</f>
        <v/>
      </c>
      <c r="HU23" s="56">
        <f>IF(OR(HU$4="",$B23=""),0,SUMIF('DADOS BRUTOS'!$A$3:$A$500,$B23,'DADOS BRUTOS'!EU$3:EU$500)+IF($C23="",0,SUMIF('DADOS BRUTOS'!$A$3:$A$500,$C23,'DADOS BRUTOS'!EU$3:EU$500)))</f>
        <v/>
      </c>
      <c r="HV23" s="56">
        <f>IF(OR(HV$4="",$B23=""),0,SUMIF('DADOS BRUTOS'!$A$3:$A$500,$B23,'DADOS BRUTOS'!EV$3:EV$500)+IF($C23="",0,SUMIF('DADOS BRUTOS'!$A$3:$A$500,$C23,'DADOS BRUTOS'!EV$3:EV$500)))</f>
        <v/>
      </c>
      <c r="HW23" s="56">
        <f>IF(OR(HW$4="",$B23=""),0,SUMIF('DADOS BRUTOS'!$A$3:$A$500,$B23,'DADOS BRUTOS'!EW$3:EW$500)+IF($C23="",0,SUMIF('DADOS BRUTOS'!$A$3:$A$500,$C23,'DADOS BRUTOS'!EW$3:EW$500)))</f>
        <v/>
      </c>
      <c r="HX23" s="56">
        <f>IF(OR(HX$4="",$B23=""),0,SUMIF('DADOS BRUTOS'!$A$3:$A$500,$B23,'DADOS BRUTOS'!EX$3:EX$500)+IF($C23="",0,SUMIF('DADOS BRUTOS'!$A$3:$A$500,$C23,'DADOS BRUTOS'!EX$3:EX$500)))</f>
        <v/>
      </c>
      <c r="HY23" s="56">
        <f>IF(OR(HY$4="",$B23=""),0,SUMIF('DADOS BRUTOS'!$A$3:$A$500,$B23,'DADOS BRUTOS'!EY$3:EY$500)+IF($C23="",0,SUMIF('DADOS BRUTOS'!$A$3:$A$500,$C23,'DADOS BRUTOS'!EY$3:EY$500)))</f>
        <v/>
      </c>
      <c r="HZ23" s="56">
        <f>IF(OR(HZ$4="",$B23=""),0,SUMIF('DADOS BRUTOS'!$A$3:$A$500,$B23,'DADOS BRUTOS'!EZ$3:EZ$500)+IF($C23="",0,SUMIF('DADOS BRUTOS'!$A$3:$A$500,$C23,'DADOS BRUTOS'!EZ$3:EZ$500)))</f>
        <v/>
      </c>
      <c r="IA23" s="56">
        <f>IF(OR(IA$4="",$B23=""),0,SUMIF('DADOS BRUTOS'!$A$3:$A$500,$B23,'DADOS BRUTOS'!FA$3:FA$500)+IF($C23="",0,SUMIF('DADOS BRUTOS'!$A$3:$A$500,$C23,'DADOS BRUTOS'!FA$3:FA$500)))</f>
        <v/>
      </c>
      <c r="IB23" s="56">
        <f>IF(OR(IB$4="",$B23=""),0,SUMIF('DADOS BRUTOS'!$A$3:$A$500,$B23,'DADOS BRUTOS'!FB$3:FB$500)+IF($C23="",0,SUMIF('DADOS BRUTOS'!$A$3:$A$500,$C23,'DADOS BRUTOS'!FB$3:FB$500)))</f>
        <v/>
      </c>
      <c r="IC23" s="56">
        <f>IF(OR(IC$4="",$B23=""),0,SUMIF('DADOS BRUTOS'!$A$3:$A$500,$B23,'DADOS BRUTOS'!FC$3:FC$500)+IF($C23="",0,SUMIF('DADOS BRUTOS'!$A$3:$A$500,$C23,'DADOS BRUTOS'!FC$3:FC$500)))</f>
        <v/>
      </c>
      <c r="ID23" s="56">
        <f>IF(OR(ID$4="",$B23=""),0,SUMIF('DADOS BRUTOS'!$A$3:$A$500,$B23,'DADOS BRUTOS'!FD$3:FD$500)+IF($C23="",0,SUMIF('DADOS BRUTOS'!$A$3:$A$500,$C23,'DADOS BRUTOS'!FD$3:FD$500)))</f>
        <v/>
      </c>
      <c r="IE23" s="56">
        <f>IF(OR(IE$4="",$B23=""),0,SUMIF('DADOS BRUTOS'!$A$3:$A$500,$B23,'DADOS BRUTOS'!FE$3:FE$500)+IF($C23="",0,SUMIF('DADOS BRUTOS'!$A$3:$A$500,$C23,'DADOS BRUTOS'!FE$3:FE$500)))</f>
        <v/>
      </c>
      <c r="IF23" s="56">
        <f>IF(OR(IF$4="",$B23=""),0,SUMIF('DADOS BRUTOS'!$A$3:$A$500,$B23,'DADOS BRUTOS'!FF$3:FF$500)+IF($C23="",0,SUMIF('DADOS BRUTOS'!$A$3:$A$500,$C23,'DADOS BRUTOS'!FF$3:FF$500)))</f>
        <v/>
      </c>
      <c r="IG23" s="56">
        <f>IF(OR(IG$4="",$B23=""),0,SUMIF('DADOS BRUTOS'!$A$3:$A$500,$B23,'DADOS BRUTOS'!FG$3:FG$500)+IF($C23="",0,SUMIF('DADOS BRUTOS'!$A$3:$A$500,$C23,'DADOS BRUTOS'!FG$3:FG$500)))</f>
        <v/>
      </c>
      <c r="IH23" s="56">
        <f>IF(OR(IH$4="",$B23=""),0,SUMIF('DADOS BRUTOS'!$A$3:$A$500,$B23,'DADOS BRUTOS'!FH$3:FH$500)+IF($C23="",0,SUMIF('DADOS BRUTOS'!$A$3:$A$500,$C23,'DADOS BRUTOS'!FH$3:FH$500)))</f>
        <v/>
      </c>
      <c r="II23" s="56">
        <f>IF(OR(II$4="",$B23=""),0,SUMIF('DADOS BRUTOS'!$A$3:$A$500,$B23,'DADOS BRUTOS'!FI$3:FI$500)+IF($C23="",0,SUMIF('DADOS BRUTOS'!$A$3:$A$500,$C23,'DADOS BRUTOS'!FI$3:FI$500)))</f>
        <v/>
      </c>
      <c r="IJ23" s="56">
        <f>IF(OR(IJ$4="",$B23=""),0,SUMIF('DADOS BRUTOS'!$A$3:$A$500,$B23,'DADOS BRUTOS'!FJ$3:FJ$500)+IF($C23="",0,SUMIF('DADOS BRUTOS'!$A$3:$A$500,$C23,'DADOS BRUTOS'!FJ$3:FJ$500)))</f>
        <v/>
      </c>
      <c r="IK23" s="56">
        <f>IF(OR(IK$4="",$B23=""),0,SUMIF('DADOS BRUTOS'!$A$3:$A$500,$B23,'DADOS BRUTOS'!FK$3:FK$500)+IF($C23="",0,SUMIF('DADOS BRUTOS'!$A$3:$A$500,$C23,'DADOS BRUTOS'!FK$3:FK$500)))</f>
        <v/>
      </c>
      <c r="IL23" s="56">
        <f>IF(OR(IL$4="",$B23=""),0,SUMIF('DADOS BRUTOS'!$A$3:$A$500,$B23,'DADOS BRUTOS'!FL$3:FL$500)+IF($C23="",0,SUMIF('DADOS BRUTOS'!$A$3:$A$500,$C23,'DADOS BRUTOS'!FL$3:FL$500)))</f>
        <v/>
      </c>
      <c r="IM23" s="56">
        <f>IF(OR(IM$4="",$B23=""),0,SUMIF('DADOS BRUTOS'!$A$3:$A$500,$B23,'DADOS BRUTOS'!FM$3:FM$500)+IF($C23="",0,SUMIF('DADOS BRUTOS'!$A$3:$A$500,$C23,'DADOS BRUTOS'!FM$3:FM$500)))</f>
        <v/>
      </c>
      <c r="IN23" s="56">
        <f>IF(OR(IN$4="",$B23=""),0,SUMIF('DADOS BRUTOS'!$A$3:$A$500,$B23,'DADOS BRUTOS'!FN$3:FN$500)+IF($C23="",0,SUMIF('DADOS BRUTOS'!$A$3:$A$500,$C23,'DADOS BRUTOS'!FN$3:FN$500)))</f>
        <v/>
      </c>
      <c r="IO23" s="56">
        <f>IF(OR(IO$4="",$B23=""),0,SUMIF('DADOS BRUTOS'!$A$3:$A$500,$B23,'DADOS BRUTOS'!FO$3:FO$500)+IF($C23="",0,SUMIF('DADOS BRUTOS'!$A$3:$A$500,$C23,'DADOS BRUTOS'!FO$3:FO$500)))</f>
        <v/>
      </c>
      <c r="IP23" s="56">
        <f>IF(OR(IP$4="",$B23=""),0,SUMIF('DADOS BRUTOS'!$A$3:$A$500,$B23,'DADOS BRUTOS'!FP$3:FP$500)+IF($C23="",0,SUMIF('DADOS BRUTOS'!$A$3:$A$500,$C23,'DADOS BRUTOS'!FP$3:FP$500)))</f>
        <v/>
      </c>
      <c r="IQ23" s="56">
        <f>IF(OR(IQ$4="",$B23=""),0,SUMIF('DADOS BRUTOS'!$A$3:$A$500,$B23,'DADOS BRUTOS'!FQ$3:FQ$500)+IF($C23="",0,SUMIF('DADOS BRUTOS'!$A$3:$A$500,$C23,'DADOS BRUTOS'!FQ$3:FQ$500)))</f>
        <v/>
      </c>
      <c r="IR23" s="56">
        <f>IF(OR(IR$4="",$B23=""),0,SUMIF('DADOS BRUTOS'!$A$3:$A$500,$B23,'DADOS BRUTOS'!FR$3:FR$500)+IF($C23="",0,SUMIF('DADOS BRUTOS'!$A$3:$A$500,$C23,'DADOS BRUTOS'!FR$3:FR$500)))</f>
        <v/>
      </c>
      <c r="IS23" s="56">
        <f>IF(OR(IS$4="",$B23=""),0,SUMIF('DADOS BRUTOS'!$A$3:$A$500,$B23,'DADOS BRUTOS'!FS$3:FS$500)+IF($C23="",0,SUMIF('DADOS BRUTOS'!$A$3:$A$500,$C23,'DADOS BRUTOS'!FS$3:FS$500)))</f>
        <v/>
      </c>
      <c r="IT23" s="56">
        <f>IF(OR(IT$4="",$B23=""),0,SUMIF('DADOS BRUTOS'!$A$3:$A$500,$B23,'DADOS BRUTOS'!FT$3:FT$500)+IF($C23="",0,SUMIF('DADOS BRUTOS'!$A$3:$A$500,$C23,'DADOS BRUTOS'!FT$3:FT$500)))</f>
        <v/>
      </c>
      <c r="IU23" s="56">
        <f>IF(OR(IU$4="",$B23=""),0,SUMIF('DADOS BRUTOS'!$A$3:$A$500,$B23,'DADOS BRUTOS'!FU$3:FU$500)+IF($C23="",0,SUMIF('DADOS BRUTOS'!$A$3:$A$500,$C23,'DADOS BRUTOS'!FU$3:FU$500)))</f>
        <v/>
      </c>
      <c r="IV23" s="56">
        <f>IF(OR(IV$4="",$B23=""),0,SUMIF('DADOS BRUTOS'!$A$3:$A$500,$B23,'DADOS BRUTOS'!FV$3:FV$500)+IF($C23="",0,SUMIF('DADOS BRUTOS'!$A$3:$A$500,$C23,'DADOS BRUTOS'!FV$3:FV$500)))</f>
        <v/>
      </c>
      <c r="IW23" s="56">
        <f>IF(OR(IW$4="",$B23=""),0,SUMIF('DADOS BRUTOS'!$A$3:$A$500,$B23,'DADOS BRUTOS'!FW$3:FW$500)+IF($C23="",0,SUMIF('DADOS BRUTOS'!$A$3:$A$500,$C23,'DADOS BRUTOS'!FW$3:FW$500)))</f>
        <v/>
      </c>
      <c r="IX23" s="56">
        <f>IF(OR(IX$4="",$B23=""),0,SUMIF('DADOS BRUTOS'!$A$3:$A$500,$B23,'DADOS BRUTOS'!FX$3:FX$500)+IF($C23="",0,SUMIF('DADOS BRUTOS'!$A$3:$A$500,$C23,'DADOS BRUTOS'!FX$3:FX$500)))</f>
        <v/>
      </c>
      <c r="IY23" s="56">
        <f>IF(OR(IY$4="",$B23=""),0,SUMIF('DADOS BRUTOS'!$A$3:$A$500,$B23,'DADOS BRUTOS'!FY$3:FY$500)+IF($C23="",0,SUMIF('DADOS BRUTOS'!$A$3:$A$500,$C23,'DADOS BRUTOS'!FY$3:FY$500)))</f>
        <v/>
      </c>
      <c r="IZ23" s="56">
        <f>IF(OR(IZ$4="",$B23=""),0,SUMIF('DADOS BRUTOS'!$A$3:$A$500,$B23,'DADOS BRUTOS'!FZ$3:FZ$500)+IF($C23="",0,SUMIF('DADOS BRUTOS'!$A$3:$A$500,$C23,'DADOS BRUTOS'!FZ$3:FZ$500)))</f>
        <v/>
      </c>
      <c r="JA23" s="56">
        <f>IF(OR(JA$4="",$B23=""),0,SUMIF('DADOS BRUTOS'!$A$3:$A$500,$B23,'DADOS BRUTOS'!GA$3:GA$500)+IF($C23="",0,SUMIF('DADOS BRUTOS'!$A$3:$A$500,$C23,'DADOS BRUTOS'!GA$3:GA$500)))</f>
        <v/>
      </c>
      <c r="JB23" s="56">
        <f>IF(OR(JB$4="",$B23=""),0,SUMIF('DADOS BRUTOS'!$A$3:$A$500,$B23,'DADOS BRUTOS'!GB$3:GB$500)+IF($C23="",0,SUMIF('DADOS BRUTOS'!$A$3:$A$500,$C23,'DADOS BRUTOS'!GB$3:GB$500)))</f>
        <v/>
      </c>
      <c r="JC23" s="56">
        <f>IF(OR(JC$4="",$B23=""),0,SUMIF('DADOS BRUTOS'!$A$3:$A$500,$B23,'DADOS BRUTOS'!GC$3:GC$500)+IF($C23="",0,SUMIF('DADOS BRUTOS'!$A$3:$A$500,$C23,'DADOS BRUTOS'!GC$3:GC$500)))</f>
        <v/>
      </c>
      <c r="JD23" s="56">
        <f>IF(OR(JD$4="",$B23=""),0,SUMIF('DADOS BRUTOS'!$A$3:$A$500,$B23,'DADOS BRUTOS'!GD$3:GD$500)+IF($C23="",0,SUMIF('DADOS BRUTOS'!$A$3:$A$500,$C23,'DADOS BRUTOS'!GD$3:GD$500)))</f>
        <v/>
      </c>
      <c r="JE23" s="56">
        <f>IF(OR(JE$4="",$B23=""),0,SUMIF('DADOS BRUTOS'!$A$3:$A$500,$B23,'DADOS BRUTOS'!GE$3:GE$500)+IF($C23="",0,SUMIF('DADOS BRUTOS'!$A$3:$A$500,$C23,'DADOS BRUTOS'!GE$3:GE$500)))</f>
        <v/>
      </c>
      <c r="JF23" s="56">
        <f>IF(OR(JF$4="",$B23=""),0,SUMIF('DADOS BRUTOS'!$A$3:$A$500,$B23,'DADOS BRUTOS'!GF$3:GF$500)+IF($C23="",0,SUMIF('DADOS BRUTOS'!$A$3:$A$500,$C23,'DADOS BRUTOS'!GF$3:GF$500)))</f>
        <v/>
      </c>
      <c r="JG23" s="56">
        <f>IF(OR(JG$4="",$B23=""),0,SUMIF('DADOS BRUTOS'!$A$3:$A$500,$B23,'DADOS BRUTOS'!GG$3:GG$500)+IF($C23="",0,SUMIF('DADOS BRUTOS'!$A$3:$A$500,$C23,'DADOS BRUTOS'!GG$3:GG$500)))</f>
        <v/>
      </c>
      <c r="JH23" s="56">
        <f>IF(OR(JH$4="",$B23=""),0,SUMIF('DADOS BRUTOS'!$A$3:$A$500,$B23,'DADOS BRUTOS'!GH$3:GH$500)+IF($C23="",0,SUMIF('DADOS BRUTOS'!$A$3:$A$500,$C23,'DADOS BRUTOS'!GH$3:GH$500)))</f>
        <v/>
      </c>
      <c r="JI23" s="56">
        <f>IF(OR(JI$4="",$B23=""),0,SUMIF('DADOS BRUTOS'!$A$3:$A$500,$B23,'DADOS BRUTOS'!GI$3:GI$500)+IF($C23="",0,SUMIF('DADOS BRUTOS'!$A$3:$A$500,$C23,'DADOS BRUTOS'!GI$3:GI$500)))</f>
        <v/>
      </c>
      <c r="JJ23" s="56">
        <f>IF(OR(JJ$4="",$B23=""),0,SUMIF('DADOS BRUTOS'!$A$3:$A$500,$B23,'DADOS BRUTOS'!GJ$3:GJ$500)+IF($C23="",0,SUMIF('DADOS BRUTOS'!$A$3:$A$500,$C23,'DADOS BRUTOS'!GJ$3:GJ$500)))</f>
        <v/>
      </c>
      <c r="JK23" s="56">
        <f>IF(OR(JK$4="",$B23=""),0,SUMIF('DADOS BRUTOS'!$A$3:$A$500,$B23,'DADOS BRUTOS'!GK$3:GK$500)+IF($C23="",0,SUMIF('DADOS BRUTOS'!$A$3:$A$500,$C23,'DADOS BRUTOS'!GK$3:GK$500)))</f>
        <v/>
      </c>
      <c r="JL23" s="56">
        <f>IF(OR(JL$4="",$B23=""),0,SUMIF('DADOS BRUTOS'!$A$3:$A$500,$B23,'DADOS BRUTOS'!GL$3:GL$500)+IF($C23="",0,SUMIF('DADOS BRUTOS'!$A$3:$A$500,$C23,'DADOS BRUTOS'!GL$3:GL$500)))</f>
        <v/>
      </c>
      <c r="JM23" s="56">
        <f>IF(OR(JM$4="",$B23=""),0,SUMIF('DADOS BRUTOS'!$A$3:$A$500,$B23,'DADOS BRUTOS'!GM$3:GM$500)+IF($C23="",0,SUMIF('DADOS BRUTOS'!$A$3:$A$500,$C23,'DADOS BRUTOS'!GM$3:GM$500)))</f>
        <v/>
      </c>
      <c r="JN23" s="56">
        <f>IF(OR(JN$4="",$B23=""),0,SUMIF('DADOS BRUTOS'!$A$3:$A$500,$B23,'DADOS BRUTOS'!GN$3:GN$500)+IF($C23="",0,SUMIF('DADOS BRUTOS'!$A$3:$A$500,$C23,'DADOS BRUTOS'!GN$3:GN$500)))</f>
        <v/>
      </c>
      <c r="JO23" s="56">
        <f>IF(OR(JO$4="",$B23=""),0,SUMIF('DADOS BRUTOS'!$A$3:$A$500,$B23,'DADOS BRUTOS'!GO$3:GO$500)+IF($C23="",0,SUMIF('DADOS BRUTOS'!$A$3:$A$500,$C23,'DADOS BRUTOS'!GO$3:GO$500)))</f>
        <v/>
      </c>
      <c r="JP23" s="56">
        <f>IF(OR(JP$4="",$B23=""),0,SUMIF('DADOS BRUTOS'!$A$3:$A$500,$B23,'DADOS BRUTOS'!GP$3:GP$500)+IF($C23="",0,SUMIF('DADOS BRUTOS'!$A$3:$A$500,$C23,'DADOS BRUTOS'!GP$3:GP$500)))</f>
        <v/>
      </c>
      <c r="JQ23" s="56">
        <f>IF(OR(JQ$4="",$B23=""),0,SUMIF('DADOS BRUTOS'!$A$3:$A$500,$B23,'DADOS BRUTOS'!GQ$3:GQ$500)+IF($C23="",0,SUMIF('DADOS BRUTOS'!$A$3:$A$500,$C23,'DADOS BRUTOS'!GQ$3:GQ$500)))</f>
        <v/>
      </c>
      <c r="JR23" s="56">
        <f>IF(OR(JR$4="",$B23=""),0,SUMIF('DADOS BRUTOS'!$A$3:$A$500,$B23,'DADOS BRUTOS'!GR$3:GR$500)+IF($C23="",0,SUMIF('DADOS BRUTOS'!$A$3:$A$500,$C23,'DADOS BRUTOS'!GR$3:GR$500)))</f>
        <v/>
      </c>
      <c r="JS23" s="56">
        <f>IF(OR(JS$4="",$B23=""),0,SUMIF('DADOS BRUTOS'!$A$3:$A$500,$B23,'DADOS BRUTOS'!GS$3:GS$500)+IF($C23="",0,SUMIF('DADOS BRUTOS'!$A$3:$A$500,$C23,'DADOS BRUTOS'!GS$3:GS$500)))</f>
        <v/>
      </c>
    </row>
    <row r="24">
      <c r="A24" s="34">
        <f>'VALOR POR PL'!D30</f>
        <v/>
      </c>
      <c r="B24" s="21" t="inlineStr">
        <is>
          <t>INSTALAÇÕES ELÉTRICAS</t>
        </is>
      </c>
      <c r="C24" s="21" t="n"/>
      <c r="D24" s="17">
        <f>SUMIF($CB$4:$JS$4,"&lt;="&amp;D$4,$CB24:$JS24)</f>
        <v/>
      </c>
      <c r="E24" s="17">
        <f>SUMIF($CB$4:$JS$4,E$4,$CB24:$JS24)</f>
        <v/>
      </c>
      <c r="F24" s="17">
        <f>SUMIF($CB$4:$JS$4,F$4,$CB24:$JS24)</f>
        <v/>
      </c>
      <c r="G24" s="17">
        <f>SUMIF($CB$4:$JS$4,G$4,$CB24:$JS24)</f>
        <v/>
      </c>
      <c r="H24" s="17">
        <f>SUMIF($CB$4:$JS$4,H$4,$CB24:$JS24)</f>
        <v/>
      </c>
      <c r="I24" s="17">
        <f>SUMIF($CB$4:$JS$4,I$4,$CB24:$JS24)</f>
        <v/>
      </c>
      <c r="J24" s="17">
        <f>SUMIF($CB$4:$JS$4,J$4,$CB24:$JS24)</f>
        <v/>
      </c>
      <c r="K24" s="17">
        <f>SUMIF($CB$4:$JS$4,K$4,$CB24:$JS24)</f>
        <v/>
      </c>
      <c r="L24" s="17">
        <f>SUMIF($CB$4:$JS$4,L$4,$CB24:$JS24)</f>
        <v/>
      </c>
      <c r="M24" s="17">
        <f>SUMIF($CB$4:$JS$4,M$4,$CB24:$JS24)</f>
        <v/>
      </c>
      <c r="N24" s="17">
        <f>SUMIF($CB$4:$JS$4,N$4,$CB24:$JS24)</f>
        <v/>
      </c>
      <c r="O24" s="17">
        <f>SUMIF($CB$4:$JS$4,O$4,$CB24:$JS24)</f>
        <v/>
      </c>
      <c r="P24" s="17">
        <f>SUMIF($CB$4:$JS$4,P$4,$CB24:$JS24)</f>
        <v/>
      </c>
      <c r="Q24" s="17">
        <f>SUMIF($CB$4:$JS$4,Q$4,$CB24:$JS24)</f>
        <v/>
      </c>
      <c r="R24" s="17">
        <f>SUMIF($CB$4:$JS$4,R$4,$CB24:$JS24)</f>
        <v/>
      </c>
      <c r="S24" s="17">
        <f>SUMIF($CB$4:$JS$4,S$4,$CB24:$JS24)</f>
        <v/>
      </c>
      <c r="T24" s="17">
        <f>SUMIF($CB$4:$JS$4,T$4,$CB24:$JS24)</f>
        <v/>
      </c>
      <c r="U24" s="17">
        <f>SUMIF($CB$4:$JS$4,U$4,$CB24:$JS24)</f>
        <v/>
      </c>
      <c r="V24" s="17">
        <f>SUMIF($CB$4:$JS$4,V$4,$CB24:$JS24)</f>
        <v/>
      </c>
      <c r="W24" s="17">
        <f>SUMIF($CB$4:$JS$4,W$4,$CB24:$JS24)</f>
        <v/>
      </c>
      <c r="X24" s="17">
        <f>SUMIF($CB$4:$JS$4,X$4,$CB24:$JS24)</f>
        <v/>
      </c>
      <c r="Y24" s="17">
        <f>SUMIF($CB$4:$JS$4,Y$4,$CB24:$JS24)</f>
        <v/>
      </c>
      <c r="Z24" s="17">
        <f>SUMIF($CB$4:$JS$4,Z$4,$CB24:$JS24)</f>
        <v/>
      </c>
      <c r="AA24" s="17">
        <f>SUMIF($CB$4:$JS$4,AA$4,$CB24:$JS24)</f>
        <v/>
      </c>
      <c r="AB24" s="17">
        <f>SUMIF($CB$4:$JS$4,AB$4,$CB24:$JS24)</f>
        <v/>
      </c>
      <c r="AC24" s="17">
        <f>SUMIF($CB$4:$JS$4,AC$4,$CB24:$JS24)</f>
        <v/>
      </c>
      <c r="AD24" s="17">
        <f>SUMIF($CB$4:$JS$4,AD$4,$CB24:$JS24)</f>
        <v/>
      </c>
      <c r="AE24" s="17">
        <f>SUMIF($CB$4:$JS$4,AE$4,$CB24:$JS24)</f>
        <v/>
      </c>
      <c r="AF24" s="17">
        <f>SUMIF($CB$4:$JS$4,AF$4,$CB24:$JS24)</f>
        <v/>
      </c>
      <c r="AG24" s="17">
        <f>SUMIF($CB$4:$JS$4,AG$4,$CB24:$JS24)</f>
        <v/>
      </c>
      <c r="AH24" s="17">
        <f>SUMIF($CB$4:$JS$4,AH$4,$CB24:$JS24)</f>
        <v/>
      </c>
      <c r="AI24" s="17">
        <f>SUMIF($CB$4:$JS$4,AI$4,$CB24:$JS24)</f>
        <v/>
      </c>
      <c r="AJ24" s="17">
        <f>SUMIF($CB$4:$JS$4,AJ$4,$CB24:$JS24)</f>
        <v/>
      </c>
      <c r="AK24" s="17">
        <f>SUMIF($CB$4:$JS$4,AK$4,$CB24:$JS24)</f>
        <v/>
      </c>
      <c r="AL24" s="17">
        <f>SUMIF($CB$4:$JS$4,AL$4,$CB24:$JS24)</f>
        <v/>
      </c>
      <c r="AM24" s="17">
        <f>SUMIF($CB$4:$JS$4,AM$4,$CB24:$JS24)</f>
        <v/>
      </c>
      <c r="AN24" s="17">
        <f>SUMIF($CB$4:$JS$4,AN$4,$CB24:$JS24)</f>
        <v/>
      </c>
      <c r="AO24" s="17">
        <f>SUMIF($CB$4:$JS$4,AO$4,$CB24:$JS24)</f>
        <v/>
      </c>
      <c r="AP24" s="17">
        <f>SUMIF($CB$4:$JS$4,AP$4,$CB24:$JS24)</f>
        <v/>
      </c>
      <c r="AQ24" s="17">
        <f>SUMIF($CB$4:$JS$4,AQ$4,$CB24:$JS24)</f>
        <v/>
      </c>
      <c r="AR24" s="17">
        <f>SUMIF($CB$4:$JS$4,AR$4,$CB24:$JS24)</f>
        <v/>
      </c>
      <c r="AS24" s="17">
        <f>SUMIF($CB$4:$JS$4,AS$4,$CB24:$JS24)</f>
        <v/>
      </c>
      <c r="AT24" s="17">
        <f>SUMIF($CB$4:$JS$4,AT$4,$CB24:$JS24)</f>
        <v/>
      </c>
      <c r="AU24" s="17">
        <f>SUMIF($CB$4:$JS$4,AU$4,$CB24:$JS24)</f>
        <v/>
      </c>
      <c r="AV24" s="17">
        <f>SUMIF($CB$4:$JS$4,AV$4,$CB24:$JS24)</f>
        <v/>
      </c>
      <c r="AW24" s="17">
        <f>SUMIF($CB$4:$JS$4,AW$4,$CB24:$JS24)</f>
        <v/>
      </c>
      <c r="AX24" s="17">
        <f>SUMIF($CB$4:$JS$4,AX$4,$CB24:$JS24)</f>
        <v/>
      </c>
      <c r="AY24" s="17">
        <f>SUMIF($CB$4:$JS$4,AY$4,$CB24:$JS24)</f>
        <v/>
      </c>
      <c r="AZ24" s="17">
        <f>SUMIF($CB$4:$JS$4,AZ$4,$CB24:$JS24)</f>
        <v/>
      </c>
      <c r="BA24" s="17">
        <f>SUMIF($CB$4:$JS$4,BA$4,$CB24:$JS24)</f>
        <v/>
      </c>
      <c r="BB24" s="17">
        <f>SUMIF($CB$4:$JS$4,BB$4,$CB24:$JS24)</f>
        <v/>
      </c>
      <c r="BC24" s="17">
        <f>SUMIF($CB$4:$JS$4,BC$4,$CB24:$JS24)</f>
        <v/>
      </c>
      <c r="BD24" s="17">
        <f>SUMIF($CB$4:$JS$4,BD$4,$CB24:$JS24)</f>
        <v/>
      </c>
      <c r="BE24" s="17">
        <f>SUMIF($CB$4:$JS$4,BE$4,$CB24:$JS24)</f>
        <v/>
      </c>
      <c r="BF24" s="17">
        <f>SUMIF($CB$4:$JS$4,BF$4,$CB24:$JS24)</f>
        <v/>
      </c>
      <c r="BG24" s="17">
        <f>SUMIF($CB$4:$JS$4,BG$4,$CB24:$JS24)</f>
        <v/>
      </c>
      <c r="BH24" s="17">
        <f>SUMIF($CB$4:$JS$4,BH$4,$CB24:$JS24)</f>
        <v/>
      </c>
      <c r="BI24" s="17">
        <f>SUMIF($CB$4:$JS$4,BI$4,$CB24:$JS24)</f>
        <v/>
      </c>
      <c r="BJ24" s="17">
        <f>SUMIF($CB$4:$JS$4,BJ$4,$CB24:$JS24)</f>
        <v/>
      </c>
      <c r="BK24" s="17">
        <f>SUMIF($CB$4:$JS$4,BK$4,$CB24:$JS24)</f>
        <v/>
      </c>
      <c r="BL24" s="17">
        <f>SUMIF($CB$4:$JS$4,BL$4,$CB24:$JS24)</f>
        <v/>
      </c>
      <c r="BM24" s="17">
        <f>SUMIF($CB$4:$JS$4,BM$4,$CB24:$JS24)</f>
        <v/>
      </c>
      <c r="BN24" s="17">
        <f>SUMIF($CB$4:$JS$4,BN$4,$CB24:$JS24)</f>
        <v/>
      </c>
      <c r="BO24" s="17">
        <f>SUMIF($CB$4:$JS$4,BO$4,$CB24:$JS24)</f>
        <v/>
      </c>
      <c r="BP24" s="17">
        <f>SUMIF($CB$4:$JS$4,BP$4,$CB24:$JS24)</f>
        <v/>
      </c>
      <c r="BQ24" s="17">
        <f>SUMIF($CB$4:$JS$4,BQ$4,$CB24:$JS24)</f>
        <v/>
      </c>
      <c r="BR24" s="17">
        <f>SUMIF($CB$4:$JS$4,BR$4,$CB24:$JS24)</f>
        <v/>
      </c>
      <c r="BS24" s="17">
        <f>SUMIF($CB$4:$JS$4,BS$4,$CB24:$JS24)</f>
        <v/>
      </c>
      <c r="BT24" s="17">
        <f>SUMIF($CB$4:$JS$4,BT$4,$CB24:$JS24)</f>
        <v/>
      </c>
      <c r="BU24" s="17">
        <f>SUMIF($CB$4:$JS$4,BU$4,$CB24:$JS24)</f>
        <v/>
      </c>
      <c r="BV24" s="17">
        <f>SUMIF($CB$4:$JS$4,BV$4,$CB24:$JS24)</f>
        <v/>
      </c>
      <c r="BW24" s="17">
        <f>SUMIF($CB$4:$JS$4,BW$4,$CB24:$JS24)</f>
        <v/>
      </c>
      <c r="BX24" s="17">
        <f>SUMIF($CB$4:$JS$4,"&gt;"&amp;'VALOR POR PL'!$P$8,$CB24:$JS24)</f>
        <v/>
      </c>
      <c r="BY24" s="17">
        <f>SUM($CB24:$JS24)</f>
        <v/>
      </c>
      <c r="CB24" s="56">
        <f>IF(OR(CB$4="",$B24=""),0,SUMIF('DADOS BRUTOS'!$A$3:$A$500,$B24,'DADOS BRUTOS'!B$3:B$500)+IF($C24="",0,SUMIF('DADOS BRUTOS'!$A$3:$A$500,$C24,'DADOS BRUTOS'!B$3:B$500)))</f>
        <v/>
      </c>
      <c r="CC24" s="56">
        <f>IF(OR(CC$4="",$B24=""),0,SUMIF('DADOS BRUTOS'!$A$3:$A$500,$B24,'DADOS BRUTOS'!C$3:C$500)+IF($C24="",0,SUMIF('DADOS BRUTOS'!$A$3:$A$500,$C24,'DADOS BRUTOS'!C$3:C$500)))</f>
        <v/>
      </c>
      <c r="CD24" s="56">
        <f>IF(OR(CD$4="",$B24=""),0,SUMIF('DADOS BRUTOS'!$A$3:$A$500,$B24,'DADOS BRUTOS'!D$3:D$500)+IF($C24="",0,SUMIF('DADOS BRUTOS'!$A$3:$A$500,$C24,'DADOS BRUTOS'!D$3:D$500)))</f>
        <v/>
      </c>
      <c r="CE24" s="56">
        <f>IF(OR(CE$4="",$B24=""),0,SUMIF('DADOS BRUTOS'!$A$3:$A$500,$B24,'DADOS BRUTOS'!E$3:E$500)+IF($C24="",0,SUMIF('DADOS BRUTOS'!$A$3:$A$500,$C24,'DADOS BRUTOS'!E$3:E$500)))</f>
        <v/>
      </c>
      <c r="CF24" s="56">
        <f>IF(OR(CF$4="",$B24=""),0,SUMIF('DADOS BRUTOS'!$A$3:$A$500,$B24,'DADOS BRUTOS'!F$3:F$500)+IF($C24="",0,SUMIF('DADOS BRUTOS'!$A$3:$A$500,$C24,'DADOS BRUTOS'!F$3:F$500)))</f>
        <v/>
      </c>
      <c r="CG24" s="56">
        <f>IF(OR(CG$4="",$B24=""),0,SUMIF('DADOS BRUTOS'!$A$3:$A$500,$B24,'DADOS BRUTOS'!G$3:G$500)+IF($C24="",0,SUMIF('DADOS BRUTOS'!$A$3:$A$500,$C24,'DADOS BRUTOS'!G$3:G$500)))</f>
        <v/>
      </c>
      <c r="CH24" s="56">
        <f>IF(OR(CH$4="",$B24=""),0,SUMIF('DADOS BRUTOS'!$A$3:$A$500,$B24,'DADOS BRUTOS'!H$3:H$500)+IF($C24="",0,SUMIF('DADOS BRUTOS'!$A$3:$A$500,$C24,'DADOS BRUTOS'!H$3:H$500)))</f>
        <v/>
      </c>
      <c r="CI24" s="56">
        <f>IF(OR(CI$4="",$B24=""),0,SUMIF('DADOS BRUTOS'!$A$3:$A$500,$B24,'DADOS BRUTOS'!I$3:I$500)+IF($C24="",0,SUMIF('DADOS BRUTOS'!$A$3:$A$500,$C24,'DADOS BRUTOS'!I$3:I$500)))</f>
        <v/>
      </c>
      <c r="CJ24" s="56">
        <f>IF(OR(CJ$4="",$B24=""),0,SUMIF('DADOS BRUTOS'!$A$3:$A$500,$B24,'DADOS BRUTOS'!J$3:J$500)+IF($C24="",0,SUMIF('DADOS BRUTOS'!$A$3:$A$500,$C24,'DADOS BRUTOS'!J$3:J$500)))</f>
        <v/>
      </c>
      <c r="CK24" s="56">
        <f>IF(OR(CK$4="",$B24=""),0,SUMIF('DADOS BRUTOS'!$A$3:$A$500,$B24,'DADOS BRUTOS'!K$3:K$500)+IF($C24="",0,SUMIF('DADOS BRUTOS'!$A$3:$A$500,$C24,'DADOS BRUTOS'!K$3:K$500)))</f>
        <v/>
      </c>
      <c r="CL24" s="56">
        <f>IF(OR(CL$4="",$B24=""),0,SUMIF('DADOS BRUTOS'!$A$3:$A$500,$B24,'DADOS BRUTOS'!L$3:L$500)+IF($C24="",0,SUMIF('DADOS BRUTOS'!$A$3:$A$500,$C24,'DADOS BRUTOS'!L$3:L$500)))</f>
        <v/>
      </c>
      <c r="CM24" s="56">
        <f>IF(OR(CM$4="",$B24=""),0,SUMIF('DADOS BRUTOS'!$A$3:$A$500,$B24,'DADOS BRUTOS'!M$3:M$500)+IF($C24="",0,SUMIF('DADOS BRUTOS'!$A$3:$A$500,$C24,'DADOS BRUTOS'!M$3:M$500)))</f>
        <v/>
      </c>
      <c r="CN24" s="56">
        <f>IF(OR(CN$4="",$B24=""),0,SUMIF('DADOS BRUTOS'!$A$3:$A$500,$B24,'DADOS BRUTOS'!N$3:N$500)+IF($C24="",0,SUMIF('DADOS BRUTOS'!$A$3:$A$500,$C24,'DADOS BRUTOS'!N$3:N$500)))</f>
        <v/>
      </c>
      <c r="CO24" s="56">
        <f>IF(OR(CO$4="",$B24=""),0,SUMIF('DADOS BRUTOS'!$A$3:$A$500,$B24,'DADOS BRUTOS'!O$3:O$500)+IF($C24="",0,SUMIF('DADOS BRUTOS'!$A$3:$A$500,$C24,'DADOS BRUTOS'!O$3:O$500)))</f>
        <v/>
      </c>
      <c r="CP24" s="56">
        <f>IF(OR(CP$4="",$B24=""),0,SUMIF('DADOS BRUTOS'!$A$3:$A$500,$B24,'DADOS BRUTOS'!P$3:P$500)+IF($C24="",0,SUMIF('DADOS BRUTOS'!$A$3:$A$500,$C24,'DADOS BRUTOS'!P$3:P$500)))</f>
        <v/>
      </c>
      <c r="CQ24" s="56">
        <f>IF(OR(CQ$4="",$B24=""),0,SUMIF('DADOS BRUTOS'!$A$3:$A$500,$B24,'DADOS BRUTOS'!Q$3:Q$500)+IF($C24="",0,SUMIF('DADOS BRUTOS'!$A$3:$A$500,$C24,'DADOS BRUTOS'!Q$3:Q$500)))</f>
        <v/>
      </c>
      <c r="CR24" s="56">
        <f>IF(OR(CR$4="",$B24=""),0,SUMIF('DADOS BRUTOS'!$A$3:$A$500,$B24,'DADOS BRUTOS'!R$3:R$500)+IF($C24="",0,SUMIF('DADOS BRUTOS'!$A$3:$A$500,$C24,'DADOS BRUTOS'!R$3:R$500)))</f>
        <v/>
      </c>
      <c r="CS24" s="56">
        <f>IF(OR(CS$4="",$B24=""),0,SUMIF('DADOS BRUTOS'!$A$3:$A$500,$B24,'DADOS BRUTOS'!S$3:S$500)+IF($C24="",0,SUMIF('DADOS BRUTOS'!$A$3:$A$500,$C24,'DADOS BRUTOS'!S$3:S$500)))</f>
        <v/>
      </c>
      <c r="CT24" s="56">
        <f>IF(OR(CT$4="",$B24=""),0,SUMIF('DADOS BRUTOS'!$A$3:$A$500,$B24,'DADOS BRUTOS'!T$3:T$500)+IF($C24="",0,SUMIF('DADOS BRUTOS'!$A$3:$A$500,$C24,'DADOS BRUTOS'!T$3:T$500)))</f>
        <v/>
      </c>
      <c r="CU24" s="56">
        <f>IF(OR(CU$4="",$B24=""),0,SUMIF('DADOS BRUTOS'!$A$3:$A$500,$B24,'DADOS BRUTOS'!U$3:U$500)+IF($C24="",0,SUMIF('DADOS BRUTOS'!$A$3:$A$500,$C24,'DADOS BRUTOS'!U$3:U$500)))</f>
        <v/>
      </c>
      <c r="CV24" s="56">
        <f>IF(OR(CV$4="",$B24=""),0,SUMIF('DADOS BRUTOS'!$A$3:$A$500,$B24,'DADOS BRUTOS'!V$3:V$500)+IF($C24="",0,SUMIF('DADOS BRUTOS'!$A$3:$A$500,$C24,'DADOS BRUTOS'!V$3:V$500)))</f>
        <v/>
      </c>
      <c r="CW24" s="56">
        <f>IF(OR(CW$4="",$B24=""),0,SUMIF('DADOS BRUTOS'!$A$3:$A$500,$B24,'DADOS BRUTOS'!W$3:W$500)+IF($C24="",0,SUMIF('DADOS BRUTOS'!$A$3:$A$500,$C24,'DADOS BRUTOS'!W$3:W$500)))</f>
        <v/>
      </c>
      <c r="CX24" s="56">
        <f>IF(OR(CX$4="",$B24=""),0,SUMIF('DADOS BRUTOS'!$A$3:$A$500,$B24,'DADOS BRUTOS'!X$3:X$500)+IF($C24="",0,SUMIF('DADOS BRUTOS'!$A$3:$A$500,$C24,'DADOS BRUTOS'!X$3:X$500)))</f>
        <v/>
      </c>
      <c r="CY24" s="56">
        <f>IF(OR(CY$4="",$B24=""),0,SUMIF('DADOS BRUTOS'!$A$3:$A$500,$B24,'DADOS BRUTOS'!Y$3:Y$500)+IF($C24="",0,SUMIF('DADOS BRUTOS'!$A$3:$A$500,$C24,'DADOS BRUTOS'!Y$3:Y$500)))</f>
        <v/>
      </c>
      <c r="CZ24" s="56">
        <f>IF(OR(CZ$4="",$B24=""),0,SUMIF('DADOS BRUTOS'!$A$3:$A$500,$B24,'DADOS BRUTOS'!Z$3:Z$500)+IF($C24="",0,SUMIF('DADOS BRUTOS'!$A$3:$A$500,$C24,'DADOS BRUTOS'!Z$3:Z$500)))</f>
        <v/>
      </c>
      <c r="DA24" s="56">
        <f>IF(OR(DA$4="",$B24=""),0,SUMIF('DADOS BRUTOS'!$A$3:$A$500,$B24,'DADOS BRUTOS'!AA$3:AA$500)+IF($C24="",0,SUMIF('DADOS BRUTOS'!$A$3:$A$500,$C24,'DADOS BRUTOS'!AA$3:AA$500)))</f>
        <v/>
      </c>
      <c r="DB24" s="56">
        <f>IF(OR(DB$4="",$B24=""),0,SUMIF('DADOS BRUTOS'!$A$3:$A$500,$B24,'DADOS BRUTOS'!AB$3:AB$500)+IF($C24="",0,SUMIF('DADOS BRUTOS'!$A$3:$A$500,$C24,'DADOS BRUTOS'!AB$3:AB$500)))</f>
        <v/>
      </c>
      <c r="DC24" s="56">
        <f>IF(OR(DC$4="",$B24=""),0,SUMIF('DADOS BRUTOS'!$A$3:$A$500,$B24,'DADOS BRUTOS'!AC$3:AC$500)+IF($C24="",0,SUMIF('DADOS BRUTOS'!$A$3:$A$500,$C24,'DADOS BRUTOS'!AC$3:AC$500)))</f>
        <v/>
      </c>
      <c r="DD24" s="56">
        <f>IF(OR(DD$4="",$B24=""),0,SUMIF('DADOS BRUTOS'!$A$3:$A$500,$B24,'DADOS BRUTOS'!AD$3:AD$500)+IF($C24="",0,SUMIF('DADOS BRUTOS'!$A$3:$A$500,$C24,'DADOS BRUTOS'!AD$3:AD$500)))</f>
        <v/>
      </c>
      <c r="DE24" s="56">
        <f>IF(OR(DE$4="",$B24=""),0,SUMIF('DADOS BRUTOS'!$A$3:$A$500,$B24,'DADOS BRUTOS'!AE$3:AE$500)+IF($C24="",0,SUMIF('DADOS BRUTOS'!$A$3:$A$500,$C24,'DADOS BRUTOS'!AE$3:AE$500)))</f>
        <v/>
      </c>
      <c r="DF24" s="56">
        <f>IF(OR(DF$4="",$B24=""),0,SUMIF('DADOS BRUTOS'!$A$3:$A$500,$B24,'DADOS BRUTOS'!AF$3:AF$500)+IF($C24="",0,SUMIF('DADOS BRUTOS'!$A$3:$A$500,$C24,'DADOS BRUTOS'!AF$3:AF$500)))</f>
        <v/>
      </c>
      <c r="DG24" s="56">
        <f>IF(OR(DG$4="",$B24=""),0,SUMIF('DADOS BRUTOS'!$A$3:$A$500,$B24,'DADOS BRUTOS'!AG$3:AG$500)+IF($C24="",0,SUMIF('DADOS BRUTOS'!$A$3:$A$500,$C24,'DADOS BRUTOS'!AG$3:AG$500)))</f>
        <v/>
      </c>
      <c r="DH24" s="56">
        <f>IF(OR(DH$4="",$B24=""),0,SUMIF('DADOS BRUTOS'!$A$3:$A$500,$B24,'DADOS BRUTOS'!AH$3:AH$500)+IF($C24="",0,SUMIF('DADOS BRUTOS'!$A$3:$A$500,$C24,'DADOS BRUTOS'!AH$3:AH$500)))</f>
        <v/>
      </c>
      <c r="DI24" s="56">
        <f>IF(OR(DI$4="",$B24=""),0,SUMIF('DADOS BRUTOS'!$A$3:$A$500,$B24,'DADOS BRUTOS'!AI$3:AI$500)+IF($C24="",0,SUMIF('DADOS BRUTOS'!$A$3:$A$500,$C24,'DADOS BRUTOS'!AI$3:AI$500)))</f>
        <v/>
      </c>
      <c r="DJ24" s="56">
        <f>IF(OR(DJ$4="",$B24=""),0,SUMIF('DADOS BRUTOS'!$A$3:$A$500,$B24,'DADOS BRUTOS'!AJ$3:AJ$500)+IF($C24="",0,SUMIF('DADOS BRUTOS'!$A$3:$A$500,$C24,'DADOS BRUTOS'!AJ$3:AJ$500)))</f>
        <v/>
      </c>
      <c r="DK24" s="56">
        <f>IF(OR(DK$4="",$B24=""),0,SUMIF('DADOS BRUTOS'!$A$3:$A$500,$B24,'DADOS BRUTOS'!AK$3:AK$500)+IF($C24="",0,SUMIF('DADOS BRUTOS'!$A$3:$A$500,$C24,'DADOS BRUTOS'!AK$3:AK$500)))</f>
        <v/>
      </c>
      <c r="DL24" s="56">
        <f>IF(OR(DL$4="",$B24=""),0,SUMIF('DADOS BRUTOS'!$A$3:$A$500,$B24,'DADOS BRUTOS'!AL$3:AL$500)+IF($C24="",0,SUMIF('DADOS BRUTOS'!$A$3:$A$500,$C24,'DADOS BRUTOS'!AL$3:AL$500)))</f>
        <v/>
      </c>
      <c r="DM24" s="56">
        <f>IF(OR(DM$4="",$B24=""),0,SUMIF('DADOS BRUTOS'!$A$3:$A$500,$B24,'DADOS BRUTOS'!AM$3:AM$500)+IF($C24="",0,SUMIF('DADOS BRUTOS'!$A$3:$A$500,$C24,'DADOS BRUTOS'!AM$3:AM$500)))</f>
        <v/>
      </c>
      <c r="DN24" s="56">
        <f>IF(OR(DN$4="",$B24=""),0,SUMIF('DADOS BRUTOS'!$A$3:$A$500,$B24,'DADOS BRUTOS'!AN$3:AN$500)+IF($C24="",0,SUMIF('DADOS BRUTOS'!$A$3:$A$500,$C24,'DADOS BRUTOS'!AN$3:AN$500)))</f>
        <v/>
      </c>
      <c r="DO24" s="56">
        <f>IF(OR(DO$4="",$B24=""),0,SUMIF('DADOS BRUTOS'!$A$3:$A$500,$B24,'DADOS BRUTOS'!AO$3:AO$500)+IF($C24="",0,SUMIF('DADOS BRUTOS'!$A$3:$A$500,$C24,'DADOS BRUTOS'!AO$3:AO$500)))</f>
        <v/>
      </c>
      <c r="DP24" s="56">
        <f>IF(OR(DP$4="",$B24=""),0,SUMIF('DADOS BRUTOS'!$A$3:$A$500,$B24,'DADOS BRUTOS'!AP$3:AP$500)+IF($C24="",0,SUMIF('DADOS BRUTOS'!$A$3:$A$500,$C24,'DADOS BRUTOS'!AP$3:AP$500)))</f>
        <v/>
      </c>
      <c r="DQ24" s="56">
        <f>IF(OR(DQ$4="",$B24=""),0,SUMIF('DADOS BRUTOS'!$A$3:$A$500,$B24,'DADOS BRUTOS'!AQ$3:AQ$500)+IF($C24="",0,SUMIF('DADOS BRUTOS'!$A$3:$A$500,$C24,'DADOS BRUTOS'!AQ$3:AQ$500)))</f>
        <v/>
      </c>
      <c r="DR24" s="56">
        <f>IF(OR(DR$4="",$B24=""),0,SUMIF('DADOS BRUTOS'!$A$3:$A$500,$B24,'DADOS BRUTOS'!AR$3:AR$500)+IF($C24="",0,SUMIF('DADOS BRUTOS'!$A$3:$A$500,$C24,'DADOS BRUTOS'!AR$3:AR$500)))</f>
        <v/>
      </c>
      <c r="DS24" s="56">
        <f>IF(OR(DS$4="",$B24=""),0,SUMIF('DADOS BRUTOS'!$A$3:$A$500,$B24,'DADOS BRUTOS'!AS$3:AS$500)+IF($C24="",0,SUMIF('DADOS BRUTOS'!$A$3:$A$500,$C24,'DADOS BRUTOS'!AS$3:AS$500)))</f>
        <v/>
      </c>
      <c r="DT24" s="56">
        <f>IF(OR(DT$4="",$B24=""),0,SUMIF('DADOS BRUTOS'!$A$3:$A$500,$B24,'DADOS BRUTOS'!AT$3:AT$500)+IF($C24="",0,SUMIF('DADOS BRUTOS'!$A$3:$A$500,$C24,'DADOS BRUTOS'!AT$3:AT$500)))</f>
        <v/>
      </c>
      <c r="DU24" s="56">
        <f>IF(OR(DU$4="",$B24=""),0,SUMIF('DADOS BRUTOS'!$A$3:$A$500,$B24,'DADOS BRUTOS'!AU$3:AU$500)+IF($C24="",0,SUMIF('DADOS BRUTOS'!$A$3:$A$500,$C24,'DADOS BRUTOS'!AU$3:AU$500)))</f>
        <v/>
      </c>
      <c r="DV24" s="56">
        <f>IF(OR(DV$4="",$B24=""),0,SUMIF('DADOS BRUTOS'!$A$3:$A$500,$B24,'DADOS BRUTOS'!AV$3:AV$500)+IF($C24="",0,SUMIF('DADOS BRUTOS'!$A$3:$A$500,$C24,'DADOS BRUTOS'!AV$3:AV$500)))</f>
        <v/>
      </c>
      <c r="DW24" s="56">
        <f>IF(OR(DW$4="",$B24=""),0,SUMIF('DADOS BRUTOS'!$A$3:$A$500,$B24,'DADOS BRUTOS'!AW$3:AW$500)+IF($C24="",0,SUMIF('DADOS BRUTOS'!$A$3:$A$500,$C24,'DADOS BRUTOS'!AW$3:AW$500)))</f>
        <v/>
      </c>
      <c r="DX24" s="56">
        <f>IF(OR(DX$4="",$B24=""),0,SUMIF('DADOS BRUTOS'!$A$3:$A$500,$B24,'DADOS BRUTOS'!AX$3:AX$500)+IF($C24="",0,SUMIF('DADOS BRUTOS'!$A$3:$A$500,$C24,'DADOS BRUTOS'!AX$3:AX$500)))</f>
        <v/>
      </c>
      <c r="DY24" s="56">
        <f>IF(OR(DY$4="",$B24=""),0,SUMIF('DADOS BRUTOS'!$A$3:$A$500,$B24,'DADOS BRUTOS'!AY$3:AY$500)+IF($C24="",0,SUMIF('DADOS BRUTOS'!$A$3:$A$500,$C24,'DADOS BRUTOS'!AY$3:AY$500)))</f>
        <v/>
      </c>
      <c r="DZ24" s="56">
        <f>IF(OR(DZ$4="",$B24=""),0,SUMIF('DADOS BRUTOS'!$A$3:$A$500,$B24,'DADOS BRUTOS'!AZ$3:AZ$500)+IF($C24="",0,SUMIF('DADOS BRUTOS'!$A$3:$A$500,$C24,'DADOS BRUTOS'!AZ$3:AZ$500)))</f>
        <v/>
      </c>
      <c r="EA24" s="56">
        <f>IF(OR(EA$4="",$B24=""),0,SUMIF('DADOS BRUTOS'!$A$3:$A$500,$B24,'DADOS BRUTOS'!BA$3:BA$500)+IF($C24="",0,SUMIF('DADOS BRUTOS'!$A$3:$A$500,$C24,'DADOS BRUTOS'!BA$3:BA$500)))</f>
        <v/>
      </c>
      <c r="EB24" s="56">
        <f>IF(OR(EB$4="",$B24=""),0,SUMIF('DADOS BRUTOS'!$A$3:$A$500,$B24,'DADOS BRUTOS'!BB$3:BB$500)+IF($C24="",0,SUMIF('DADOS BRUTOS'!$A$3:$A$500,$C24,'DADOS BRUTOS'!BB$3:BB$500)))</f>
        <v/>
      </c>
      <c r="EC24" s="56">
        <f>IF(OR(EC$4="",$B24=""),0,SUMIF('DADOS BRUTOS'!$A$3:$A$500,$B24,'DADOS BRUTOS'!BC$3:BC$500)+IF($C24="",0,SUMIF('DADOS BRUTOS'!$A$3:$A$500,$C24,'DADOS BRUTOS'!BC$3:BC$500)))</f>
        <v/>
      </c>
      <c r="ED24" s="56">
        <f>IF(OR(ED$4="",$B24=""),0,SUMIF('DADOS BRUTOS'!$A$3:$A$500,$B24,'DADOS BRUTOS'!BD$3:BD$500)+IF($C24="",0,SUMIF('DADOS BRUTOS'!$A$3:$A$500,$C24,'DADOS BRUTOS'!BD$3:BD$500)))</f>
        <v/>
      </c>
      <c r="EE24" s="56">
        <f>IF(OR(EE$4="",$B24=""),0,SUMIF('DADOS BRUTOS'!$A$3:$A$500,$B24,'DADOS BRUTOS'!BE$3:BE$500)+IF($C24="",0,SUMIF('DADOS BRUTOS'!$A$3:$A$500,$C24,'DADOS BRUTOS'!BE$3:BE$500)))</f>
        <v/>
      </c>
      <c r="EF24" s="56">
        <f>IF(OR(EF$4="",$B24=""),0,SUMIF('DADOS BRUTOS'!$A$3:$A$500,$B24,'DADOS BRUTOS'!BF$3:BF$500)+IF($C24="",0,SUMIF('DADOS BRUTOS'!$A$3:$A$500,$C24,'DADOS BRUTOS'!BF$3:BF$500)))</f>
        <v/>
      </c>
      <c r="EG24" s="56">
        <f>IF(OR(EG$4="",$B24=""),0,SUMIF('DADOS BRUTOS'!$A$3:$A$500,$B24,'DADOS BRUTOS'!BG$3:BG$500)+IF($C24="",0,SUMIF('DADOS BRUTOS'!$A$3:$A$500,$C24,'DADOS BRUTOS'!BG$3:BG$500)))</f>
        <v/>
      </c>
      <c r="EH24" s="56">
        <f>IF(OR(EH$4="",$B24=""),0,SUMIF('DADOS BRUTOS'!$A$3:$A$500,$B24,'DADOS BRUTOS'!BH$3:BH$500)+IF($C24="",0,SUMIF('DADOS BRUTOS'!$A$3:$A$500,$C24,'DADOS BRUTOS'!BH$3:BH$500)))</f>
        <v/>
      </c>
      <c r="EI24" s="56">
        <f>IF(OR(EI$4="",$B24=""),0,SUMIF('DADOS BRUTOS'!$A$3:$A$500,$B24,'DADOS BRUTOS'!BI$3:BI$500)+IF($C24="",0,SUMIF('DADOS BRUTOS'!$A$3:$A$500,$C24,'DADOS BRUTOS'!BI$3:BI$500)))</f>
        <v/>
      </c>
      <c r="EJ24" s="56">
        <f>IF(OR(EJ$4="",$B24=""),0,SUMIF('DADOS BRUTOS'!$A$3:$A$500,$B24,'DADOS BRUTOS'!BJ$3:BJ$500)+IF($C24="",0,SUMIF('DADOS BRUTOS'!$A$3:$A$500,$C24,'DADOS BRUTOS'!BJ$3:BJ$500)))</f>
        <v/>
      </c>
      <c r="EK24" s="56">
        <f>IF(OR(EK$4="",$B24=""),0,SUMIF('DADOS BRUTOS'!$A$3:$A$500,$B24,'DADOS BRUTOS'!BK$3:BK$500)+IF($C24="",0,SUMIF('DADOS BRUTOS'!$A$3:$A$500,$C24,'DADOS BRUTOS'!BK$3:BK$500)))</f>
        <v/>
      </c>
      <c r="EL24" s="56">
        <f>IF(OR(EL$4="",$B24=""),0,SUMIF('DADOS BRUTOS'!$A$3:$A$500,$B24,'DADOS BRUTOS'!BL$3:BL$500)+IF($C24="",0,SUMIF('DADOS BRUTOS'!$A$3:$A$500,$C24,'DADOS BRUTOS'!BL$3:BL$500)))</f>
        <v/>
      </c>
      <c r="EM24" s="56">
        <f>IF(OR(EM$4="",$B24=""),0,SUMIF('DADOS BRUTOS'!$A$3:$A$500,$B24,'DADOS BRUTOS'!BM$3:BM$500)+IF($C24="",0,SUMIF('DADOS BRUTOS'!$A$3:$A$500,$C24,'DADOS BRUTOS'!BM$3:BM$500)))</f>
        <v/>
      </c>
      <c r="EN24" s="56">
        <f>IF(OR(EN$4="",$B24=""),0,SUMIF('DADOS BRUTOS'!$A$3:$A$500,$B24,'DADOS BRUTOS'!BN$3:BN$500)+IF($C24="",0,SUMIF('DADOS BRUTOS'!$A$3:$A$500,$C24,'DADOS BRUTOS'!BN$3:BN$500)))</f>
        <v/>
      </c>
      <c r="EO24" s="56">
        <f>IF(OR(EO$4="",$B24=""),0,SUMIF('DADOS BRUTOS'!$A$3:$A$500,$B24,'DADOS BRUTOS'!BO$3:BO$500)+IF($C24="",0,SUMIF('DADOS BRUTOS'!$A$3:$A$500,$C24,'DADOS BRUTOS'!BO$3:BO$500)))</f>
        <v/>
      </c>
      <c r="EP24" s="56">
        <f>IF(OR(EP$4="",$B24=""),0,SUMIF('DADOS BRUTOS'!$A$3:$A$500,$B24,'DADOS BRUTOS'!BP$3:BP$500)+IF($C24="",0,SUMIF('DADOS BRUTOS'!$A$3:$A$500,$C24,'DADOS BRUTOS'!BP$3:BP$500)))</f>
        <v/>
      </c>
      <c r="EQ24" s="56">
        <f>IF(OR(EQ$4="",$B24=""),0,SUMIF('DADOS BRUTOS'!$A$3:$A$500,$B24,'DADOS BRUTOS'!BQ$3:BQ$500)+IF($C24="",0,SUMIF('DADOS BRUTOS'!$A$3:$A$500,$C24,'DADOS BRUTOS'!BQ$3:BQ$500)))</f>
        <v/>
      </c>
      <c r="ER24" s="56">
        <f>IF(OR(ER$4="",$B24=""),0,SUMIF('DADOS BRUTOS'!$A$3:$A$500,$B24,'DADOS BRUTOS'!BR$3:BR$500)+IF($C24="",0,SUMIF('DADOS BRUTOS'!$A$3:$A$500,$C24,'DADOS BRUTOS'!BR$3:BR$500)))</f>
        <v/>
      </c>
      <c r="ES24" s="56">
        <f>IF(OR(ES$4="",$B24=""),0,SUMIF('DADOS BRUTOS'!$A$3:$A$500,$B24,'DADOS BRUTOS'!BS$3:BS$500)+IF($C24="",0,SUMIF('DADOS BRUTOS'!$A$3:$A$500,$C24,'DADOS BRUTOS'!BS$3:BS$500)))</f>
        <v/>
      </c>
      <c r="ET24" s="56">
        <f>IF(OR(ET$4="",$B24=""),0,SUMIF('DADOS BRUTOS'!$A$3:$A$500,$B24,'DADOS BRUTOS'!BT$3:BT$500)+IF($C24="",0,SUMIF('DADOS BRUTOS'!$A$3:$A$500,$C24,'DADOS BRUTOS'!BT$3:BT$500)))</f>
        <v/>
      </c>
      <c r="EU24" s="56">
        <f>IF(OR(EU$4="",$B24=""),0,SUMIF('DADOS BRUTOS'!$A$3:$A$500,$B24,'DADOS BRUTOS'!BU$3:BU$500)+IF($C24="",0,SUMIF('DADOS BRUTOS'!$A$3:$A$500,$C24,'DADOS BRUTOS'!BU$3:BU$500)))</f>
        <v/>
      </c>
      <c r="EV24" s="56">
        <f>IF(OR(EV$4="",$B24=""),0,SUMIF('DADOS BRUTOS'!$A$3:$A$500,$B24,'DADOS BRUTOS'!BV$3:BV$500)+IF($C24="",0,SUMIF('DADOS BRUTOS'!$A$3:$A$500,$C24,'DADOS BRUTOS'!BV$3:BV$500)))</f>
        <v/>
      </c>
      <c r="EW24" s="56">
        <f>IF(OR(EW$4="",$B24=""),0,SUMIF('DADOS BRUTOS'!$A$3:$A$500,$B24,'DADOS BRUTOS'!BW$3:BW$500)+IF($C24="",0,SUMIF('DADOS BRUTOS'!$A$3:$A$500,$C24,'DADOS BRUTOS'!BW$3:BW$500)))</f>
        <v/>
      </c>
      <c r="EX24" s="56">
        <f>IF(OR(EX$4="",$B24=""),0,SUMIF('DADOS BRUTOS'!$A$3:$A$500,$B24,'DADOS BRUTOS'!BX$3:BX$500)+IF($C24="",0,SUMIF('DADOS BRUTOS'!$A$3:$A$500,$C24,'DADOS BRUTOS'!BX$3:BX$500)))</f>
        <v/>
      </c>
      <c r="EY24" s="56">
        <f>IF(OR(EY$4="",$B24=""),0,SUMIF('DADOS BRUTOS'!$A$3:$A$500,$B24,'DADOS BRUTOS'!BY$3:BY$500)+IF($C24="",0,SUMIF('DADOS BRUTOS'!$A$3:$A$500,$C24,'DADOS BRUTOS'!BY$3:BY$500)))</f>
        <v/>
      </c>
      <c r="EZ24" s="56">
        <f>IF(OR(EZ$4="",$B24=""),0,SUMIF('DADOS BRUTOS'!$A$3:$A$500,$B24,'DADOS BRUTOS'!BZ$3:BZ$500)+IF($C24="",0,SUMIF('DADOS BRUTOS'!$A$3:$A$500,$C24,'DADOS BRUTOS'!BZ$3:BZ$500)))</f>
        <v/>
      </c>
      <c r="FA24" s="56">
        <f>IF(OR(FA$4="",$B24=""),0,SUMIF('DADOS BRUTOS'!$A$3:$A$500,$B24,'DADOS BRUTOS'!CA$3:CA$500)+IF($C24="",0,SUMIF('DADOS BRUTOS'!$A$3:$A$500,$C24,'DADOS BRUTOS'!CA$3:CA$500)))</f>
        <v/>
      </c>
      <c r="FB24" s="56">
        <f>IF(OR(FB$4="",$B24=""),0,SUMIF('DADOS BRUTOS'!$A$3:$A$500,$B24,'DADOS BRUTOS'!CB$3:CB$500)+IF($C24="",0,SUMIF('DADOS BRUTOS'!$A$3:$A$500,$C24,'DADOS BRUTOS'!CB$3:CB$500)))</f>
        <v/>
      </c>
      <c r="FC24" s="56">
        <f>IF(OR(FC$4="",$B24=""),0,SUMIF('DADOS BRUTOS'!$A$3:$A$500,$B24,'DADOS BRUTOS'!CC$3:CC$500)+IF($C24="",0,SUMIF('DADOS BRUTOS'!$A$3:$A$500,$C24,'DADOS BRUTOS'!CC$3:CC$500)))</f>
        <v/>
      </c>
      <c r="FD24" s="56">
        <f>IF(OR(FD$4="",$B24=""),0,SUMIF('DADOS BRUTOS'!$A$3:$A$500,$B24,'DADOS BRUTOS'!CD$3:CD$500)+IF($C24="",0,SUMIF('DADOS BRUTOS'!$A$3:$A$500,$C24,'DADOS BRUTOS'!CD$3:CD$500)))</f>
        <v/>
      </c>
      <c r="FE24" s="56">
        <f>IF(OR(FE$4="",$B24=""),0,SUMIF('DADOS BRUTOS'!$A$3:$A$500,$B24,'DADOS BRUTOS'!CE$3:CE$500)+IF($C24="",0,SUMIF('DADOS BRUTOS'!$A$3:$A$500,$C24,'DADOS BRUTOS'!CE$3:CE$500)))</f>
        <v/>
      </c>
      <c r="FF24" s="56">
        <f>IF(OR(FF$4="",$B24=""),0,SUMIF('DADOS BRUTOS'!$A$3:$A$500,$B24,'DADOS BRUTOS'!CF$3:CF$500)+IF($C24="",0,SUMIF('DADOS BRUTOS'!$A$3:$A$500,$C24,'DADOS BRUTOS'!CF$3:CF$500)))</f>
        <v/>
      </c>
      <c r="FG24" s="56">
        <f>IF(OR(FG$4="",$B24=""),0,SUMIF('DADOS BRUTOS'!$A$3:$A$500,$B24,'DADOS BRUTOS'!CG$3:CG$500)+IF($C24="",0,SUMIF('DADOS BRUTOS'!$A$3:$A$500,$C24,'DADOS BRUTOS'!CG$3:CG$500)))</f>
        <v/>
      </c>
      <c r="FH24" s="56">
        <f>IF(OR(FH$4="",$B24=""),0,SUMIF('DADOS BRUTOS'!$A$3:$A$500,$B24,'DADOS BRUTOS'!CH$3:CH$500)+IF($C24="",0,SUMIF('DADOS BRUTOS'!$A$3:$A$500,$C24,'DADOS BRUTOS'!CH$3:CH$500)))</f>
        <v/>
      </c>
      <c r="FI24" s="56">
        <f>IF(OR(FI$4="",$B24=""),0,SUMIF('DADOS BRUTOS'!$A$3:$A$500,$B24,'DADOS BRUTOS'!CI$3:CI$500)+IF($C24="",0,SUMIF('DADOS BRUTOS'!$A$3:$A$500,$C24,'DADOS BRUTOS'!CI$3:CI$500)))</f>
        <v/>
      </c>
      <c r="FJ24" s="56">
        <f>IF(OR(FJ$4="",$B24=""),0,SUMIF('DADOS BRUTOS'!$A$3:$A$500,$B24,'DADOS BRUTOS'!CJ$3:CJ$500)+IF($C24="",0,SUMIF('DADOS BRUTOS'!$A$3:$A$500,$C24,'DADOS BRUTOS'!CJ$3:CJ$500)))</f>
        <v/>
      </c>
      <c r="FK24" s="56">
        <f>IF(OR(FK$4="",$B24=""),0,SUMIF('DADOS BRUTOS'!$A$3:$A$500,$B24,'DADOS BRUTOS'!CK$3:CK$500)+IF($C24="",0,SUMIF('DADOS BRUTOS'!$A$3:$A$500,$C24,'DADOS BRUTOS'!CK$3:CK$500)))</f>
        <v/>
      </c>
      <c r="FL24" s="56">
        <f>IF(OR(FL$4="",$B24=""),0,SUMIF('DADOS BRUTOS'!$A$3:$A$500,$B24,'DADOS BRUTOS'!CL$3:CL$500)+IF($C24="",0,SUMIF('DADOS BRUTOS'!$A$3:$A$500,$C24,'DADOS BRUTOS'!CL$3:CL$500)))</f>
        <v/>
      </c>
      <c r="FM24" s="56">
        <f>IF(OR(FM$4="",$B24=""),0,SUMIF('DADOS BRUTOS'!$A$3:$A$500,$B24,'DADOS BRUTOS'!CM$3:CM$500)+IF($C24="",0,SUMIF('DADOS BRUTOS'!$A$3:$A$500,$C24,'DADOS BRUTOS'!CM$3:CM$500)))</f>
        <v/>
      </c>
      <c r="FN24" s="56">
        <f>IF(OR(FN$4="",$B24=""),0,SUMIF('DADOS BRUTOS'!$A$3:$A$500,$B24,'DADOS BRUTOS'!CN$3:CN$500)+IF($C24="",0,SUMIF('DADOS BRUTOS'!$A$3:$A$500,$C24,'DADOS BRUTOS'!CN$3:CN$500)))</f>
        <v/>
      </c>
      <c r="FO24" s="56">
        <f>IF(OR(FO$4="",$B24=""),0,SUMIF('DADOS BRUTOS'!$A$3:$A$500,$B24,'DADOS BRUTOS'!CO$3:CO$500)+IF($C24="",0,SUMIF('DADOS BRUTOS'!$A$3:$A$500,$C24,'DADOS BRUTOS'!CO$3:CO$500)))</f>
        <v/>
      </c>
      <c r="FP24" s="56">
        <f>IF(OR(FP$4="",$B24=""),0,SUMIF('DADOS BRUTOS'!$A$3:$A$500,$B24,'DADOS BRUTOS'!CP$3:CP$500)+IF($C24="",0,SUMIF('DADOS BRUTOS'!$A$3:$A$500,$C24,'DADOS BRUTOS'!CP$3:CP$500)))</f>
        <v/>
      </c>
      <c r="FQ24" s="56">
        <f>IF(OR(FQ$4="",$B24=""),0,SUMIF('DADOS BRUTOS'!$A$3:$A$500,$B24,'DADOS BRUTOS'!CQ$3:CQ$500)+IF($C24="",0,SUMIF('DADOS BRUTOS'!$A$3:$A$500,$C24,'DADOS BRUTOS'!CQ$3:CQ$500)))</f>
        <v/>
      </c>
      <c r="FR24" s="56">
        <f>IF(OR(FR$4="",$B24=""),0,SUMIF('DADOS BRUTOS'!$A$3:$A$500,$B24,'DADOS BRUTOS'!CR$3:CR$500)+IF($C24="",0,SUMIF('DADOS BRUTOS'!$A$3:$A$500,$C24,'DADOS BRUTOS'!CR$3:CR$500)))</f>
        <v/>
      </c>
      <c r="FS24" s="56">
        <f>IF(OR(FS$4="",$B24=""),0,SUMIF('DADOS BRUTOS'!$A$3:$A$500,$B24,'DADOS BRUTOS'!CS$3:CS$500)+IF($C24="",0,SUMIF('DADOS BRUTOS'!$A$3:$A$500,$C24,'DADOS BRUTOS'!CS$3:CS$500)))</f>
        <v/>
      </c>
      <c r="FT24" s="56">
        <f>IF(OR(FT$4="",$B24=""),0,SUMIF('DADOS BRUTOS'!$A$3:$A$500,$B24,'DADOS BRUTOS'!CT$3:CT$500)+IF($C24="",0,SUMIF('DADOS BRUTOS'!$A$3:$A$500,$C24,'DADOS BRUTOS'!CT$3:CT$500)))</f>
        <v/>
      </c>
      <c r="FU24" s="56">
        <f>IF(OR(FU$4="",$B24=""),0,SUMIF('DADOS BRUTOS'!$A$3:$A$500,$B24,'DADOS BRUTOS'!CU$3:CU$500)+IF($C24="",0,SUMIF('DADOS BRUTOS'!$A$3:$A$500,$C24,'DADOS BRUTOS'!CU$3:CU$500)))</f>
        <v/>
      </c>
      <c r="FV24" s="56">
        <f>IF(OR(FV$4="",$B24=""),0,SUMIF('DADOS BRUTOS'!$A$3:$A$500,$B24,'DADOS BRUTOS'!CV$3:CV$500)+IF($C24="",0,SUMIF('DADOS BRUTOS'!$A$3:$A$500,$C24,'DADOS BRUTOS'!CV$3:CV$500)))</f>
        <v/>
      </c>
      <c r="FW24" s="56">
        <f>IF(OR(FW$4="",$B24=""),0,SUMIF('DADOS BRUTOS'!$A$3:$A$500,$B24,'DADOS BRUTOS'!CW$3:CW$500)+IF($C24="",0,SUMIF('DADOS BRUTOS'!$A$3:$A$500,$C24,'DADOS BRUTOS'!CW$3:CW$500)))</f>
        <v/>
      </c>
      <c r="FX24" s="56">
        <f>IF(OR(FX$4="",$B24=""),0,SUMIF('DADOS BRUTOS'!$A$3:$A$500,$B24,'DADOS BRUTOS'!CX$3:CX$500)+IF($C24="",0,SUMIF('DADOS BRUTOS'!$A$3:$A$500,$C24,'DADOS BRUTOS'!CX$3:CX$500)))</f>
        <v/>
      </c>
      <c r="FY24" s="56">
        <f>IF(OR(FY$4="",$B24=""),0,SUMIF('DADOS BRUTOS'!$A$3:$A$500,$B24,'DADOS BRUTOS'!CY$3:CY$500)+IF($C24="",0,SUMIF('DADOS BRUTOS'!$A$3:$A$500,$C24,'DADOS BRUTOS'!CY$3:CY$500)))</f>
        <v/>
      </c>
      <c r="FZ24" s="56">
        <f>IF(OR(FZ$4="",$B24=""),0,SUMIF('DADOS BRUTOS'!$A$3:$A$500,$B24,'DADOS BRUTOS'!CZ$3:CZ$500)+IF($C24="",0,SUMIF('DADOS BRUTOS'!$A$3:$A$500,$C24,'DADOS BRUTOS'!CZ$3:CZ$500)))</f>
        <v/>
      </c>
      <c r="GA24" s="56">
        <f>IF(OR(GA$4="",$B24=""),0,SUMIF('DADOS BRUTOS'!$A$3:$A$500,$B24,'DADOS BRUTOS'!DA$3:DA$500)+IF($C24="",0,SUMIF('DADOS BRUTOS'!$A$3:$A$500,$C24,'DADOS BRUTOS'!DA$3:DA$500)))</f>
        <v/>
      </c>
      <c r="GB24" s="56">
        <f>IF(OR(GB$4="",$B24=""),0,SUMIF('DADOS BRUTOS'!$A$3:$A$500,$B24,'DADOS BRUTOS'!DB$3:DB$500)+IF($C24="",0,SUMIF('DADOS BRUTOS'!$A$3:$A$500,$C24,'DADOS BRUTOS'!DB$3:DB$500)))</f>
        <v/>
      </c>
      <c r="GC24" s="56">
        <f>IF(OR(GC$4="",$B24=""),0,SUMIF('DADOS BRUTOS'!$A$3:$A$500,$B24,'DADOS BRUTOS'!DC$3:DC$500)+IF($C24="",0,SUMIF('DADOS BRUTOS'!$A$3:$A$500,$C24,'DADOS BRUTOS'!DC$3:DC$500)))</f>
        <v/>
      </c>
      <c r="GD24" s="56">
        <f>IF(OR(GD$4="",$B24=""),0,SUMIF('DADOS BRUTOS'!$A$3:$A$500,$B24,'DADOS BRUTOS'!DD$3:DD$500)+IF($C24="",0,SUMIF('DADOS BRUTOS'!$A$3:$A$500,$C24,'DADOS BRUTOS'!DD$3:DD$500)))</f>
        <v/>
      </c>
      <c r="GE24" s="56">
        <f>IF(OR(GE$4="",$B24=""),0,SUMIF('DADOS BRUTOS'!$A$3:$A$500,$B24,'DADOS BRUTOS'!DE$3:DE$500)+IF($C24="",0,SUMIF('DADOS BRUTOS'!$A$3:$A$500,$C24,'DADOS BRUTOS'!DE$3:DE$500)))</f>
        <v/>
      </c>
      <c r="GF24" s="56">
        <f>IF(OR(GF$4="",$B24=""),0,SUMIF('DADOS BRUTOS'!$A$3:$A$500,$B24,'DADOS BRUTOS'!DF$3:DF$500)+IF($C24="",0,SUMIF('DADOS BRUTOS'!$A$3:$A$500,$C24,'DADOS BRUTOS'!DF$3:DF$500)))</f>
        <v/>
      </c>
      <c r="GG24" s="56">
        <f>IF(OR(GG$4="",$B24=""),0,SUMIF('DADOS BRUTOS'!$A$3:$A$500,$B24,'DADOS BRUTOS'!DG$3:DG$500)+IF($C24="",0,SUMIF('DADOS BRUTOS'!$A$3:$A$500,$C24,'DADOS BRUTOS'!DG$3:DG$500)))</f>
        <v/>
      </c>
      <c r="GH24" s="56">
        <f>IF(OR(GH$4="",$B24=""),0,SUMIF('DADOS BRUTOS'!$A$3:$A$500,$B24,'DADOS BRUTOS'!DH$3:DH$500)+IF($C24="",0,SUMIF('DADOS BRUTOS'!$A$3:$A$500,$C24,'DADOS BRUTOS'!DH$3:DH$500)))</f>
        <v/>
      </c>
      <c r="GI24" s="56">
        <f>IF(OR(GI$4="",$B24=""),0,SUMIF('DADOS BRUTOS'!$A$3:$A$500,$B24,'DADOS BRUTOS'!DI$3:DI$500)+IF($C24="",0,SUMIF('DADOS BRUTOS'!$A$3:$A$500,$C24,'DADOS BRUTOS'!DI$3:DI$500)))</f>
        <v/>
      </c>
      <c r="GJ24" s="56">
        <f>IF(OR(GJ$4="",$B24=""),0,SUMIF('DADOS BRUTOS'!$A$3:$A$500,$B24,'DADOS BRUTOS'!DJ$3:DJ$500)+IF($C24="",0,SUMIF('DADOS BRUTOS'!$A$3:$A$500,$C24,'DADOS BRUTOS'!DJ$3:DJ$500)))</f>
        <v/>
      </c>
      <c r="GK24" s="56">
        <f>IF(OR(GK$4="",$B24=""),0,SUMIF('DADOS BRUTOS'!$A$3:$A$500,$B24,'DADOS BRUTOS'!DK$3:DK$500)+IF($C24="",0,SUMIF('DADOS BRUTOS'!$A$3:$A$500,$C24,'DADOS BRUTOS'!DK$3:DK$500)))</f>
        <v/>
      </c>
      <c r="GL24" s="56">
        <f>IF(OR(GL$4="",$B24=""),0,SUMIF('DADOS BRUTOS'!$A$3:$A$500,$B24,'DADOS BRUTOS'!DL$3:DL$500)+IF($C24="",0,SUMIF('DADOS BRUTOS'!$A$3:$A$500,$C24,'DADOS BRUTOS'!DL$3:DL$500)))</f>
        <v/>
      </c>
      <c r="GM24" s="56">
        <f>IF(OR(GM$4="",$B24=""),0,SUMIF('DADOS BRUTOS'!$A$3:$A$500,$B24,'DADOS BRUTOS'!DM$3:DM$500)+IF($C24="",0,SUMIF('DADOS BRUTOS'!$A$3:$A$500,$C24,'DADOS BRUTOS'!DM$3:DM$500)))</f>
        <v/>
      </c>
      <c r="GN24" s="56">
        <f>IF(OR(GN$4="",$B24=""),0,SUMIF('DADOS BRUTOS'!$A$3:$A$500,$B24,'DADOS BRUTOS'!DN$3:DN$500)+IF($C24="",0,SUMIF('DADOS BRUTOS'!$A$3:$A$500,$C24,'DADOS BRUTOS'!DN$3:DN$500)))</f>
        <v/>
      </c>
      <c r="GO24" s="56">
        <f>IF(OR(GO$4="",$B24=""),0,SUMIF('DADOS BRUTOS'!$A$3:$A$500,$B24,'DADOS BRUTOS'!DO$3:DO$500)+IF($C24="",0,SUMIF('DADOS BRUTOS'!$A$3:$A$500,$C24,'DADOS BRUTOS'!DO$3:DO$500)))</f>
        <v/>
      </c>
      <c r="GP24" s="56">
        <f>IF(OR(GP$4="",$B24=""),0,SUMIF('DADOS BRUTOS'!$A$3:$A$500,$B24,'DADOS BRUTOS'!DP$3:DP$500)+IF($C24="",0,SUMIF('DADOS BRUTOS'!$A$3:$A$500,$C24,'DADOS BRUTOS'!DP$3:DP$500)))</f>
        <v/>
      </c>
      <c r="GQ24" s="56">
        <f>IF(OR(GQ$4="",$B24=""),0,SUMIF('DADOS BRUTOS'!$A$3:$A$500,$B24,'DADOS BRUTOS'!DQ$3:DQ$500)+IF($C24="",0,SUMIF('DADOS BRUTOS'!$A$3:$A$500,$C24,'DADOS BRUTOS'!DQ$3:DQ$500)))</f>
        <v/>
      </c>
      <c r="GR24" s="56">
        <f>IF(OR(GR$4="",$B24=""),0,SUMIF('DADOS BRUTOS'!$A$3:$A$500,$B24,'DADOS BRUTOS'!DR$3:DR$500)+IF($C24="",0,SUMIF('DADOS BRUTOS'!$A$3:$A$500,$C24,'DADOS BRUTOS'!DR$3:DR$500)))</f>
        <v/>
      </c>
      <c r="GS24" s="56">
        <f>IF(OR(GS$4="",$B24=""),0,SUMIF('DADOS BRUTOS'!$A$3:$A$500,$B24,'DADOS BRUTOS'!DS$3:DS$500)+IF($C24="",0,SUMIF('DADOS BRUTOS'!$A$3:$A$500,$C24,'DADOS BRUTOS'!DS$3:DS$500)))</f>
        <v/>
      </c>
      <c r="GT24" s="56">
        <f>IF(OR(GT$4="",$B24=""),0,SUMIF('DADOS BRUTOS'!$A$3:$A$500,$B24,'DADOS BRUTOS'!DT$3:DT$500)+IF($C24="",0,SUMIF('DADOS BRUTOS'!$A$3:$A$500,$C24,'DADOS BRUTOS'!DT$3:DT$500)))</f>
        <v/>
      </c>
      <c r="GU24" s="56">
        <f>IF(OR(GU$4="",$B24=""),0,SUMIF('DADOS BRUTOS'!$A$3:$A$500,$B24,'DADOS BRUTOS'!DU$3:DU$500)+IF($C24="",0,SUMIF('DADOS BRUTOS'!$A$3:$A$500,$C24,'DADOS BRUTOS'!DU$3:DU$500)))</f>
        <v/>
      </c>
      <c r="GV24" s="56">
        <f>IF(OR(GV$4="",$B24=""),0,SUMIF('DADOS BRUTOS'!$A$3:$A$500,$B24,'DADOS BRUTOS'!DV$3:DV$500)+IF($C24="",0,SUMIF('DADOS BRUTOS'!$A$3:$A$500,$C24,'DADOS BRUTOS'!DV$3:DV$500)))</f>
        <v/>
      </c>
      <c r="GW24" s="56">
        <f>IF(OR(GW$4="",$B24=""),0,SUMIF('DADOS BRUTOS'!$A$3:$A$500,$B24,'DADOS BRUTOS'!DW$3:DW$500)+IF($C24="",0,SUMIF('DADOS BRUTOS'!$A$3:$A$500,$C24,'DADOS BRUTOS'!DW$3:DW$500)))</f>
        <v/>
      </c>
      <c r="GX24" s="56">
        <f>IF(OR(GX$4="",$B24=""),0,SUMIF('DADOS BRUTOS'!$A$3:$A$500,$B24,'DADOS BRUTOS'!DX$3:DX$500)+IF($C24="",0,SUMIF('DADOS BRUTOS'!$A$3:$A$500,$C24,'DADOS BRUTOS'!DX$3:DX$500)))</f>
        <v/>
      </c>
      <c r="GY24" s="56">
        <f>IF(OR(GY$4="",$B24=""),0,SUMIF('DADOS BRUTOS'!$A$3:$A$500,$B24,'DADOS BRUTOS'!DY$3:DY$500)+IF($C24="",0,SUMIF('DADOS BRUTOS'!$A$3:$A$500,$C24,'DADOS BRUTOS'!DY$3:DY$500)))</f>
        <v/>
      </c>
      <c r="GZ24" s="56">
        <f>IF(OR(GZ$4="",$B24=""),0,SUMIF('DADOS BRUTOS'!$A$3:$A$500,$B24,'DADOS BRUTOS'!DZ$3:DZ$500)+IF($C24="",0,SUMIF('DADOS BRUTOS'!$A$3:$A$500,$C24,'DADOS BRUTOS'!DZ$3:DZ$500)))</f>
        <v/>
      </c>
      <c r="HA24" s="56">
        <f>IF(OR(HA$4="",$B24=""),0,SUMIF('DADOS BRUTOS'!$A$3:$A$500,$B24,'DADOS BRUTOS'!EA$3:EA$500)+IF($C24="",0,SUMIF('DADOS BRUTOS'!$A$3:$A$500,$C24,'DADOS BRUTOS'!EA$3:EA$500)))</f>
        <v/>
      </c>
      <c r="HB24" s="56">
        <f>IF(OR(HB$4="",$B24=""),0,SUMIF('DADOS BRUTOS'!$A$3:$A$500,$B24,'DADOS BRUTOS'!EB$3:EB$500)+IF($C24="",0,SUMIF('DADOS BRUTOS'!$A$3:$A$500,$C24,'DADOS BRUTOS'!EB$3:EB$500)))</f>
        <v/>
      </c>
      <c r="HC24" s="56">
        <f>IF(OR(HC$4="",$B24=""),0,SUMIF('DADOS BRUTOS'!$A$3:$A$500,$B24,'DADOS BRUTOS'!EC$3:EC$500)+IF($C24="",0,SUMIF('DADOS BRUTOS'!$A$3:$A$500,$C24,'DADOS BRUTOS'!EC$3:EC$500)))</f>
        <v/>
      </c>
      <c r="HD24" s="56">
        <f>IF(OR(HD$4="",$B24=""),0,SUMIF('DADOS BRUTOS'!$A$3:$A$500,$B24,'DADOS BRUTOS'!ED$3:ED$500)+IF($C24="",0,SUMIF('DADOS BRUTOS'!$A$3:$A$500,$C24,'DADOS BRUTOS'!ED$3:ED$500)))</f>
        <v/>
      </c>
      <c r="HE24" s="56">
        <f>IF(OR(HE$4="",$B24=""),0,SUMIF('DADOS BRUTOS'!$A$3:$A$500,$B24,'DADOS BRUTOS'!EE$3:EE$500)+IF($C24="",0,SUMIF('DADOS BRUTOS'!$A$3:$A$500,$C24,'DADOS BRUTOS'!EE$3:EE$500)))</f>
        <v/>
      </c>
      <c r="HF24" s="56">
        <f>IF(OR(HF$4="",$B24=""),0,SUMIF('DADOS BRUTOS'!$A$3:$A$500,$B24,'DADOS BRUTOS'!EF$3:EF$500)+IF($C24="",0,SUMIF('DADOS BRUTOS'!$A$3:$A$500,$C24,'DADOS BRUTOS'!EF$3:EF$500)))</f>
        <v/>
      </c>
      <c r="HG24" s="56">
        <f>IF(OR(HG$4="",$B24=""),0,SUMIF('DADOS BRUTOS'!$A$3:$A$500,$B24,'DADOS BRUTOS'!EG$3:EG$500)+IF($C24="",0,SUMIF('DADOS BRUTOS'!$A$3:$A$500,$C24,'DADOS BRUTOS'!EG$3:EG$500)))</f>
        <v/>
      </c>
      <c r="HH24" s="56">
        <f>IF(OR(HH$4="",$B24=""),0,SUMIF('DADOS BRUTOS'!$A$3:$A$500,$B24,'DADOS BRUTOS'!EH$3:EH$500)+IF($C24="",0,SUMIF('DADOS BRUTOS'!$A$3:$A$500,$C24,'DADOS BRUTOS'!EH$3:EH$500)))</f>
        <v/>
      </c>
      <c r="HI24" s="56">
        <f>IF(OR(HI$4="",$B24=""),0,SUMIF('DADOS BRUTOS'!$A$3:$A$500,$B24,'DADOS BRUTOS'!EI$3:EI$500)+IF($C24="",0,SUMIF('DADOS BRUTOS'!$A$3:$A$500,$C24,'DADOS BRUTOS'!EI$3:EI$500)))</f>
        <v/>
      </c>
      <c r="HJ24" s="56">
        <f>IF(OR(HJ$4="",$B24=""),0,SUMIF('DADOS BRUTOS'!$A$3:$A$500,$B24,'DADOS BRUTOS'!EJ$3:EJ$500)+IF($C24="",0,SUMIF('DADOS BRUTOS'!$A$3:$A$500,$C24,'DADOS BRUTOS'!EJ$3:EJ$500)))</f>
        <v/>
      </c>
      <c r="HK24" s="56">
        <f>IF(OR(HK$4="",$B24=""),0,SUMIF('DADOS BRUTOS'!$A$3:$A$500,$B24,'DADOS BRUTOS'!EK$3:EK$500)+IF($C24="",0,SUMIF('DADOS BRUTOS'!$A$3:$A$500,$C24,'DADOS BRUTOS'!EK$3:EK$500)))</f>
        <v/>
      </c>
      <c r="HL24" s="56">
        <f>IF(OR(HL$4="",$B24=""),0,SUMIF('DADOS BRUTOS'!$A$3:$A$500,$B24,'DADOS BRUTOS'!EL$3:EL$500)+IF($C24="",0,SUMIF('DADOS BRUTOS'!$A$3:$A$500,$C24,'DADOS BRUTOS'!EL$3:EL$500)))</f>
        <v/>
      </c>
      <c r="HM24" s="56">
        <f>IF(OR(HM$4="",$B24=""),0,SUMIF('DADOS BRUTOS'!$A$3:$A$500,$B24,'DADOS BRUTOS'!EM$3:EM$500)+IF($C24="",0,SUMIF('DADOS BRUTOS'!$A$3:$A$500,$C24,'DADOS BRUTOS'!EM$3:EM$500)))</f>
        <v/>
      </c>
      <c r="HN24" s="56">
        <f>IF(OR(HN$4="",$B24=""),0,SUMIF('DADOS BRUTOS'!$A$3:$A$500,$B24,'DADOS BRUTOS'!EN$3:EN$500)+IF($C24="",0,SUMIF('DADOS BRUTOS'!$A$3:$A$500,$C24,'DADOS BRUTOS'!EN$3:EN$500)))</f>
        <v/>
      </c>
      <c r="HO24" s="56">
        <f>IF(OR(HO$4="",$B24=""),0,SUMIF('DADOS BRUTOS'!$A$3:$A$500,$B24,'DADOS BRUTOS'!EO$3:EO$500)+IF($C24="",0,SUMIF('DADOS BRUTOS'!$A$3:$A$500,$C24,'DADOS BRUTOS'!EO$3:EO$500)))</f>
        <v/>
      </c>
      <c r="HP24" s="56">
        <f>IF(OR(HP$4="",$B24=""),0,SUMIF('DADOS BRUTOS'!$A$3:$A$500,$B24,'DADOS BRUTOS'!EP$3:EP$500)+IF($C24="",0,SUMIF('DADOS BRUTOS'!$A$3:$A$500,$C24,'DADOS BRUTOS'!EP$3:EP$500)))</f>
        <v/>
      </c>
      <c r="HQ24" s="56">
        <f>IF(OR(HQ$4="",$B24=""),0,SUMIF('DADOS BRUTOS'!$A$3:$A$500,$B24,'DADOS BRUTOS'!EQ$3:EQ$500)+IF($C24="",0,SUMIF('DADOS BRUTOS'!$A$3:$A$500,$C24,'DADOS BRUTOS'!EQ$3:EQ$500)))</f>
        <v/>
      </c>
      <c r="HR24" s="56">
        <f>IF(OR(HR$4="",$B24=""),0,SUMIF('DADOS BRUTOS'!$A$3:$A$500,$B24,'DADOS BRUTOS'!ER$3:ER$500)+IF($C24="",0,SUMIF('DADOS BRUTOS'!$A$3:$A$500,$C24,'DADOS BRUTOS'!ER$3:ER$500)))</f>
        <v/>
      </c>
      <c r="HS24" s="56">
        <f>IF(OR(HS$4="",$B24=""),0,SUMIF('DADOS BRUTOS'!$A$3:$A$500,$B24,'DADOS BRUTOS'!ES$3:ES$500)+IF($C24="",0,SUMIF('DADOS BRUTOS'!$A$3:$A$500,$C24,'DADOS BRUTOS'!ES$3:ES$500)))</f>
        <v/>
      </c>
      <c r="HT24" s="56">
        <f>IF(OR(HT$4="",$B24=""),0,SUMIF('DADOS BRUTOS'!$A$3:$A$500,$B24,'DADOS BRUTOS'!ET$3:ET$500)+IF($C24="",0,SUMIF('DADOS BRUTOS'!$A$3:$A$500,$C24,'DADOS BRUTOS'!ET$3:ET$500)))</f>
        <v/>
      </c>
      <c r="HU24" s="56">
        <f>IF(OR(HU$4="",$B24=""),0,SUMIF('DADOS BRUTOS'!$A$3:$A$500,$B24,'DADOS BRUTOS'!EU$3:EU$500)+IF($C24="",0,SUMIF('DADOS BRUTOS'!$A$3:$A$500,$C24,'DADOS BRUTOS'!EU$3:EU$500)))</f>
        <v/>
      </c>
      <c r="HV24" s="56">
        <f>IF(OR(HV$4="",$B24=""),0,SUMIF('DADOS BRUTOS'!$A$3:$A$500,$B24,'DADOS BRUTOS'!EV$3:EV$500)+IF($C24="",0,SUMIF('DADOS BRUTOS'!$A$3:$A$500,$C24,'DADOS BRUTOS'!EV$3:EV$500)))</f>
        <v/>
      </c>
      <c r="HW24" s="56">
        <f>IF(OR(HW$4="",$B24=""),0,SUMIF('DADOS BRUTOS'!$A$3:$A$500,$B24,'DADOS BRUTOS'!EW$3:EW$500)+IF($C24="",0,SUMIF('DADOS BRUTOS'!$A$3:$A$500,$C24,'DADOS BRUTOS'!EW$3:EW$500)))</f>
        <v/>
      </c>
      <c r="HX24" s="56">
        <f>IF(OR(HX$4="",$B24=""),0,SUMIF('DADOS BRUTOS'!$A$3:$A$500,$B24,'DADOS BRUTOS'!EX$3:EX$500)+IF($C24="",0,SUMIF('DADOS BRUTOS'!$A$3:$A$500,$C24,'DADOS BRUTOS'!EX$3:EX$500)))</f>
        <v/>
      </c>
      <c r="HY24" s="56">
        <f>IF(OR(HY$4="",$B24=""),0,SUMIF('DADOS BRUTOS'!$A$3:$A$500,$B24,'DADOS BRUTOS'!EY$3:EY$500)+IF($C24="",0,SUMIF('DADOS BRUTOS'!$A$3:$A$500,$C24,'DADOS BRUTOS'!EY$3:EY$500)))</f>
        <v/>
      </c>
      <c r="HZ24" s="56">
        <f>IF(OR(HZ$4="",$B24=""),0,SUMIF('DADOS BRUTOS'!$A$3:$A$500,$B24,'DADOS BRUTOS'!EZ$3:EZ$500)+IF($C24="",0,SUMIF('DADOS BRUTOS'!$A$3:$A$500,$C24,'DADOS BRUTOS'!EZ$3:EZ$500)))</f>
        <v/>
      </c>
      <c r="IA24" s="56">
        <f>IF(OR(IA$4="",$B24=""),0,SUMIF('DADOS BRUTOS'!$A$3:$A$500,$B24,'DADOS BRUTOS'!FA$3:FA$500)+IF($C24="",0,SUMIF('DADOS BRUTOS'!$A$3:$A$500,$C24,'DADOS BRUTOS'!FA$3:FA$500)))</f>
        <v/>
      </c>
      <c r="IB24" s="56">
        <f>IF(OR(IB$4="",$B24=""),0,SUMIF('DADOS BRUTOS'!$A$3:$A$500,$B24,'DADOS BRUTOS'!FB$3:FB$500)+IF($C24="",0,SUMIF('DADOS BRUTOS'!$A$3:$A$500,$C24,'DADOS BRUTOS'!FB$3:FB$500)))</f>
        <v/>
      </c>
      <c r="IC24" s="56">
        <f>IF(OR(IC$4="",$B24=""),0,SUMIF('DADOS BRUTOS'!$A$3:$A$500,$B24,'DADOS BRUTOS'!FC$3:FC$500)+IF($C24="",0,SUMIF('DADOS BRUTOS'!$A$3:$A$500,$C24,'DADOS BRUTOS'!FC$3:FC$500)))</f>
        <v/>
      </c>
      <c r="ID24" s="56">
        <f>IF(OR(ID$4="",$B24=""),0,SUMIF('DADOS BRUTOS'!$A$3:$A$500,$B24,'DADOS BRUTOS'!FD$3:FD$500)+IF($C24="",0,SUMIF('DADOS BRUTOS'!$A$3:$A$500,$C24,'DADOS BRUTOS'!FD$3:FD$500)))</f>
        <v/>
      </c>
      <c r="IE24" s="56">
        <f>IF(OR(IE$4="",$B24=""),0,SUMIF('DADOS BRUTOS'!$A$3:$A$500,$B24,'DADOS BRUTOS'!FE$3:FE$500)+IF($C24="",0,SUMIF('DADOS BRUTOS'!$A$3:$A$500,$C24,'DADOS BRUTOS'!FE$3:FE$500)))</f>
        <v/>
      </c>
      <c r="IF24" s="56">
        <f>IF(OR(IF$4="",$B24=""),0,SUMIF('DADOS BRUTOS'!$A$3:$A$500,$B24,'DADOS BRUTOS'!FF$3:FF$500)+IF($C24="",0,SUMIF('DADOS BRUTOS'!$A$3:$A$500,$C24,'DADOS BRUTOS'!FF$3:FF$500)))</f>
        <v/>
      </c>
      <c r="IG24" s="56">
        <f>IF(OR(IG$4="",$B24=""),0,SUMIF('DADOS BRUTOS'!$A$3:$A$500,$B24,'DADOS BRUTOS'!FG$3:FG$500)+IF($C24="",0,SUMIF('DADOS BRUTOS'!$A$3:$A$500,$C24,'DADOS BRUTOS'!FG$3:FG$500)))</f>
        <v/>
      </c>
      <c r="IH24" s="56">
        <f>IF(OR(IH$4="",$B24=""),0,SUMIF('DADOS BRUTOS'!$A$3:$A$500,$B24,'DADOS BRUTOS'!FH$3:FH$500)+IF($C24="",0,SUMIF('DADOS BRUTOS'!$A$3:$A$500,$C24,'DADOS BRUTOS'!FH$3:FH$500)))</f>
        <v/>
      </c>
      <c r="II24" s="56">
        <f>IF(OR(II$4="",$B24=""),0,SUMIF('DADOS BRUTOS'!$A$3:$A$500,$B24,'DADOS BRUTOS'!FI$3:FI$500)+IF($C24="",0,SUMIF('DADOS BRUTOS'!$A$3:$A$500,$C24,'DADOS BRUTOS'!FI$3:FI$500)))</f>
        <v/>
      </c>
      <c r="IJ24" s="56">
        <f>IF(OR(IJ$4="",$B24=""),0,SUMIF('DADOS BRUTOS'!$A$3:$A$500,$B24,'DADOS BRUTOS'!FJ$3:FJ$500)+IF($C24="",0,SUMIF('DADOS BRUTOS'!$A$3:$A$500,$C24,'DADOS BRUTOS'!FJ$3:FJ$500)))</f>
        <v/>
      </c>
      <c r="IK24" s="56">
        <f>IF(OR(IK$4="",$B24=""),0,SUMIF('DADOS BRUTOS'!$A$3:$A$500,$B24,'DADOS BRUTOS'!FK$3:FK$500)+IF($C24="",0,SUMIF('DADOS BRUTOS'!$A$3:$A$500,$C24,'DADOS BRUTOS'!FK$3:FK$500)))</f>
        <v/>
      </c>
      <c r="IL24" s="56">
        <f>IF(OR(IL$4="",$B24=""),0,SUMIF('DADOS BRUTOS'!$A$3:$A$500,$B24,'DADOS BRUTOS'!FL$3:FL$500)+IF($C24="",0,SUMIF('DADOS BRUTOS'!$A$3:$A$500,$C24,'DADOS BRUTOS'!FL$3:FL$500)))</f>
        <v/>
      </c>
      <c r="IM24" s="56">
        <f>IF(OR(IM$4="",$B24=""),0,SUMIF('DADOS BRUTOS'!$A$3:$A$500,$B24,'DADOS BRUTOS'!FM$3:FM$500)+IF($C24="",0,SUMIF('DADOS BRUTOS'!$A$3:$A$500,$C24,'DADOS BRUTOS'!FM$3:FM$500)))</f>
        <v/>
      </c>
      <c r="IN24" s="56">
        <f>IF(OR(IN$4="",$B24=""),0,SUMIF('DADOS BRUTOS'!$A$3:$A$500,$B24,'DADOS BRUTOS'!FN$3:FN$500)+IF($C24="",0,SUMIF('DADOS BRUTOS'!$A$3:$A$500,$C24,'DADOS BRUTOS'!FN$3:FN$500)))</f>
        <v/>
      </c>
      <c r="IO24" s="56">
        <f>IF(OR(IO$4="",$B24=""),0,SUMIF('DADOS BRUTOS'!$A$3:$A$500,$B24,'DADOS BRUTOS'!FO$3:FO$500)+IF($C24="",0,SUMIF('DADOS BRUTOS'!$A$3:$A$500,$C24,'DADOS BRUTOS'!FO$3:FO$500)))</f>
        <v/>
      </c>
      <c r="IP24" s="56">
        <f>IF(OR(IP$4="",$B24=""),0,SUMIF('DADOS BRUTOS'!$A$3:$A$500,$B24,'DADOS BRUTOS'!FP$3:FP$500)+IF($C24="",0,SUMIF('DADOS BRUTOS'!$A$3:$A$500,$C24,'DADOS BRUTOS'!FP$3:FP$500)))</f>
        <v/>
      </c>
      <c r="IQ24" s="56">
        <f>IF(OR(IQ$4="",$B24=""),0,SUMIF('DADOS BRUTOS'!$A$3:$A$500,$B24,'DADOS BRUTOS'!FQ$3:FQ$500)+IF($C24="",0,SUMIF('DADOS BRUTOS'!$A$3:$A$500,$C24,'DADOS BRUTOS'!FQ$3:FQ$500)))</f>
        <v/>
      </c>
      <c r="IR24" s="56">
        <f>IF(OR(IR$4="",$B24=""),0,SUMIF('DADOS BRUTOS'!$A$3:$A$500,$B24,'DADOS BRUTOS'!FR$3:FR$500)+IF($C24="",0,SUMIF('DADOS BRUTOS'!$A$3:$A$500,$C24,'DADOS BRUTOS'!FR$3:FR$500)))</f>
        <v/>
      </c>
      <c r="IS24" s="56">
        <f>IF(OR(IS$4="",$B24=""),0,SUMIF('DADOS BRUTOS'!$A$3:$A$500,$B24,'DADOS BRUTOS'!FS$3:FS$500)+IF($C24="",0,SUMIF('DADOS BRUTOS'!$A$3:$A$500,$C24,'DADOS BRUTOS'!FS$3:FS$500)))</f>
        <v/>
      </c>
      <c r="IT24" s="56">
        <f>IF(OR(IT$4="",$B24=""),0,SUMIF('DADOS BRUTOS'!$A$3:$A$500,$B24,'DADOS BRUTOS'!FT$3:FT$500)+IF($C24="",0,SUMIF('DADOS BRUTOS'!$A$3:$A$500,$C24,'DADOS BRUTOS'!FT$3:FT$500)))</f>
        <v/>
      </c>
      <c r="IU24" s="56">
        <f>IF(OR(IU$4="",$B24=""),0,SUMIF('DADOS BRUTOS'!$A$3:$A$500,$B24,'DADOS BRUTOS'!FU$3:FU$500)+IF($C24="",0,SUMIF('DADOS BRUTOS'!$A$3:$A$500,$C24,'DADOS BRUTOS'!FU$3:FU$500)))</f>
        <v/>
      </c>
      <c r="IV24" s="56">
        <f>IF(OR(IV$4="",$B24=""),0,SUMIF('DADOS BRUTOS'!$A$3:$A$500,$B24,'DADOS BRUTOS'!FV$3:FV$500)+IF($C24="",0,SUMIF('DADOS BRUTOS'!$A$3:$A$500,$C24,'DADOS BRUTOS'!FV$3:FV$500)))</f>
        <v/>
      </c>
      <c r="IW24" s="56">
        <f>IF(OR(IW$4="",$B24=""),0,SUMIF('DADOS BRUTOS'!$A$3:$A$500,$B24,'DADOS BRUTOS'!FW$3:FW$500)+IF($C24="",0,SUMIF('DADOS BRUTOS'!$A$3:$A$500,$C24,'DADOS BRUTOS'!FW$3:FW$500)))</f>
        <v/>
      </c>
      <c r="IX24" s="56">
        <f>IF(OR(IX$4="",$B24=""),0,SUMIF('DADOS BRUTOS'!$A$3:$A$500,$B24,'DADOS BRUTOS'!FX$3:FX$500)+IF($C24="",0,SUMIF('DADOS BRUTOS'!$A$3:$A$500,$C24,'DADOS BRUTOS'!FX$3:FX$500)))</f>
        <v/>
      </c>
      <c r="IY24" s="56">
        <f>IF(OR(IY$4="",$B24=""),0,SUMIF('DADOS BRUTOS'!$A$3:$A$500,$B24,'DADOS BRUTOS'!FY$3:FY$500)+IF($C24="",0,SUMIF('DADOS BRUTOS'!$A$3:$A$500,$C24,'DADOS BRUTOS'!FY$3:FY$500)))</f>
        <v/>
      </c>
      <c r="IZ24" s="56">
        <f>IF(OR(IZ$4="",$B24=""),0,SUMIF('DADOS BRUTOS'!$A$3:$A$500,$B24,'DADOS BRUTOS'!FZ$3:FZ$500)+IF($C24="",0,SUMIF('DADOS BRUTOS'!$A$3:$A$500,$C24,'DADOS BRUTOS'!FZ$3:FZ$500)))</f>
        <v/>
      </c>
      <c r="JA24" s="56">
        <f>IF(OR(JA$4="",$B24=""),0,SUMIF('DADOS BRUTOS'!$A$3:$A$500,$B24,'DADOS BRUTOS'!GA$3:GA$500)+IF($C24="",0,SUMIF('DADOS BRUTOS'!$A$3:$A$500,$C24,'DADOS BRUTOS'!GA$3:GA$500)))</f>
        <v/>
      </c>
      <c r="JB24" s="56">
        <f>IF(OR(JB$4="",$B24=""),0,SUMIF('DADOS BRUTOS'!$A$3:$A$500,$B24,'DADOS BRUTOS'!GB$3:GB$500)+IF($C24="",0,SUMIF('DADOS BRUTOS'!$A$3:$A$500,$C24,'DADOS BRUTOS'!GB$3:GB$500)))</f>
        <v/>
      </c>
      <c r="JC24" s="56">
        <f>IF(OR(JC$4="",$B24=""),0,SUMIF('DADOS BRUTOS'!$A$3:$A$500,$B24,'DADOS BRUTOS'!GC$3:GC$500)+IF($C24="",0,SUMIF('DADOS BRUTOS'!$A$3:$A$500,$C24,'DADOS BRUTOS'!GC$3:GC$500)))</f>
        <v/>
      </c>
      <c r="JD24" s="56">
        <f>IF(OR(JD$4="",$B24=""),0,SUMIF('DADOS BRUTOS'!$A$3:$A$500,$B24,'DADOS BRUTOS'!GD$3:GD$500)+IF($C24="",0,SUMIF('DADOS BRUTOS'!$A$3:$A$500,$C24,'DADOS BRUTOS'!GD$3:GD$500)))</f>
        <v/>
      </c>
      <c r="JE24" s="56">
        <f>IF(OR(JE$4="",$B24=""),0,SUMIF('DADOS BRUTOS'!$A$3:$A$500,$B24,'DADOS BRUTOS'!GE$3:GE$500)+IF($C24="",0,SUMIF('DADOS BRUTOS'!$A$3:$A$500,$C24,'DADOS BRUTOS'!GE$3:GE$500)))</f>
        <v/>
      </c>
      <c r="JF24" s="56">
        <f>IF(OR(JF$4="",$B24=""),0,SUMIF('DADOS BRUTOS'!$A$3:$A$500,$B24,'DADOS BRUTOS'!GF$3:GF$500)+IF($C24="",0,SUMIF('DADOS BRUTOS'!$A$3:$A$500,$C24,'DADOS BRUTOS'!GF$3:GF$500)))</f>
        <v/>
      </c>
      <c r="JG24" s="56">
        <f>IF(OR(JG$4="",$B24=""),0,SUMIF('DADOS BRUTOS'!$A$3:$A$500,$B24,'DADOS BRUTOS'!GG$3:GG$500)+IF($C24="",0,SUMIF('DADOS BRUTOS'!$A$3:$A$500,$C24,'DADOS BRUTOS'!GG$3:GG$500)))</f>
        <v/>
      </c>
      <c r="JH24" s="56">
        <f>IF(OR(JH$4="",$B24=""),0,SUMIF('DADOS BRUTOS'!$A$3:$A$500,$B24,'DADOS BRUTOS'!GH$3:GH$500)+IF($C24="",0,SUMIF('DADOS BRUTOS'!$A$3:$A$500,$C24,'DADOS BRUTOS'!GH$3:GH$500)))</f>
        <v/>
      </c>
      <c r="JI24" s="56">
        <f>IF(OR(JI$4="",$B24=""),0,SUMIF('DADOS BRUTOS'!$A$3:$A$500,$B24,'DADOS BRUTOS'!GI$3:GI$500)+IF($C24="",0,SUMIF('DADOS BRUTOS'!$A$3:$A$500,$C24,'DADOS BRUTOS'!GI$3:GI$500)))</f>
        <v/>
      </c>
      <c r="JJ24" s="56">
        <f>IF(OR(JJ$4="",$B24=""),0,SUMIF('DADOS BRUTOS'!$A$3:$A$500,$B24,'DADOS BRUTOS'!GJ$3:GJ$500)+IF($C24="",0,SUMIF('DADOS BRUTOS'!$A$3:$A$500,$C24,'DADOS BRUTOS'!GJ$3:GJ$500)))</f>
        <v/>
      </c>
      <c r="JK24" s="56">
        <f>IF(OR(JK$4="",$B24=""),0,SUMIF('DADOS BRUTOS'!$A$3:$A$500,$B24,'DADOS BRUTOS'!GK$3:GK$500)+IF($C24="",0,SUMIF('DADOS BRUTOS'!$A$3:$A$500,$C24,'DADOS BRUTOS'!GK$3:GK$500)))</f>
        <v/>
      </c>
      <c r="JL24" s="56">
        <f>IF(OR(JL$4="",$B24=""),0,SUMIF('DADOS BRUTOS'!$A$3:$A$500,$B24,'DADOS BRUTOS'!GL$3:GL$500)+IF($C24="",0,SUMIF('DADOS BRUTOS'!$A$3:$A$500,$C24,'DADOS BRUTOS'!GL$3:GL$500)))</f>
        <v/>
      </c>
      <c r="JM24" s="56">
        <f>IF(OR(JM$4="",$B24=""),0,SUMIF('DADOS BRUTOS'!$A$3:$A$500,$B24,'DADOS BRUTOS'!GM$3:GM$500)+IF($C24="",0,SUMIF('DADOS BRUTOS'!$A$3:$A$500,$C24,'DADOS BRUTOS'!GM$3:GM$500)))</f>
        <v/>
      </c>
      <c r="JN24" s="56">
        <f>IF(OR(JN$4="",$B24=""),0,SUMIF('DADOS BRUTOS'!$A$3:$A$500,$B24,'DADOS BRUTOS'!GN$3:GN$500)+IF($C24="",0,SUMIF('DADOS BRUTOS'!$A$3:$A$500,$C24,'DADOS BRUTOS'!GN$3:GN$500)))</f>
        <v/>
      </c>
      <c r="JO24" s="56">
        <f>IF(OR(JO$4="",$B24=""),0,SUMIF('DADOS BRUTOS'!$A$3:$A$500,$B24,'DADOS BRUTOS'!GO$3:GO$500)+IF($C24="",0,SUMIF('DADOS BRUTOS'!$A$3:$A$500,$C24,'DADOS BRUTOS'!GO$3:GO$500)))</f>
        <v/>
      </c>
      <c r="JP24" s="56">
        <f>IF(OR(JP$4="",$B24=""),0,SUMIF('DADOS BRUTOS'!$A$3:$A$500,$B24,'DADOS BRUTOS'!GP$3:GP$500)+IF($C24="",0,SUMIF('DADOS BRUTOS'!$A$3:$A$500,$C24,'DADOS BRUTOS'!GP$3:GP$500)))</f>
        <v/>
      </c>
      <c r="JQ24" s="56">
        <f>IF(OR(JQ$4="",$B24=""),0,SUMIF('DADOS BRUTOS'!$A$3:$A$500,$B24,'DADOS BRUTOS'!GQ$3:GQ$500)+IF($C24="",0,SUMIF('DADOS BRUTOS'!$A$3:$A$500,$C24,'DADOS BRUTOS'!GQ$3:GQ$500)))</f>
        <v/>
      </c>
      <c r="JR24" s="56">
        <f>IF(OR(JR$4="",$B24=""),0,SUMIF('DADOS BRUTOS'!$A$3:$A$500,$B24,'DADOS BRUTOS'!GR$3:GR$500)+IF($C24="",0,SUMIF('DADOS BRUTOS'!$A$3:$A$500,$C24,'DADOS BRUTOS'!GR$3:GR$500)))</f>
        <v/>
      </c>
      <c r="JS24" s="56">
        <f>IF(OR(JS$4="",$B24=""),0,SUMIF('DADOS BRUTOS'!$A$3:$A$500,$B24,'DADOS BRUTOS'!GS$3:GS$500)+IF($C24="",0,SUMIF('DADOS BRUTOS'!$A$3:$A$500,$C24,'DADOS BRUTOS'!GS$3:GS$500)))</f>
        <v/>
      </c>
    </row>
    <row r="25">
      <c r="A25" s="34">
        <f>'VALOR POR PL'!D31</f>
        <v/>
      </c>
      <c r="B25" s="21" t="inlineStr">
        <is>
          <t>INSTALAÇÕES HIDROSANITÁRIAS</t>
        </is>
      </c>
      <c r="C25" s="21" t="n"/>
      <c r="D25" s="17">
        <f>SUMIF($CB$4:$JS$4,"&lt;="&amp;D$4,$CB25:$JS25)</f>
        <v/>
      </c>
      <c r="E25" s="17">
        <f>SUMIF($CB$4:$JS$4,E$4,$CB25:$JS25)</f>
        <v/>
      </c>
      <c r="F25" s="17">
        <f>SUMIF($CB$4:$JS$4,F$4,$CB25:$JS25)</f>
        <v/>
      </c>
      <c r="G25" s="17">
        <f>SUMIF($CB$4:$JS$4,G$4,$CB25:$JS25)</f>
        <v/>
      </c>
      <c r="H25" s="17">
        <f>SUMIF($CB$4:$JS$4,H$4,$CB25:$JS25)</f>
        <v/>
      </c>
      <c r="I25" s="17">
        <f>SUMIF($CB$4:$JS$4,I$4,$CB25:$JS25)</f>
        <v/>
      </c>
      <c r="J25" s="17">
        <f>SUMIF($CB$4:$JS$4,J$4,$CB25:$JS25)</f>
        <v/>
      </c>
      <c r="K25" s="17">
        <f>SUMIF($CB$4:$JS$4,K$4,$CB25:$JS25)</f>
        <v/>
      </c>
      <c r="L25" s="17">
        <f>SUMIF($CB$4:$JS$4,L$4,$CB25:$JS25)</f>
        <v/>
      </c>
      <c r="M25" s="17">
        <f>SUMIF($CB$4:$JS$4,M$4,$CB25:$JS25)</f>
        <v/>
      </c>
      <c r="N25" s="17">
        <f>SUMIF($CB$4:$JS$4,N$4,$CB25:$JS25)</f>
        <v/>
      </c>
      <c r="O25" s="17">
        <f>SUMIF($CB$4:$JS$4,O$4,$CB25:$JS25)</f>
        <v/>
      </c>
      <c r="P25" s="17">
        <f>SUMIF($CB$4:$JS$4,P$4,$CB25:$JS25)</f>
        <v/>
      </c>
      <c r="Q25" s="17">
        <f>SUMIF($CB$4:$JS$4,Q$4,$CB25:$JS25)</f>
        <v/>
      </c>
      <c r="R25" s="17">
        <f>SUMIF($CB$4:$JS$4,R$4,$CB25:$JS25)</f>
        <v/>
      </c>
      <c r="S25" s="17">
        <f>SUMIF($CB$4:$JS$4,S$4,$CB25:$JS25)</f>
        <v/>
      </c>
      <c r="T25" s="17">
        <f>SUMIF($CB$4:$JS$4,T$4,$CB25:$JS25)</f>
        <v/>
      </c>
      <c r="U25" s="17">
        <f>SUMIF($CB$4:$JS$4,U$4,$CB25:$JS25)</f>
        <v/>
      </c>
      <c r="V25" s="17">
        <f>SUMIF($CB$4:$JS$4,V$4,$CB25:$JS25)</f>
        <v/>
      </c>
      <c r="W25" s="17">
        <f>SUMIF($CB$4:$JS$4,W$4,$CB25:$JS25)</f>
        <v/>
      </c>
      <c r="X25" s="17">
        <f>SUMIF($CB$4:$JS$4,X$4,$CB25:$JS25)</f>
        <v/>
      </c>
      <c r="Y25" s="17">
        <f>SUMIF($CB$4:$JS$4,Y$4,$CB25:$JS25)</f>
        <v/>
      </c>
      <c r="Z25" s="17">
        <f>SUMIF($CB$4:$JS$4,Z$4,$CB25:$JS25)</f>
        <v/>
      </c>
      <c r="AA25" s="17">
        <f>SUMIF($CB$4:$JS$4,AA$4,$CB25:$JS25)</f>
        <v/>
      </c>
      <c r="AB25" s="17">
        <f>SUMIF($CB$4:$JS$4,AB$4,$CB25:$JS25)</f>
        <v/>
      </c>
      <c r="AC25" s="17">
        <f>SUMIF($CB$4:$JS$4,AC$4,$CB25:$JS25)</f>
        <v/>
      </c>
      <c r="AD25" s="17">
        <f>SUMIF($CB$4:$JS$4,AD$4,$CB25:$JS25)</f>
        <v/>
      </c>
      <c r="AE25" s="17">
        <f>SUMIF($CB$4:$JS$4,AE$4,$CB25:$JS25)</f>
        <v/>
      </c>
      <c r="AF25" s="17">
        <f>SUMIF($CB$4:$JS$4,AF$4,$CB25:$JS25)</f>
        <v/>
      </c>
      <c r="AG25" s="17">
        <f>SUMIF($CB$4:$JS$4,AG$4,$CB25:$JS25)</f>
        <v/>
      </c>
      <c r="AH25" s="17">
        <f>SUMIF($CB$4:$JS$4,AH$4,$CB25:$JS25)</f>
        <v/>
      </c>
      <c r="AI25" s="17">
        <f>SUMIF($CB$4:$JS$4,AI$4,$CB25:$JS25)</f>
        <v/>
      </c>
      <c r="AJ25" s="17">
        <f>SUMIF($CB$4:$JS$4,AJ$4,$CB25:$JS25)</f>
        <v/>
      </c>
      <c r="AK25" s="17">
        <f>SUMIF($CB$4:$JS$4,AK$4,$CB25:$JS25)</f>
        <v/>
      </c>
      <c r="AL25" s="17">
        <f>SUMIF($CB$4:$JS$4,AL$4,$CB25:$JS25)</f>
        <v/>
      </c>
      <c r="AM25" s="17">
        <f>SUMIF($CB$4:$JS$4,AM$4,$CB25:$JS25)</f>
        <v/>
      </c>
      <c r="AN25" s="17">
        <f>SUMIF($CB$4:$JS$4,AN$4,$CB25:$JS25)</f>
        <v/>
      </c>
      <c r="AO25" s="17">
        <f>SUMIF($CB$4:$JS$4,AO$4,$CB25:$JS25)</f>
        <v/>
      </c>
      <c r="AP25" s="17">
        <f>SUMIF($CB$4:$JS$4,AP$4,$CB25:$JS25)</f>
        <v/>
      </c>
      <c r="AQ25" s="17">
        <f>SUMIF($CB$4:$JS$4,AQ$4,$CB25:$JS25)</f>
        <v/>
      </c>
      <c r="AR25" s="17">
        <f>SUMIF($CB$4:$JS$4,AR$4,$CB25:$JS25)</f>
        <v/>
      </c>
      <c r="AS25" s="17">
        <f>SUMIF($CB$4:$JS$4,AS$4,$CB25:$JS25)</f>
        <v/>
      </c>
      <c r="AT25" s="17">
        <f>SUMIF($CB$4:$JS$4,AT$4,$CB25:$JS25)</f>
        <v/>
      </c>
      <c r="AU25" s="17">
        <f>SUMIF($CB$4:$JS$4,AU$4,$CB25:$JS25)</f>
        <v/>
      </c>
      <c r="AV25" s="17">
        <f>SUMIF($CB$4:$JS$4,AV$4,$CB25:$JS25)</f>
        <v/>
      </c>
      <c r="AW25" s="17">
        <f>SUMIF($CB$4:$JS$4,AW$4,$CB25:$JS25)</f>
        <v/>
      </c>
      <c r="AX25" s="17">
        <f>SUMIF($CB$4:$JS$4,AX$4,$CB25:$JS25)</f>
        <v/>
      </c>
      <c r="AY25" s="17">
        <f>SUMIF($CB$4:$JS$4,AY$4,$CB25:$JS25)</f>
        <v/>
      </c>
      <c r="AZ25" s="17">
        <f>SUMIF($CB$4:$JS$4,AZ$4,$CB25:$JS25)</f>
        <v/>
      </c>
      <c r="BA25" s="17">
        <f>SUMIF($CB$4:$JS$4,BA$4,$CB25:$JS25)</f>
        <v/>
      </c>
      <c r="BB25" s="17">
        <f>SUMIF($CB$4:$JS$4,BB$4,$CB25:$JS25)</f>
        <v/>
      </c>
      <c r="BC25" s="17">
        <f>SUMIF($CB$4:$JS$4,BC$4,$CB25:$JS25)</f>
        <v/>
      </c>
      <c r="BD25" s="17">
        <f>SUMIF($CB$4:$JS$4,BD$4,$CB25:$JS25)</f>
        <v/>
      </c>
      <c r="BE25" s="17">
        <f>SUMIF($CB$4:$JS$4,BE$4,$CB25:$JS25)</f>
        <v/>
      </c>
      <c r="BF25" s="17">
        <f>SUMIF($CB$4:$JS$4,BF$4,$CB25:$JS25)</f>
        <v/>
      </c>
      <c r="BG25" s="17">
        <f>SUMIF($CB$4:$JS$4,BG$4,$CB25:$JS25)</f>
        <v/>
      </c>
      <c r="BH25" s="17">
        <f>SUMIF($CB$4:$JS$4,BH$4,$CB25:$JS25)</f>
        <v/>
      </c>
      <c r="BI25" s="17">
        <f>SUMIF($CB$4:$JS$4,BI$4,$CB25:$JS25)</f>
        <v/>
      </c>
      <c r="BJ25" s="17">
        <f>SUMIF($CB$4:$JS$4,BJ$4,$CB25:$JS25)</f>
        <v/>
      </c>
      <c r="BK25" s="17">
        <f>SUMIF($CB$4:$JS$4,BK$4,$CB25:$JS25)</f>
        <v/>
      </c>
      <c r="BL25" s="17">
        <f>SUMIF($CB$4:$JS$4,BL$4,$CB25:$JS25)</f>
        <v/>
      </c>
      <c r="BM25" s="17">
        <f>SUMIF($CB$4:$JS$4,BM$4,$CB25:$JS25)</f>
        <v/>
      </c>
      <c r="BN25" s="17">
        <f>SUMIF($CB$4:$JS$4,BN$4,$CB25:$JS25)</f>
        <v/>
      </c>
      <c r="BO25" s="17">
        <f>SUMIF($CB$4:$JS$4,BO$4,$CB25:$JS25)</f>
        <v/>
      </c>
      <c r="BP25" s="17">
        <f>SUMIF($CB$4:$JS$4,BP$4,$CB25:$JS25)</f>
        <v/>
      </c>
      <c r="BQ25" s="17">
        <f>SUMIF($CB$4:$JS$4,BQ$4,$CB25:$JS25)</f>
        <v/>
      </c>
      <c r="BR25" s="17">
        <f>SUMIF($CB$4:$JS$4,BR$4,$CB25:$JS25)</f>
        <v/>
      </c>
      <c r="BS25" s="17">
        <f>SUMIF($CB$4:$JS$4,BS$4,$CB25:$JS25)</f>
        <v/>
      </c>
      <c r="BT25" s="17">
        <f>SUMIF($CB$4:$JS$4,BT$4,$CB25:$JS25)</f>
        <v/>
      </c>
      <c r="BU25" s="17">
        <f>SUMIF($CB$4:$JS$4,BU$4,$CB25:$JS25)</f>
        <v/>
      </c>
      <c r="BV25" s="17">
        <f>SUMIF($CB$4:$JS$4,BV$4,$CB25:$JS25)</f>
        <v/>
      </c>
      <c r="BW25" s="17">
        <f>SUMIF($CB$4:$JS$4,BW$4,$CB25:$JS25)</f>
        <v/>
      </c>
      <c r="BX25" s="17">
        <f>SUMIF($CB$4:$JS$4,"&gt;"&amp;'VALOR POR PL'!$P$8,$CB25:$JS25)</f>
        <v/>
      </c>
      <c r="BY25" s="17">
        <f>SUM($CB25:$JS25)</f>
        <v/>
      </c>
      <c r="CB25" s="56">
        <f>IF(OR(CB$4="",$B25=""),0,SUMIF('DADOS BRUTOS'!$A$3:$A$500,$B25,'DADOS BRUTOS'!B$3:B$500)+IF($C25="",0,SUMIF('DADOS BRUTOS'!$A$3:$A$500,$C25,'DADOS BRUTOS'!B$3:B$500)))</f>
        <v/>
      </c>
      <c r="CC25" s="56">
        <f>IF(OR(CC$4="",$B25=""),0,SUMIF('DADOS BRUTOS'!$A$3:$A$500,$B25,'DADOS BRUTOS'!C$3:C$500)+IF($C25="",0,SUMIF('DADOS BRUTOS'!$A$3:$A$500,$C25,'DADOS BRUTOS'!C$3:C$500)))</f>
        <v/>
      </c>
      <c r="CD25" s="56">
        <f>IF(OR(CD$4="",$B25=""),0,SUMIF('DADOS BRUTOS'!$A$3:$A$500,$B25,'DADOS BRUTOS'!D$3:D$500)+IF($C25="",0,SUMIF('DADOS BRUTOS'!$A$3:$A$500,$C25,'DADOS BRUTOS'!D$3:D$500)))</f>
        <v/>
      </c>
      <c r="CE25" s="56">
        <f>IF(OR(CE$4="",$B25=""),0,SUMIF('DADOS BRUTOS'!$A$3:$A$500,$B25,'DADOS BRUTOS'!E$3:E$500)+IF($C25="",0,SUMIF('DADOS BRUTOS'!$A$3:$A$500,$C25,'DADOS BRUTOS'!E$3:E$500)))</f>
        <v/>
      </c>
      <c r="CF25" s="56">
        <f>IF(OR(CF$4="",$B25=""),0,SUMIF('DADOS BRUTOS'!$A$3:$A$500,$B25,'DADOS BRUTOS'!F$3:F$500)+IF($C25="",0,SUMIF('DADOS BRUTOS'!$A$3:$A$500,$C25,'DADOS BRUTOS'!F$3:F$500)))</f>
        <v/>
      </c>
      <c r="CG25" s="56">
        <f>IF(OR(CG$4="",$B25=""),0,SUMIF('DADOS BRUTOS'!$A$3:$A$500,$B25,'DADOS BRUTOS'!G$3:G$500)+IF($C25="",0,SUMIF('DADOS BRUTOS'!$A$3:$A$500,$C25,'DADOS BRUTOS'!G$3:G$500)))</f>
        <v/>
      </c>
      <c r="CH25" s="56">
        <f>IF(OR(CH$4="",$B25=""),0,SUMIF('DADOS BRUTOS'!$A$3:$A$500,$B25,'DADOS BRUTOS'!H$3:H$500)+IF($C25="",0,SUMIF('DADOS BRUTOS'!$A$3:$A$500,$C25,'DADOS BRUTOS'!H$3:H$500)))</f>
        <v/>
      </c>
      <c r="CI25" s="56">
        <f>IF(OR(CI$4="",$B25=""),0,SUMIF('DADOS BRUTOS'!$A$3:$A$500,$B25,'DADOS BRUTOS'!I$3:I$500)+IF($C25="",0,SUMIF('DADOS BRUTOS'!$A$3:$A$500,$C25,'DADOS BRUTOS'!I$3:I$500)))</f>
        <v/>
      </c>
      <c r="CJ25" s="56">
        <f>IF(OR(CJ$4="",$B25=""),0,SUMIF('DADOS BRUTOS'!$A$3:$A$500,$B25,'DADOS BRUTOS'!J$3:J$500)+IF($C25="",0,SUMIF('DADOS BRUTOS'!$A$3:$A$500,$C25,'DADOS BRUTOS'!J$3:J$500)))</f>
        <v/>
      </c>
      <c r="CK25" s="56">
        <f>IF(OR(CK$4="",$B25=""),0,SUMIF('DADOS BRUTOS'!$A$3:$A$500,$B25,'DADOS BRUTOS'!K$3:K$500)+IF($C25="",0,SUMIF('DADOS BRUTOS'!$A$3:$A$500,$C25,'DADOS BRUTOS'!K$3:K$500)))</f>
        <v/>
      </c>
      <c r="CL25" s="56">
        <f>IF(OR(CL$4="",$B25=""),0,SUMIF('DADOS BRUTOS'!$A$3:$A$500,$B25,'DADOS BRUTOS'!L$3:L$500)+IF($C25="",0,SUMIF('DADOS BRUTOS'!$A$3:$A$500,$C25,'DADOS BRUTOS'!L$3:L$500)))</f>
        <v/>
      </c>
      <c r="CM25" s="56">
        <f>IF(OR(CM$4="",$B25=""),0,SUMIF('DADOS BRUTOS'!$A$3:$A$500,$B25,'DADOS BRUTOS'!M$3:M$500)+IF($C25="",0,SUMIF('DADOS BRUTOS'!$A$3:$A$500,$C25,'DADOS BRUTOS'!M$3:M$500)))</f>
        <v/>
      </c>
      <c r="CN25" s="56">
        <f>IF(OR(CN$4="",$B25=""),0,SUMIF('DADOS BRUTOS'!$A$3:$A$500,$B25,'DADOS BRUTOS'!N$3:N$500)+IF($C25="",0,SUMIF('DADOS BRUTOS'!$A$3:$A$500,$C25,'DADOS BRUTOS'!N$3:N$500)))</f>
        <v/>
      </c>
      <c r="CO25" s="56">
        <f>IF(OR(CO$4="",$B25=""),0,SUMIF('DADOS BRUTOS'!$A$3:$A$500,$B25,'DADOS BRUTOS'!O$3:O$500)+IF($C25="",0,SUMIF('DADOS BRUTOS'!$A$3:$A$500,$C25,'DADOS BRUTOS'!O$3:O$500)))</f>
        <v/>
      </c>
      <c r="CP25" s="56">
        <f>IF(OR(CP$4="",$B25=""),0,SUMIF('DADOS BRUTOS'!$A$3:$A$500,$B25,'DADOS BRUTOS'!P$3:P$500)+IF($C25="",0,SUMIF('DADOS BRUTOS'!$A$3:$A$500,$C25,'DADOS BRUTOS'!P$3:P$500)))</f>
        <v/>
      </c>
      <c r="CQ25" s="56">
        <f>IF(OR(CQ$4="",$B25=""),0,SUMIF('DADOS BRUTOS'!$A$3:$A$500,$B25,'DADOS BRUTOS'!Q$3:Q$500)+IF($C25="",0,SUMIF('DADOS BRUTOS'!$A$3:$A$500,$C25,'DADOS BRUTOS'!Q$3:Q$500)))</f>
        <v/>
      </c>
      <c r="CR25" s="56">
        <f>IF(OR(CR$4="",$B25=""),0,SUMIF('DADOS BRUTOS'!$A$3:$A$500,$B25,'DADOS BRUTOS'!R$3:R$500)+IF($C25="",0,SUMIF('DADOS BRUTOS'!$A$3:$A$500,$C25,'DADOS BRUTOS'!R$3:R$500)))</f>
        <v/>
      </c>
      <c r="CS25" s="56">
        <f>IF(OR(CS$4="",$B25=""),0,SUMIF('DADOS BRUTOS'!$A$3:$A$500,$B25,'DADOS BRUTOS'!S$3:S$500)+IF($C25="",0,SUMIF('DADOS BRUTOS'!$A$3:$A$500,$C25,'DADOS BRUTOS'!S$3:S$500)))</f>
        <v/>
      </c>
      <c r="CT25" s="56">
        <f>IF(OR(CT$4="",$B25=""),0,SUMIF('DADOS BRUTOS'!$A$3:$A$500,$B25,'DADOS BRUTOS'!T$3:T$500)+IF($C25="",0,SUMIF('DADOS BRUTOS'!$A$3:$A$500,$C25,'DADOS BRUTOS'!T$3:T$500)))</f>
        <v/>
      </c>
      <c r="CU25" s="56">
        <f>IF(OR(CU$4="",$B25=""),0,SUMIF('DADOS BRUTOS'!$A$3:$A$500,$B25,'DADOS BRUTOS'!U$3:U$500)+IF($C25="",0,SUMIF('DADOS BRUTOS'!$A$3:$A$500,$C25,'DADOS BRUTOS'!U$3:U$500)))</f>
        <v/>
      </c>
      <c r="CV25" s="56">
        <f>IF(OR(CV$4="",$B25=""),0,SUMIF('DADOS BRUTOS'!$A$3:$A$500,$B25,'DADOS BRUTOS'!V$3:V$500)+IF($C25="",0,SUMIF('DADOS BRUTOS'!$A$3:$A$500,$C25,'DADOS BRUTOS'!V$3:V$500)))</f>
        <v/>
      </c>
      <c r="CW25" s="56">
        <f>IF(OR(CW$4="",$B25=""),0,SUMIF('DADOS BRUTOS'!$A$3:$A$500,$B25,'DADOS BRUTOS'!W$3:W$500)+IF($C25="",0,SUMIF('DADOS BRUTOS'!$A$3:$A$500,$C25,'DADOS BRUTOS'!W$3:W$500)))</f>
        <v/>
      </c>
      <c r="CX25" s="56">
        <f>IF(OR(CX$4="",$B25=""),0,SUMIF('DADOS BRUTOS'!$A$3:$A$500,$B25,'DADOS BRUTOS'!X$3:X$500)+IF($C25="",0,SUMIF('DADOS BRUTOS'!$A$3:$A$500,$C25,'DADOS BRUTOS'!X$3:X$500)))</f>
        <v/>
      </c>
      <c r="CY25" s="56">
        <f>IF(OR(CY$4="",$B25=""),0,SUMIF('DADOS BRUTOS'!$A$3:$A$500,$B25,'DADOS BRUTOS'!Y$3:Y$500)+IF($C25="",0,SUMIF('DADOS BRUTOS'!$A$3:$A$500,$C25,'DADOS BRUTOS'!Y$3:Y$500)))</f>
        <v/>
      </c>
      <c r="CZ25" s="56">
        <f>IF(OR(CZ$4="",$B25=""),0,SUMIF('DADOS BRUTOS'!$A$3:$A$500,$B25,'DADOS BRUTOS'!Z$3:Z$500)+IF($C25="",0,SUMIF('DADOS BRUTOS'!$A$3:$A$500,$C25,'DADOS BRUTOS'!Z$3:Z$500)))</f>
        <v/>
      </c>
      <c r="DA25" s="56">
        <f>IF(OR(DA$4="",$B25=""),0,SUMIF('DADOS BRUTOS'!$A$3:$A$500,$B25,'DADOS BRUTOS'!AA$3:AA$500)+IF($C25="",0,SUMIF('DADOS BRUTOS'!$A$3:$A$500,$C25,'DADOS BRUTOS'!AA$3:AA$500)))</f>
        <v/>
      </c>
      <c r="DB25" s="56">
        <f>IF(OR(DB$4="",$B25=""),0,SUMIF('DADOS BRUTOS'!$A$3:$A$500,$B25,'DADOS BRUTOS'!AB$3:AB$500)+IF($C25="",0,SUMIF('DADOS BRUTOS'!$A$3:$A$500,$C25,'DADOS BRUTOS'!AB$3:AB$500)))</f>
        <v/>
      </c>
      <c r="DC25" s="56">
        <f>IF(OR(DC$4="",$B25=""),0,SUMIF('DADOS BRUTOS'!$A$3:$A$500,$B25,'DADOS BRUTOS'!AC$3:AC$500)+IF($C25="",0,SUMIF('DADOS BRUTOS'!$A$3:$A$500,$C25,'DADOS BRUTOS'!AC$3:AC$500)))</f>
        <v/>
      </c>
      <c r="DD25" s="56">
        <f>IF(OR(DD$4="",$B25=""),0,SUMIF('DADOS BRUTOS'!$A$3:$A$500,$B25,'DADOS BRUTOS'!AD$3:AD$500)+IF($C25="",0,SUMIF('DADOS BRUTOS'!$A$3:$A$500,$C25,'DADOS BRUTOS'!AD$3:AD$500)))</f>
        <v/>
      </c>
      <c r="DE25" s="56">
        <f>IF(OR(DE$4="",$B25=""),0,SUMIF('DADOS BRUTOS'!$A$3:$A$500,$B25,'DADOS BRUTOS'!AE$3:AE$500)+IF($C25="",0,SUMIF('DADOS BRUTOS'!$A$3:$A$500,$C25,'DADOS BRUTOS'!AE$3:AE$500)))</f>
        <v/>
      </c>
      <c r="DF25" s="56">
        <f>IF(OR(DF$4="",$B25=""),0,SUMIF('DADOS BRUTOS'!$A$3:$A$500,$B25,'DADOS BRUTOS'!AF$3:AF$500)+IF($C25="",0,SUMIF('DADOS BRUTOS'!$A$3:$A$500,$C25,'DADOS BRUTOS'!AF$3:AF$500)))</f>
        <v/>
      </c>
      <c r="DG25" s="56">
        <f>IF(OR(DG$4="",$B25=""),0,SUMIF('DADOS BRUTOS'!$A$3:$A$500,$B25,'DADOS BRUTOS'!AG$3:AG$500)+IF($C25="",0,SUMIF('DADOS BRUTOS'!$A$3:$A$500,$C25,'DADOS BRUTOS'!AG$3:AG$500)))</f>
        <v/>
      </c>
      <c r="DH25" s="56">
        <f>IF(OR(DH$4="",$B25=""),0,SUMIF('DADOS BRUTOS'!$A$3:$A$500,$B25,'DADOS BRUTOS'!AH$3:AH$500)+IF($C25="",0,SUMIF('DADOS BRUTOS'!$A$3:$A$500,$C25,'DADOS BRUTOS'!AH$3:AH$500)))</f>
        <v/>
      </c>
      <c r="DI25" s="56">
        <f>IF(OR(DI$4="",$B25=""),0,SUMIF('DADOS BRUTOS'!$A$3:$A$500,$B25,'DADOS BRUTOS'!AI$3:AI$500)+IF($C25="",0,SUMIF('DADOS BRUTOS'!$A$3:$A$500,$C25,'DADOS BRUTOS'!AI$3:AI$500)))</f>
        <v/>
      </c>
      <c r="DJ25" s="56">
        <f>IF(OR(DJ$4="",$B25=""),0,SUMIF('DADOS BRUTOS'!$A$3:$A$500,$B25,'DADOS BRUTOS'!AJ$3:AJ$500)+IF($C25="",0,SUMIF('DADOS BRUTOS'!$A$3:$A$500,$C25,'DADOS BRUTOS'!AJ$3:AJ$500)))</f>
        <v/>
      </c>
      <c r="DK25" s="56">
        <f>IF(OR(DK$4="",$B25=""),0,SUMIF('DADOS BRUTOS'!$A$3:$A$500,$B25,'DADOS BRUTOS'!AK$3:AK$500)+IF($C25="",0,SUMIF('DADOS BRUTOS'!$A$3:$A$500,$C25,'DADOS BRUTOS'!AK$3:AK$500)))</f>
        <v/>
      </c>
      <c r="DL25" s="56">
        <f>IF(OR(DL$4="",$B25=""),0,SUMIF('DADOS BRUTOS'!$A$3:$A$500,$B25,'DADOS BRUTOS'!AL$3:AL$500)+IF($C25="",0,SUMIF('DADOS BRUTOS'!$A$3:$A$500,$C25,'DADOS BRUTOS'!AL$3:AL$500)))</f>
        <v/>
      </c>
      <c r="DM25" s="56">
        <f>IF(OR(DM$4="",$B25=""),0,SUMIF('DADOS BRUTOS'!$A$3:$A$500,$B25,'DADOS BRUTOS'!AM$3:AM$500)+IF($C25="",0,SUMIF('DADOS BRUTOS'!$A$3:$A$500,$C25,'DADOS BRUTOS'!AM$3:AM$500)))</f>
        <v/>
      </c>
      <c r="DN25" s="56">
        <f>IF(OR(DN$4="",$B25=""),0,SUMIF('DADOS BRUTOS'!$A$3:$A$500,$B25,'DADOS BRUTOS'!AN$3:AN$500)+IF($C25="",0,SUMIF('DADOS BRUTOS'!$A$3:$A$500,$C25,'DADOS BRUTOS'!AN$3:AN$500)))</f>
        <v/>
      </c>
      <c r="DO25" s="56">
        <f>IF(OR(DO$4="",$B25=""),0,SUMIF('DADOS BRUTOS'!$A$3:$A$500,$B25,'DADOS BRUTOS'!AO$3:AO$500)+IF($C25="",0,SUMIF('DADOS BRUTOS'!$A$3:$A$500,$C25,'DADOS BRUTOS'!AO$3:AO$500)))</f>
        <v/>
      </c>
      <c r="DP25" s="56">
        <f>IF(OR(DP$4="",$B25=""),0,SUMIF('DADOS BRUTOS'!$A$3:$A$500,$B25,'DADOS BRUTOS'!AP$3:AP$500)+IF($C25="",0,SUMIF('DADOS BRUTOS'!$A$3:$A$500,$C25,'DADOS BRUTOS'!AP$3:AP$500)))</f>
        <v/>
      </c>
      <c r="DQ25" s="56">
        <f>IF(OR(DQ$4="",$B25=""),0,SUMIF('DADOS BRUTOS'!$A$3:$A$500,$B25,'DADOS BRUTOS'!AQ$3:AQ$500)+IF($C25="",0,SUMIF('DADOS BRUTOS'!$A$3:$A$500,$C25,'DADOS BRUTOS'!AQ$3:AQ$500)))</f>
        <v/>
      </c>
      <c r="DR25" s="56">
        <f>IF(OR(DR$4="",$B25=""),0,SUMIF('DADOS BRUTOS'!$A$3:$A$500,$B25,'DADOS BRUTOS'!AR$3:AR$500)+IF($C25="",0,SUMIF('DADOS BRUTOS'!$A$3:$A$500,$C25,'DADOS BRUTOS'!AR$3:AR$500)))</f>
        <v/>
      </c>
      <c r="DS25" s="56">
        <f>IF(OR(DS$4="",$B25=""),0,SUMIF('DADOS BRUTOS'!$A$3:$A$500,$B25,'DADOS BRUTOS'!AS$3:AS$500)+IF($C25="",0,SUMIF('DADOS BRUTOS'!$A$3:$A$500,$C25,'DADOS BRUTOS'!AS$3:AS$500)))</f>
        <v/>
      </c>
      <c r="DT25" s="56">
        <f>IF(OR(DT$4="",$B25=""),0,SUMIF('DADOS BRUTOS'!$A$3:$A$500,$B25,'DADOS BRUTOS'!AT$3:AT$500)+IF($C25="",0,SUMIF('DADOS BRUTOS'!$A$3:$A$500,$C25,'DADOS BRUTOS'!AT$3:AT$500)))</f>
        <v/>
      </c>
      <c r="DU25" s="56">
        <f>IF(OR(DU$4="",$B25=""),0,SUMIF('DADOS BRUTOS'!$A$3:$A$500,$B25,'DADOS BRUTOS'!AU$3:AU$500)+IF($C25="",0,SUMIF('DADOS BRUTOS'!$A$3:$A$500,$C25,'DADOS BRUTOS'!AU$3:AU$500)))</f>
        <v/>
      </c>
      <c r="DV25" s="56">
        <f>IF(OR(DV$4="",$B25=""),0,SUMIF('DADOS BRUTOS'!$A$3:$A$500,$B25,'DADOS BRUTOS'!AV$3:AV$500)+IF($C25="",0,SUMIF('DADOS BRUTOS'!$A$3:$A$500,$C25,'DADOS BRUTOS'!AV$3:AV$500)))</f>
        <v/>
      </c>
      <c r="DW25" s="56">
        <f>IF(OR(DW$4="",$B25=""),0,SUMIF('DADOS BRUTOS'!$A$3:$A$500,$B25,'DADOS BRUTOS'!AW$3:AW$500)+IF($C25="",0,SUMIF('DADOS BRUTOS'!$A$3:$A$500,$C25,'DADOS BRUTOS'!AW$3:AW$500)))</f>
        <v/>
      </c>
      <c r="DX25" s="56">
        <f>IF(OR(DX$4="",$B25=""),0,SUMIF('DADOS BRUTOS'!$A$3:$A$500,$B25,'DADOS BRUTOS'!AX$3:AX$500)+IF($C25="",0,SUMIF('DADOS BRUTOS'!$A$3:$A$500,$C25,'DADOS BRUTOS'!AX$3:AX$500)))</f>
        <v/>
      </c>
      <c r="DY25" s="56">
        <f>IF(OR(DY$4="",$B25=""),0,SUMIF('DADOS BRUTOS'!$A$3:$A$500,$B25,'DADOS BRUTOS'!AY$3:AY$500)+IF($C25="",0,SUMIF('DADOS BRUTOS'!$A$3:$A$500,$C25,'DADOS BRUTOS'!AY$3:AY$500)))</f>
        <v/>
      </c>
      <c r="DZ25" s="56">
        <f>IF(OR(DZ$4="",$B25=""),0,SUMIF('DADOS BRUTOS'!$A$3:$A$500,$B25,'DADOS BRUTOS'!AZ$3:AZ$500)+IF($C25="",0,SUMIF('DADOS BRUTOS'!$A$3:$A$500,$C25,'DADOS BRUTOS'!AZ$3:AZ$500)))</f>
        <v/>
      </c>
      <c r="EA25" s="56">
        <f>IF(OR(EA$4="",$B25=""),0,SUMIF('DADOS BRUTOS'!$A$3:$A$500,$B25,'DADOS BRUTOS'!BA$3:BA$500)+IF($C25="",0,SUMIF('DADOS BRUTOS'!$A$3:$A$500,$C25,'DADOS BRUTOS'!BA$3:BA$500)))</f>
        <v/>
      </c>
      <c r="EB25" s="56">
        <f>IF(OR(EB$4="",$B25=""),0,SUMIF('DADOS BRUTOS'!$A$3:$A$500,$B25,'DADOS BRUTOS'!BB$3:BB$500)+IF($C25="",0,SUMIF('DADOS BRUTOS'!$A$3:$A$500,$C25,'DADOS BRUTOS'!BB$3:BB$500)))</f>
        <v/>
      </c>
      <c r="EC25" s="56">
        <f>IF(OR(EC$4="",$B25=""),0,SUMIF('DADOS BRUTOS'!$A$3:$A$500,$B25,'DADOS BRUTOS'!BC$3:BC$500)+IF($C25="",0,SUMIF('DADOS BRUTOS'!$A$3:$A$500,$C25,'DADOS BRUTOS'!BC$3:BC$500)))</f>
        <v/>
      </c>
      <c r="ED25" s="56">
        <f>IF(OR(ED$4="",$B25=""),0,SUMIF('DADOS BRUTOS'!$A$3:$A$500,$B25,'DADOS BRUTOS'!BD$3:BD$500)+IF($C25="",0,SUMIF('DADOS BRUTOS'!$A$3:$A$500,$C25,'DADOS BRUTOS'!BD$3:BD$500)))</f>
        <v/>
      </c>
      <c r="EE25" s="56">
        <f>IF(OR(EE$4="",$B25=""),0,SUMIF('DADOS BRUTOS'!$A$3:$A$500,$B25,'DADOS BRUTOS'!BE$3:BE$500)+IF($C25="",0,SUMIF('DADOS BRUTOS'!$A$3:$A$500,$C25,'DADOS BRUTOS'!BE$3:BE$500)))</f>
        <v/>
      </c>
      <c r="EF25" s="56">
        <f>IF(OR(EF$4="",$B25=""),0,SUMIF('DADOS BRUTOS'!$A$3:$A$500,$B25,'DADOS BRUTOS'!BF$3:BF$500)+IF($C25="",0,SUMIF('DADOS BRUTOS'!$A$3:$A$500,$C25,'DADOS BRUTOS'!BF$3:BF$500)))</f>
        <v/>
      </c>
      <c r="EG25" s="56">
        <f>IF(OR(EG$4="",$B25=""),0,SUMIF('DADOS BRUTOS'!$A$3:$A$500,$B25,'DADOS BRUTOS'!BG$3:BG$500)+IF($C25="",0,SUMIF('DADOS BRUTOS'!$A$3:$A$500,$C25,'DADOS BRUTOS'!BG$3:BG$500)))</f>
        <v/>
      </c>
      <c r="EH25" s="56">
        <f>IF(OR(EH$4="",$B25=""),0,SUMIF('DADOS BRUTOS'!$A$3:$A$500,$B25,'DADOS BRUTOS'!BH$3:BH$500)+IF($C25="",0,SUMIF('DADOS BRUTOS'!$A$3:$A$500,$C25,'DADOS BRUTOS'!BH$3:BH$500)))</f>
        <v/>
      </c>
      <c r="EI25" s="56">
        <f>IF(OR(EI$4="",$B25=""),0,SUMIF('DADOS BRUTOS'!$A$3:$A$500,$B25,'DADOS BRUTOS'!BI$3:BI$500)+IF($C25="",0,SUMIF('DADOS BRUTOS'!$A$3:$A$500,$C25,'DADOS BRUTOS'!BI$3:BI$500)))</f>
        <v/>
      </c>
      <c r="EJ25" s="56">
        <f>IF(OR(EJ$4="",$B25=""),0,SUMIF('DADOS BRUTOS'!$A$3:$A$500,$B25,'DADOS BRUTOS'!BJ$3:BJ$500)+IF($C25="",0,SUMIF('DADOS BRUTOS'!$A$3:$A$500,$C25,'DADOS BRUTOS'!BJ$3:BJ$500)))</f>
        <v/>
      </c>
      <c r="EK25" s="56">
        <f>IF(OR(EK$4="",$B25=""),0,SUMIF('DADOS BRUTOS'!$A$3:$A$500,$B25,'DADOS BRUTOS'!BK$3:BK$500)+IF($C25="",0,SUMIF('DADOS BRUTOS'!$A$3:$A$500,$C25,'DADOS BRUTOS'!BK$3:BK$500)))</f>
        <v/>
      </c>
      <c r="EL25" s="56">
        <f>IF(OR(EL$4="",$B25=""),0,SUMIF('DADOS BRUTOS'!$A$3:$A$500,$B25,'DADOS BRUTOS'!BL$3:BL$500)+IF($C25="",0,SUMIF('DADOS BRUTOS'!$A$3:$A$500,$C25,'DADOS BRUTOS'!BL$3:BL$500)))</f>
        <v/>
      </c>
      <c r="EM25" s="56">
        <f>IF(OR(EM$4="",$B25=""),0,SUMIF('DADOS BRUTOS'!$A$3:$A$500,$B25,'DADOS BRUTOS'!BM$3:BM$500)+IF($C25="",0,SUMIF('DADOS BRUTOS'!$A$3:$A$500,$C25,'DADOS BRUTOS'!BM$3:BM$500)))</f>
        <v/>
      </c>
      <c r="EN25" s="56">
        <f>IF(OR(EN$4="",$B25=""),0,SUMIF('DADOS BRUTOS'!$A$3:$A$500,$B25,'DADOS BRUTOS'!BN$3:BN$500)+IF($C25="",0,SUMIF('DADOS BRUTOS'!$A$3:$A$500,$C25,'DADOS BRUTOS'!BN$3:BN$500)))</f>
        <v/>
      </c>
      <c r="EO25" s="56">
        <f>IF(OR(EO$4="",$B25=""),0,SUMIF('DADOS BRUTOS'!$A$3:$A$500,$B25,'DADOS BRUTOS'!BO$3:BO$500)+IF($C25="",0,SUMIF('DADOS BRUTOS'!$A$3:$A$500,$C25,'DADOS BRUTOS'!BO$3:BO$500)))</f>
        <v/>
      </c>
      <c r="EP25" s="56">
        <f>IF(OR(EP$4="",$B25=""),0,SUMIF('DADOS BRUTOS'!$A$3:$A$500,$B25,'DADOS BRUTOS'!BP$3:BP$500)+IF($C25="",0,SUMIF('DADOS BRUTOS'!$A$3:$A$500,$C25,'DADOS BRUTOS'!BP$3:BP$500)))</f>
        <v/>
      </c>
      <c r="EQ25" s="56">
        <f>IF(OR(EQ$4="",$B25=""),0,SUMIF('DADOS BRUTOS'!$A$3:$A$500,$B25,'DADOS BRUTOS'!BQ$3:BQ$500)+IF($C25="",0,SUMIF('DADOS BRUTOS'!$A$3:$A$500,$C25,'DADOS BRUTOS'!BQ$3:BQ$500)))</f>
        <v/>
      </c>
      <c r="ER25" s="56">
        <f>IF(OR(ER$4="",$B25=""),0,SUMIF('DADOS BRUTOS'!$A$3:$A$500,$B25,'DADOS BRUTOS'!BR$3:BR$500)+IF($C25="",0,SUMIF('DADOS BRUTOS'!$A$3:$A$500,$C25,'DADOS BRUTOS'!BR$3:BR$500)))</f>
        <v/>
      </c>
      <c r="ES25" s="56">
        <f>IF(OR(ES$4="",$B25=""),0,SUMIF('DADOS BRUTOS'!$A$3:$A$500,$B25,'DADOS BRUTOS'!BS$3:BS$500)+IF($C25="",0,SUMIF('DADOS BRUTOS'!$A$3:$A$500,$C25,'DADOS BRUTOS'!BS$3:BS$500)))</f>
        <v/>
      </c>
      <c r="ET25" s="56">
        <f>IF(OR(ET$4="",$B25=""),0,SUMIF('DADOS BRUTOS'!$A$3:$A$500,$B25,'DADOS BRUTOS'!BT$3:BT$500)+IF($C25="",0,SUMIF('DADOS BRUTOS'!$A$3:$A$500,$C25,'DADOS BRUTOS'!BT$3:BT$500)))</f>
        <v/>
      </c>
      <c r="EU25" s="56">
        <f>IF(OR(EU$4="",$B25=""),0,SUMIF('DADOS BRUTOS'!$A$3:$A$500,$B25,'DADOS BRUTOS'!BU$3:BU$500)+IF($C25="",0,SUMIF('DADOS BRUTOS'!$A$3:$A$500,$C25,'DADOS BRUTOS'!BU$3:BU$500)))</f>
        <v/>
      </c>
      <c r="EV25" s="56">
        <f>IF(OR(EV$4="",$B25=""),0,SUMIF('DADOS BRUTOS'!$A$3:$A$500,$B25,'DADOS BRUTOS'!BV$3:BV$500)+IF($C25="",0,SUMIF('DADOS BRUTOS'!$A$3:$A$500,$C25,'DADOS BRUTOS'!BV$3:BV$500)))</f>
        <v/>
      </c>
      <c r="EW25" s="56">
        <f>IF(OR(EW$4="",$B25=""),0,SUMIF('DADOS BRUTOS'!$A$3:$A$500,$B25,'DADOS BRUTOS'!BW$3:BW$500)+IF($C25="",0,SUMIF('DADOS BRUTOS'!$A$3:$A$500,$C25,'DADOS BRUTOS'!BW$3:BW$500)))</f>
        <v/>
      </c>
      <c r="EX25" s="56">
        <f>IF(OR(EX$4="",$B25=""),0,SUMIF('DADOS BRUTOS'!$A$3:$A$500,$B25,'DADOS BRUTOS'!BX$3:BX$500)+IF($C25="",0,SUMIF('DADOS BRUTOS'!$A$3:$A$500,$C25,'DADOS BRUTOS'!BX$3:BX$500)))</f>
        <v/>
      </c>
      <c r="EY25" s="56">
        <f>IF(OR(EY$4="",$B25=""),0,SUMIF('DADOS BRUTOS'!$A$3:$A$500,$B25,'DADOS BRUTOS'!BY$3:BY$500)+IF($C25="",0,SUMIF('DADOS BRUTOS'!$A$3:$A$500,$C25,'DADOS BRUTOS'!BY$3:BY$500)))</f>
        <v/>
      </c>
      <c r="EZ25" s="56">
        <f>IF(OR(EZ$4="",$B25=""),0,SUMIF('DADOS BRUTOS'!$A$3:$A$500,$B25,'DADOS BRUTOS'!BZ$3:BZ$500)+IF($C25="",0,SUMIF('DADOS BRUTOS'!$A$3:$A$500,$C25,'DADOS BRUTOS'!BZ$3:BZ$500)))</f>
        <v/>
      </c>
      <c r="FA25" s="56">
        <f>IF(OR(FA$4="",$B25=""),0,SUMIF('DADOS BRUTOS'!$A$3:$A$500,$B25,'DADOS BRUTOS'!CA$3:CA$500)+IF($C25="",0,SUMIF('DADOS BRUTOS'!$A$3:$A$500,$C25,'DADOS BRUTOS'!CA$3:CA$500)))</f>
        <v/>
      </c>
      <c r="FB25" s="56">
        <f>IF(OR(FB$4="",$B25=""),0,SUMIF('DADOS BRUTOS'!$A$3:$A$500,$B25,'DADOS BRUTOS'!CB$3:CB$500)+IF($C25="",0,SUMIF('DADOS BRUTOS'!$A$3:$A$500,$C25,'DADOS BRUTOS'!CB$3:CB$500)))</f>
        <v/>
      </c>
      <c r="FC25" s="56">
        <f>IF(OR(FC$4="",$B25=""),0,SUMIF('DADOS BRUTOS'!$A$3:$A$500,$B25,'DADOS BRUTOS'!CC$3:CC$500)+IF($C25="",0,SUMIF('DADOS BRUTOS'!$A$3:$A$500,$C25,'DADOS BRUTOS'!CC$3:CC$500)))</f>
        <v/>
      </c>
      <c r="FD25" s="56">
        <f>IF(OR(FD$4="",$B25=""),0,SUMIF('DADOS BRUTOS'!$A$3:$A$500,$B25,'DADOS BRUTOS'!CD$3:CD$500)+IF($C25="",0,SUMIF('DADOS BRUTOS'!$A$3:$A$500,$C25,'DADOS BRUTOS'!CD$3:CD$500)))</f>
        <v/>
      </c>
      <c r="FE25" s="56">
        <f>IF(OR(FE$4="",$B25=""),0,SUMIF('DADOS BRUTOS'!$A$3:$A$500,$B25,'DADOS BRUTOS'!CE$3:CE$500)+IF($C25="",0,SUMIF('DADOS BRUTOS'!$A$3:$A$500,$C25,'DADOS BRUTOS'!CE$3:CE$500)))</f>
        <v/>
      </c>
      <c r="FF25" s="56">
        <f>IF(OR(FF$4="",$B25=""),0,SUMIF('DADOS BRUTOS'!$A$3:$A$500,$B25,'DADOS BRUTOS'!CF$3:CF$500)+IF($C25="",0,SUMIF('DADOS BRUTOS'!$A$3:$A$500,$C25,'DADOS BRUTOS'!CF$3:CF$500)))</f>
        <v/>
      </c>
      <c r="FG25" s="56">
        <f>IF(OR(FG$4="",$B25=""),0,SUMIF('DADOS BRUTOS'!$A$3:$A$500,$B25,'DADOS BRUTOS'!CG$3:CG$500)+IF($C25="",0,SUMIF('DADOS BRUTOS'!$A$3:$A$500,$C25,'DADOS BRUTOS'!CG$3:CG$500)))</f>
        <v/>
      </c>
      <c r="FH25" s="56">
        <f>IF(OR(FH$4="",$B25=""),0,SUMIF('DADOS BRUTOS'!$A$3:$A$500,$B25,'DADOS BRUTOS'!CH$3:CH$500)+IF($C25="",0,SUMIF('DADOS BRUTOS'!$A$3:$A$500,$C25,'DADOS BRUTOS'!CH$3:CH$500)))</f>
        <v/>
      </c>
      <c r="FI25" s="56">
        <f>IF(OR(FI$4="",$B25=""),0,SUMIF('DADOS BRUTOS'!$A$3:$A$500,$B25,'DADOS BRUTOS'!CI$3:CI$500)+IF($C25="",0,SUMIF('DADOS BRUTOS'!$A$3:$A$500,$C25,'DADOS BRUTOS'!CI$3:CI$500)))</f>
        <v/>
      </c>
      <c r="FJ25" s="56">
        <f>IF(OR(FJ$4="",$B25=""),0,SUMIF('DADOS BRUTOS'!$A$3:$A$500,$B25,'DADOS BRUTOS'!CJ$3:CJ$500)+IF($C25="",0,SUMIF('DADOS BRUTOS'!$A$3:$A$500,$C25,'DADOS BRUTOS'!CJ$3:CJ$500)))</f>
        <v/>
      </c>
      <c r="FK25" s="56">
        <f>IF(OR(FK$4="",$B25=""),0,SUMIF('DADOS BRUTOS'!$A$3:$A$500,$B25,'DADOS BRUTOS'!CK$3:CK$500)+IF($C25="",0,SUMIF('DADOS BRUTOS'!$A$3:$A$500,$C25,'DADOS BRUTOS'!CK$3:CK$500)))</f>
        <v/>
      </c>
      <c r="FL25" s="56">
        <f>IF(OR(FL$4="",$B25=""),0,SUMIF('DADOS BRUTOS'!$A$3:$A$500,$B25,'DADOS BRUTOS'!CL$3:CL$500)+IF($C25="",0,SUMIF('DADOS BRUTOS'!$A$3:$A$500,$C25,'DADOS BRUTOS'!CL$3:CL$500)))</f>
        <v/>
      </c>
      <c r="FM25" s="56">
        <f>IF(OR(FM$4="",$B25=""),0,SUMIF('DADOS BRUTOS'!$A$3:$A$500,$B25,'DADOS BRUTOS'!CM$3:CM$500)+IF($C25="",0,SUMIF('DADOS BRUTOS'!$A$3:$A$500,$C25,'DADOS BRUTOS'!CM$3:CM$500)))</f>
        <v/>
      </c>
      <c r="FN25" s="56">
        <f>IF(OR(FN$4="",$B25=""),0,SUMIF('DADOS BRUTOS'!$A$3:$A$500,$B25,'DADOS BRUTOS'!CN$3:CN$500)+IF($C25="",0,SUMIF('DADOS BRUTOS'!$A$3:$A$500,$C25,'DADOS BRUTOS'!CN$3:CN$500)))</f>
        <v/>
      </c>
      <c r="FO25" s="56">
        <f>IF(OR(FO$4="",$B25=""),0,SUMIF('DADOS BRUTOS'!$A$3:$A$500,$B25,'DADOS BRUTOS'!CO$3:CO$500)+IF($C25="",0,SUMIF('DADOS BRUTOS'!$A$3:$A$500,$C25,'DADOS BRUTOS'!CO$3:CO$500)))</f>
        <v/>
      </c>
      <c r="FP25" s="56">
        <f>IF(OR(FP$4="",$B25=""),0,SUMIF('DADOS BRUTOS'!$A$3:$A$500,$B25,'DADOS BRUTOS'!CP$3:CP$500)+IF($C25="",0,SUMIF('DADOS BRUTOS'!$A$3:$A$500,$C25,'DADOS BRUTOS'!CP$3:CP$500)))</f>
        <v/>
      </c>
      <c r="FQ25" s="56">
        <f>IF(OR(FQ$4="",$B25=""),0,SUMIF('DADOS BRUTOS'!$A$3:$A$500,$B25,'DADOS BRUTOS'!CQ$3:CQ$500)+IF($C25="",0,SUMIF('DADOS BRUTOS'!$A$3:$A$500,$C25,'DADOS BRUTOS'!CQ$3:CQ$500)))</f>
        <v/>
      </c>
      <c r="FR25" s="56">
        <f>IF(OR(FR$4="",$B25=""),0,SUMIF('DADOS BRUTOS'!$A$3:$A$500,$B25,'DADOS BRUTOS'!CR$3:CR$500)+IF($C25="",0,SUMIF('DADOS BRUTOS'!$A$3:$A$500,$C25,'DADOS BRUTOS'!CR$3:CR$500)))</f>
        <v/>
      </c>
      <c r="FS25" s="56">
        <f>IF(OR(FS$4="",$B25=""),0,SUMIF('DADOS BRUTOS'!$A$3:$A$500,$B25,'DADOS BRUTOS'!CS$3:CS$500)+IF($C25="",0,SUMIF('DADOS BRUTOS'!$A$3:$A$500,$C25,'DADOS BRUTOS'!CS$3:CS$500)))</f>
        <v/>
      </c>
      <c r="FT25" s="56">
        <f>IF(OR(FT$4="",$B25=""),0,SUMIF('DADOS BRUTOS'!$A$3:$A$500,$B25,'DADOS BRUTOS'!CT$3:CT$500)+IF($C25="",0,SUMIF('DADOS BRUTOS'!$A$3:$A$500,$C25,'DADOS BRUTOS'!CT$3:CT$500)))</f>
        <v/>
      </c>
      <c r="FU25" s="56">
        <f>IF(OR(FU$4="",$B25=""),0,SUMIF('DADOS BRUTOS'!$A$3:$A$500,$B25,'DADOS BRUTOS'!CU$3:CU$500)+IF($C25="",0,SUMIF('DADOS BRUTOS'!$A$3:$A$500,$C25,'DADOS BRUTOS'!CU$3:CU$500)))</f>
        <v/>
      </c>
      <c r="FV25" s="56">
        <f>IF(OR(FV$4="",$B25=""),0,SUMIF('DADOS BRUTOS'!$A$3:$A$500,$B25,'DADOS BRUTOS'!CV$3:CV$500)+IF($C25="",0,SUMIF('DADOS BRUTOS'!$A$3:$A$500,$C25,'DADOS BRUTOS'!CV$3:CV$500)))</f>
        <v/>
      </c>
      <c r="FW25" s="56">
        <f>IF(OR(FW$4="",$B25=""),0,SUMIF('DADOS BRUTOS'!$A$3:$A$500,$B25,'DADOS BRUTOS'!CW$3:CW$500)+IF($C25="",0,SUMIF('DADOS BRUTOS'!$A$3:$A$500,$C25,'DADOS BRUTOS'!CW$3:CW$500)))</f>
        <v/>
      </c>
      <c r="FX25" s="56">
        <f>IF(OR(FX$4="",$B25=""),0,SUMIF('DADOS BRUTOS'!$A$3:$A$500,$B25,'DADOS BRUTOS'!CX$3:CX$500)+IF($C25="",0,SUMIF('DADOS BRUTOS'!$A$3:$A$500,$C25,'DADOS BRUTOS'!CX$3:CX$500)))</f>
        <v/>
      </c>
      <c r="FY25" s="56">
        <f>IF(OR(FY$4="",$B25=""),0,SUMIF('DADOS BRUTOS'!$A$3:$A$500,$B25,'DADOS BRUTOS'!CY$3:CY$500)+IF($C25="",0,SUMIF('DADOS BRUTOS'!$A$3:$A$500,$C25,'DADOS BRUTOS'!CY$3:CY$500)))</f>
        <v/>
      </c>
      <c r="FZ25" s="56">
        <f>IF(OR(FZ$4="",$B25=""),0,SUMIF('DADOS BRUTOS'!$A$3:$A$500,$B25,'DADOS BRUTOS'!CZ$3:CZ$500)+IF($C25="",0,SUMIF('DADOS BRUTOS'!$A$3:$A$500,$C25,'DADOS BRUTOS'!CZ$3:CZ$500)))</f>
        <v/>
      </c>
      <c r="GA25" s="56">
        <f>IF(OR(GA$4="",$B25=""),0,SUMIF('DADOS BRUTOS'!$A$3:$A$500,$B25,'DADOS BRUTOS'!DA$3:DA$500)+IF($C25="",0,SUMIF('DADOS BRUTOS'!$A$3:$A$500,$C25,'DADOS BRUTOS'!DA$3:DA$500)))</f>
        <v/>
      </c>
      <c r="GB25" s="56">
        <f>IF(OR(GB$4="",$B25=""),0,SUMIF('DADOS BRUTOS'!$A$3:$A$500,$B25,'DADOS BRUTOS'!DB$3:DB$500)+IF($C25="",0,SUMIF('DADOS BRUTOS'!$A$3:$A$500,$C25,'DADOS BRUTOS'!DB$3:DB$500)))</f>
        <v/>
      </c>
      <c r="GC25" s="56">
        <f>IF(OR(GC$4="",$B25=""),0,SUMIF('DADOS BRUTOS'!$A$3:$A$500,$B25,'DADOS BRUTOS'!DC$3:DC$500)+IF($C25="",0,SUMIF('DADOS BRUTOS'!$A$3:$A$500,$C25,'DADOS BRUTOS'!DC$3:DC$500)))</f>
        <v/>
      </c>
      <c r="GD25" s="56">
        <f>IF(OR(GD$4="",$B25=""),0,SUMIF('DADOS BRUTOS'!$A$3:$A$500,$B25,'DADOS BRUTOS'!DD$3:DD$500)+IF($C25="",0,SUMIF('DADOS BRUTOS'!$A$3:$A$500,$C25,'DADOS BRUTOS'!DD$3:DD$500)))</f>
        <v/>
      </c>
      <c r="GE25" s="56">
        <f>IF(OR(GE$4="",$B25=""),0,SUMIF('DADOS BRUTOS'!$A$3:$A$500,$B25,'DADOS BRUTOS'!DE$3:DE$500)+IF($C25="",0,SUMIF('DADOS BRUTOS'!$A$3:$A$500,$C25,'DADOS BRUTOS'!DE$3:DE$500)))</f>
        <v/>
      </c>
      <c r="GF25" s="56">
        <f>IF(OR(GF$4="",$B25=""),0,SUMIF('DADOS BRUTOS'!$A$3:$A$500,$B25,'DADOS BRUTOS'!DF$3:DF$500)+IF($C25="",0,SUMIF('DADOS BRUTOS'!$A$3:$A$500,$C25,'DADOS BRUTOS'!DF$3:DF$500)))</f>
        <v/>
      </c>
      <c r="GG25" s="56">
        <f>IF(OR(GG$4="",$B25=""),0,SUMIF('DADOS BRUTOS'!$A$3:$A$500,$B25,'DADOS BRUTOS'!DG$3:DG$500)+IF($C25="",0,SUMIF('DADOS BRUTOS'!$A$3:$A$500,$C25,'DADOS BRUTOS'!DG$3:DG$500)))</f>
        <v/>
      </c>
      <c r="GH25" s="56">
        <f>IF(OR(GH$4="",$B25=""),0,SUMIF('DADOS BRUTOS'!$A$3:$A$500,$B25,'DADOS BRUTOS'!DH$3:DH$500)+IF($C25="",0,SUMIF('DADOS BRUTOS'!$A$3:$A$500,$C25,'DADOS BRUTOS'!DH$3:DH$500)))</f>
        <v/>
      </c>
      <c r="GI25" s="56">
        <f>IF(OR(GI$4="",$B25=""),0,SUMIF('DADOS BRUTOS'!$A$3:$A$500,$B25,'DADOS BRUTOS'!DI$3:DI$500)+IF($C25="",0,SUMIF('DADOS BRUTOS'!$A$3:$A$500,$C25,'DADOS BRUTOS'!DI$3:DI$500)))</f>
        <v/>
      </c>
      <c r="GJ25" s="56">
        <f>IF(OR(GJ$4="",$B25=""),0,SUMIF('DADOS BRUTOS'!$A$3:$A$500,$B25,'DADOS BRUTOS'!DJ$3:DJ$500)+IF($C25="",0,SUMIF('DADOS BRUTOS'!$A$3:$A$500,$C25,'DADOS BRUTOS'!DJ$3:DJ$500)))</f>
        <v/>
      </c>
      <c r="GK25" s="56">
        <f>IF(OR(GK$4="",$B25=""),0,SUMIF('DADOS BRUTOS'!$A$3:$A$500,$B25,'DADOS BRUTOS'!DK$3:DK$500)+IF($C25="",0,SUMIF('DADOS BRUTOS'!$A$3:$A$500,$C25,'DADOS BRUTOS'!DK$3:DK$500)))</f>
        <v/>
      </c>
      <c r="GL25" s="56">
        <f>IF(OR(GL$4="",$B25=""),0,SUMIF('DADOS BRUTOS'!$A$3:$A$500,$B25,'DADOS BRUTOS'!DL$3:DL$500)+IF($C25="",0,SUMIF('DADOS BRUTOS'!$A$3:$A$500,$C25,'DADOS BRUTOS'!DL$3:DL$500)))</f>
        <v/>
      </c>
      <c r="GM25" s="56">
        <f>IF(OR(GM$4="",$B25=""),0,SUMIF('DADOS BRUTOS'!$A$3:$A$500,$B25,'DADOS BRUTOS'!DM$3:DM$500)+IF($C25="",0,SUMIF('DADOS BRUTOS'!$A$3:$A$500,$C25,'DADOS BRUTOS'!DM$3:DM$500)))</f>
        <v/>
      </c>
      <c r="GN25" s="56">
        <f>IF(OR(GN$4="",$B25=""),0,SUMIF('DADOS BRUTOS'!$A$3:$A$500,$B25,'DADOS BRUTOS'!DN$3:DN$500)+IF($C25="",0,SUMIF('DADOS BRUTOS'!$A$3:$A$500,$C25,'DADOS BRUTOS'!DN$3:DN$500)))</f>
        <v/>
      </c>
      <c r="GO25" s="56">
        <f>IF(OR(GO$4="",$B25=""),0,SUMIF('DADOS BRUTOS'!$A$3:$A$500,$B25,'DADOS BRUTOS'!DO$3:DO$500)+IF($C25="",0,SUMIF('DADOS BRUTOS'!$A$3:$A$500,$C25,'DADOS BRUTOS'!DO$3:DO$500)))</f>
        <v/>
      </c>
      <c r="GP25" s="56">
        <f>IF(OR(GP$4="",$B25=""),0,SUMIF('DADOS BRUTOS'!$A$3:$A$500,$B25,'DADOS BRUTOS'!DP$3:DP$500)+IF($C25="",0,SUMIF('DADOS BRUTOS'!$A$3:$A$500,$C25,'DADOS BRUTOS'!DP$3:DP$500)))</f>
        <v/>
      </c>
      <c r="GQ25" s="56">
        <f>IF(OR(GQ$4="",$B25=""),0,SUMIF('DADOS BRUTOS'!$A$3:$A$500,$B25,'DADOS BRUTOS'!DQ$3:DQ$500)+IF($C25="",0,SUMIF('DADOS BRUTOS'!$A$3:$A$500,$C25,'DADOS BRUTOS'!DQ$3:DQ$500)))</f>
        <v/>
      </c>
      <c r="GR25" s="56">
        <f>IF(OR(GR$4="",$B25=""),0,SUMIF('DADOS BRUTOS'!$A$3:$A$500,$B25,'DADOS BRUTOS'!DR$3:DR$500)+IF($C25="",0,SUMIF('DADOS BRUTOS'!$A$3:$A$500,$C25,'DADOS BRUTOS'!DR$3:DR$500)))</f>
        <v/>
      </c>
      <c r="GS25" s="56">
        <f>IF(OR(GS$4="",$B25=""),0,SUMIF('DADOS BRUTOS'!$A$3:$A$500,$B25,'DADOS BRUTOS'!DS$3:DS$500)+IF($C25="",0,SUMIF('DADOS BRUTOS'!$A$3:$A$500,$C25,'DADOS BRUTOS'!DS$3:DS$500)))</f>
        <v/>
      </c>
      <c r="GT25" s="56">
        <f>IF(OR(GT$4="",$B25=""),0,SUMIF('DADOS BRUTOS'!$A$3:$A$500,$B25,'DADOS BRUTOS'!DT$3:DT$500)+IF($C25="",0,SUMIF('DADOS BRUTOS'!$A$3:$A$500,$C25,'DADOS BRUTOS'!DT$3:DT$500)))</f>
        <v/>
      </c>
      <c r="GU25" s="56">
        <f>IF(OR(GU$4="",$B25=""),0,SUMIF('DADOS BRUTOS'!$A$3:$A$500,$B25,'DADOS BRUTOS'!DU$3:DU$500)+IF($C25="",0,SUMIF('DADOS BRUTOS'!$A$3:$A$500,$C25,'DADOS BRUTOS'!DU$3:DU$500)))</f>
        <v/>
      </c>
      <c r="GV25" s="56">
        <f>IF(OR(GV$4="",$B25=""),0,SUMIF('DADOS BRUTOS'!$A$3:$A$500,$B25,'DADOS BRUTOS'!DV$3:DV$500)+IF($C25="",0,SUMIF('DADOS BRUTOS'!$A$3:$A$500,$C25,'DADOS BRUTOS'!DV$3:DV$500)))</f>
        <v/>
      </c>
      <c r="GW25" s="56">
        <f>IF(OR(GW$4="",$B25=""),0,SUMIF('DADOS BRUTOS'!$A$3:$A$500,$B25,'DADOS BRUTOS'!DW$3:DW$500)+IF($C25="",0,SUMIF('DADOS BRUTOS'!$A$3:$A$500,$C25,'DADOS BRUTOS'!DW$3:DW$500)))</f>
        <v/>
      </c>
      <c r="GX25" s="56">
        <f>IF(OR(GX$4="",$B25=""),0,SUMIF('DADOS BRUTOS'!$A$3:$A$500,$B25,'DADOS BRUTOS'!DX$3:DX$500)+IF($C25="",0,SUMIF('DADOS BRUTOS'!$A$3:$A$500,$C25,'DADOS BRUTOS'!DX$3:DX$500)))</f>
        <v/>
      </c>
      <c r="GY25" s="56">
        <f>IF(OR(GY$4="",$B25=""),0,SUMIF('DADOS BRUTOS'!$A$3:$A$500,$B25,'DADOS BRUTOS'!DY$3:DY$500)+IF($C25="",0,SUMIF('DADOS BRUTOS'!$A$3:$A$500,$C25,'DADOS BRUTOS'!DY$3:DY$500)))</f>
        <v/>
      </c>
      <c r="GZ25" s="56">
        <f>IF(OR(GZ$4="",$B25=""),0,SUMIF('DADOS BRUTOS'!$A$3:$A$500,$B25,'DADOS BRUTOS'!DZ$3:DZ$500)+IF($C25="",0,SUMIF('DADOS BRUTOS'!$A$3:$A$500,$C25,'DADOS BRUTOS'!DZ$3:DZ$500)))</f>
        <v/>
      </c>
      <c r="HA25" s="56">
        <f>IF(OR(HA$4="",$B25=""),0,SUMIF('DADOS BRUTOS'!$A$3:$A$500,$B25,'DADOS BRUTOS'!EA$3:EA$500)+IF($C25="",0,SUMIF('DADOS BRUTOS'!$A$3:$A$500,$C25,'DADOS BRUTOS'!EA$3:EA$500)))</f>
        <v/>
      </c>
      <c r="HB25" s="56">
        <f>IF(OR(HB$4="",$B25=""),0,SUMIF('DADOS BRUTOS'!$A$3:$A$500,$B25,'DADOS BRUTOS'!EB$3:EB$500)+IF($C25="",0,SUMIF('DADOS BRUTOS'!$A$3:$A$500,$C25,'DADOS BRUTOS'!EB$3:EB$500)))</f>
        <v/>
      </c>
      <c r="HC25" s="56">
        <f>IF(OR(HC$4="",$B25=""),0,SUMIF('DADOS BRUTOS'!$A$3:$A$500,$B25,'DADOS BRUTOS'!EC$3:EC$500)+IF($C25="",0,SUMIF('DADOS BRUTOS'!$A$3:$A$500,$C25,'DADOS BRUTOS'!EC$3:EC$500)))</f>
        <v/>
      </c>
      <c r="HD25" s="56">
        <f>IF(OR(HD$4="",$B25=""),0,SUMIF('DADOS BRUTOS'!$A$3:$A$500,$B25,'DADOS BRUTOS'!ED$3:ED$500)+IF($C25="",0,SUMIF('DADOS BRUTOS'!$A$3:$A$500,$C25,'DADOS BRUTOS'!ED$3:ED$500)))</f>
        <v/>
      </c>
      <c r="HE25" s="56">
        <f>IF(OR(HE$4="",$B25=""),0,SUMIF('DADOS BRUTOS'!$A$3:$A$500,$B25,'DADOS BRUTOS'!EE$3:EE$500)+IF($C25="",0,SUMIF('DADOS BRUTOS'!$A$3:$A$500,$C25,'DADOS BRUTOS'!EE$3:EE$500)))</f>
        <v/>
      </c>
      <c r="HF25" s="56">
        <f>IF(OR(HF$4="",$B25=""),0,SUMIF('DADOS BRUTOS'!$A$3:$A$500,$B25,'DADOS BRUTOS'!EF$3:EF$500)+IF($C25="",0,SUMIF('DADOS BRUTOS'!$A$3:$A$500,$C25,'DADOS BRUTOS'!EF$3:EF$500)))</f>
        <v/>
      </c>
      <c r="HG25" s="56">
        <f>IF(OR(HG$4="",$B25=""),0,SUMIF('DADOS BRUTOS'!$A$3:$A$500,$B25,'DADOS BRUTOS'!EG$3:EG$500)+IF($C25="",0,SUMIF('DADOS BRUTOS'!$A$3:$A$500,$C25,'DADOS BRUTOS'!EG$3:EG$500)))</f>
        <v/>
      </c>
      <c r="HH25" s="56">
        <f>IF(OR(HH$4="",$B25=""),0,SUMIF('DADOS BRUTOS'!$A$3:$A$500,$B25,'DADOS BRUTOS'!EH$3:EH$500)+IF($C25="",0,SUMIF('DADOS BRUTOS'!$A$3:$A$500,$C25,'DADOS BRUTOS'!EH$3:EH$500)))</f>
        <v/>
      </c>
      <c r="HI25" s="56">
        <f>IF(OR(HI$4="",$B25=""),0,SUMIF('DADOS BRUTOS'!$A$3:$A$500,$B25,'DADOS BRUTOS'!EI$3:EI$500)+IF($C25="",0,SUMIF('DADOS BRUTOS'!$A$3:$A$500,$C25,'DADOS BRUTOS'!EI$3:EI$500)))</f>
        <v/>
      </c>
      <c r="HJ25" s="56">
        <f>IF(OR(HJ$4="",$B25=""),0,SUMIF('DADOS BRUTOS'!$A$3:$A$500,$B25,'DADOS BRUTOS'!EJ$3:EJ$500)+IF($C25="",0,SUMIF('DADOS BRUTOS'!$A$3:$A$500,$C25,'DADOS BRUTOS'!EJ$3:EJ$500)))</f>
        <v/>
      </c>
      <c r="HK25" s="56">
        <f>IF(OR(HK$4="",$B25=""),0,SUMIF('DADOS BRUTOS'!$A$3:$A$500,$B25,'DADOS BRUTOS'!EK$3:EK$500)+IF($C25="",0,SUMIF('DADOS BRUTOS'!$A$3:$A$500,$C25,'DADOS BRUTOS'!EK$3:EK$500)))</f>
        <v/>
      </c>
      <c r="HL25" s="56">
        <f>IF(OR(HL$4="",$B25=""),0,SUMIF('DADOS BRUTOS'!$A$3:$A$500,$B25,'DADOS BRUTOS'!EL$3:EL$500)+IF($C25="",0,SUMIF('DADOS BRUTOS'!$A$3:$A$500,$C25,'DADOS BRUTOS'!EL$3:EL$500)))</f>
        <v/>
      </c>
      <c r="HM25" s="56">
        <f>IF(OR(HM$4="",$B25=""),0,SUMIF('DADOS BRUTOS'!$A$3:$A$500,$B25,'DADOS BRUTOS'!EM$3:EM$500)+IF($C25="",0,SUMIF('DADOS BRUTOS'!$A$3:$A$500,$C25,'DADOS BRUTOS'!EM$3:EM$500)))</f>
        <v/>
      </c>
      <c r="HN25" s="56">
        <f>IF(OR(HN$4="",$B25=""),0,SUMIF('DADOS BRUTOS'!$A$3:$A$500,$B25,'DADOS BRUTOS'!EN$3:EN$500)+IF($C25="",0,SUMIF('DADOS BRUTOS'!$A$3:$A$500,$C25,'DADOS BRUTOS'!EN$3:EN$500)))</f>
        <v/>
      </c>
      <c r="HO25" s="56">
        <f>IF(OR(HO$4="",$B25=""),0,SUMIF('DADOS BRUTOS'!$A$3:$A$500,$B25,'DADOS BRUTOS'!EO$3:EO$500)+IF($C25="",0,SUMIF('DADOS BRUTOS'!$A$3:$A$500,$C25,'DADOS BRUTOS'!EO$3:EO$500)))</f>
        <v/>
      </c>
      <c r="HP25" s="56">
        <f>IF(OR(HP$4="",$B25=""),0,SUMIF('DADOS BRUTOS'!$A$3:$A$500,$B25,'DADOS BRUTOS'!EP$3:EP$500)+IF($C25="",0,SUMIF('DADOS BRUTOS'!$A$3:$A$500,$C25,'DADOS BRUTOS'!EP$3:EP$500)))</f>
        <v/>
      </c>
      <c r="HQ25" s="56">
        <f>IF(OR(HQ$4="",$B25=""),0,SUMIF('DADOS BRUTOS'!$A$3:$A$500,$B25,'DADOS BRUTOS'!EQ$3:EQ$500)+IF($C25="",0,SUMIF('DADOS BRUTOS'!$A$3:$A$500,$C25,'DADOS BRUTOS'!EQ$3:EQ$500)))</f>
        <v/>
      </c>
      <c r="HR25" s="56">
        <f>IF(OR(HR$4="",$B25=""),0,SUMIF('DADOS BRUTOS'!$A$3:$A$500,$B25,'DADOS BRUTOS'!ER$3:ER$500)+IF($C25="",0,SUMIF('DADOS BRUTOS'!$A$3:$A$500,$C25,'DADOS BRUTOS'!ER$3:ER$500)))</f>
        <v/>
      </c>
      <c r="HS25" s="56">
        <f>IF(OR(HS$4="",$B25=""),0,SUMIF('DADOS BRUTOS'!$A$3:$A$500,$B25,'DADOS BRUTOS'!ES$3:ES$500)+IF($C25="",0,SUMIF('DADOS BRUTOS'!$A$3:$A$500,$C25,'DADOS BRUTOS'!ES$3:ES$500)))</f>
        <v/>
      </c>
      <c r="HT25" s="56">
        <f>IF(OR(HT$4="",$B25=""),0,SUMIF('DADOS BRUTOS'!$A$3:$A$500,$B25,'DADOS BRUTOS'!ET$3:ET$500)+IF($C25="",0,SUMIF('DADOS BRUTOS'!$A$3:$A$500,$C25,'DADOS BRUTOS'!ET$3:ET$500)))</f>
        <v/>
      </c>
      <c r="HU25" s="56">
        <f>IF(OR(HU$4="",$B25=""),0,SUMIF('DADOS BRUTOS'!$A$3:$A$500,$B25,'DADOS BRUTOS'!EU$3:EU$500)+IF($C25="",0,SUMIF('DADOS BRUTOS'!$A$3:$A$500,$C25,'DADOS BRUTOS'!EU$3:EU$500)))</f>
        <v/>
      </c>
      <c r="HV25" s="56">
        <f>IF(OR(HV$4="",$B25=""),0,SUMIF('DADOS BRUTOS'!$A$3:$A$500,$B25,'DADOS BRUTOS'!EV$3:EV$500)+IF($C25="",0,SUMIF('DADOS BRUTOS'!$A$3:$A$500,$C25,'DADOS BRUTOS'!EV$3:EV$500)))</f>
        <v/>
      </c>
      <c r="HW25" s="56">
        <f>IF(OR(HW$4="",$B25=""),0,SUMIF('DADOS BRUTOS'!$A$3:$A$500,$B25,'DADOS BRUTOS'!EW$3:EW$500)+IF($C25="",0,SUMIF('DADOS BRUTOS'!$A$3:$A$500,$C25,'DADOS BRUTOS'!EW$3:EW$500)))</f>
        <v/>
      </c>
      <c r="HX25" s="56">
        <f>IF(OR(HX$4="",$B25=""),0,SUMIF('DADOS BRUTOS'!$A$3:$A$500,$B25,'DADOS BRUTOS'!EX$3:EX$500)+IF($C25="",0,SUMIF('DADOS BRUTOS'!$A$3:$A$500,$C25,'DADOS BRUTOS'!EX$3:EX$500)))</f>
        <v/>
      </c>
      <c r="HY25" s="56">
        <f>IF(OR(HY$4="",$B25=""),0,SUMIF('DADOS BRUTOS'!$A$3:$A$500,$B25,'DADOS BRUTOS'!EY$3:EY$500)+IF($C25="",0,SUMIF('DADOS BRUTOS'!$A$3:$A$500,$C25,'DADOS BRUTOS'!EY$3:EY$500)))</f>
        <v/>
      </c>
      <c r="HZ25" s="56">
        <f>IF(OR(HZ$4="",$B25=""),0,SUMIF('DADOS BRUTOS'!$A$3:$A$500,$B25,'DADOS BRUTOS'!EZ$3:EZ$500)+IF($C25="",0,SUMIF('DADOS BRUTOS'!$A$3:$A$500,$C25,'DADOS BRUTOS'!EZ$3:EZ$500)))</f>
        <v/>
      </c>
      <c r="IA25" s="56">
        <f>IF(OR(IA$4="",$B25=""),0,SUMIF('DADOS BRUTOS'!$A$3:$A$500,$B25,'DADOS BRUTOS'!FA$3:FA$500)+IF($C25="",0,SUMIF('DADOS BRUTOS'!$A$3:$A$500,$C25,'DADOS BRUTOS'!FA$3:FA$500)))</f>
        <v/>
      </c>
      <c r="IB25" s="56">
        <f>IF(OR(IB$4="",$B25=""),0,SUMIF('DADOS BRUTOS'!$A$3:$A$500,$B25,'DADOS BRUTOS'!FB$3:FB$500)+IF($C25="",0,SUMIF('DADOS BRUTOS'!$A$3:$A$500,$C25,'DADOS BRUTOS'!FB$3:FB$500)))</f>
        <v/>
      </c>
      <c r="IC25" s="56">
        <f>IF(OR(IC$4="",$B25=""),0,SUMIF('DADOS BRUTOS'!$A$3:$A$500,$B25,'DADOS BRUTOS'!FC$3:FC$500)+IF($C25="",0,SUMIF('DADOS BRUTOS'!$A$3:$A$500,$C25,'DADOS BRUTOS'!FC$3:FC$500)))</f>
        <v/>
      </c>
      <c r="ID25" s="56">
        <f>IF(OR(ID$4="",$B25=""),0,SUMIF('DADOS BRUTOS'!$A$3:$A$500,$B25,'DADOS BRUTOS'!FD$3:FD$500)+IF($C25="",0,SUMIF('DADOS BRUTOS'!$A$3:$A$500,$C25,'DADOS BRUTOS'!FD$3:FD$500)))</f>
        <v/>
      </c>
      <c r="IE25" s="56">
        <f>IF(OR(IE$4="",$B25=""),0,SUMIF('DADOS BRUTOS'!$A$3:$A$500,$B25,'DADOS BRUTOS'!FE$3:FE$500)+IF($C25="",0,SUMIF('DADOS BRUTOS'!$A$3:$A$500,$C25,'DADOS BRUTOS'!FE$3:FE$500)))</f>
        <v/>
      </c>
      <c r="IF25" s="56">
        <f>IF(OR(IF$4="",$B25=""),0,SUMIF('DADOS BRUTOS'!$A$3:$A$500,$B25,'DADOS BRUTOS'!FF$3:FF$500)+IF($C25="",0,SUMIF('DADOS BRUTOS'!$A$3:$A$500,$C25,'DADOS BRUTOS'!FF$3:FF$500)))</f>
        <v/>
      </c>
      <c r="IG25" s="56">
        <f>IF(OR(IG$4="",$B25=""),0,SUMIF('DADOS BRUTOS'!$A$3:$A$500,$B25,'DADOS BRUTOS'!FG$3:FG$500)+IF($C25="",0,SUMIF('DADOS BRUTOS'!$A$3:$A$500,$C25,'DADOS BRUTOS'!FG$3:FG$500)))</f>
        <v/>
      </c>
      <c r="IH25" s="56">
        <f>IF(OR(IH$4="",$B25=""),0,SUMIF('DADOS BRUTOS'!$A$3:$A$500,$B25,'DADOS BRUTOS'!FH$3:FH$500)+IF($C25="",0,SUMIF('DADOS BRUTOS'!$A$3:$A$500,$C25,'DADOS BRUTOS'!FH$3:FH$500)))</f>
        <v/>
      </c>
      <c r="II25" s="56">
        <f>IF(OR(II$4="",$B25=""),0,SUMIF('DADOS BRUTOS'!$A$3:$A$500,$B25,'DADOS BRUTOS'!FI$3:FI$500)+IF($C25="",0,SUMIF('DADOS BRUTOS'!$A$3:$A$500,$C25,'DADOS BRUTOS'!FI$3:FI$500)))</f>
        <v/>
      </c>
      <c r="IJ25" s="56">
        <f>IF(OR(IJ$4="",$B25=""),0,SUMIF('DADOS BRUTOS'!$A$3:$A$500,$B25,'DADOS BRUTOS'!FJ$3:FJ$500)+IF($C25="",0,SUMIF('DADOS BRUTOS'!$A$3:$A$500,$C25,'DADOS BRUTOS'!FJ$3:FJ$500)))</f>
        <v/>
      </c>
      <c r="IK25" s="56">
        <f>IF(OR(IK$4="",$B25=""),0,SUMIF('DADOS BRUTOS'!$A$3:$A$500,$B25,'DADOS BRUTOS'!FK$3:FK$500)+IF($C25="",0,SUMIF('DADOS BRUTOS'!$A$3:$A$500,$C25,'DADOS BRUTOS'!FK$3:FK$500)))</f>
        <v/>
      </c>
      <c r="IL25" s="56">
        <f>IF(OR(IL$4="",$B25=""),0,SUMIF('DADOS BRUTOS'!$A$3:$A$500,$B25,'DADOS BRUTOS'!FL$3:FL$500)+IF($C25="",0,SUMIF('DADOS BRUTOS'!$A$3:$A$500,$C25,'DADOS BRUTOS'!FL$3:FL$500)))</f>
        <v/>
      </c>
      <c r="IM25" s="56">
        <f>IF(OR(IM$4="",$B25=""),0,SUMIF('DADOS BRUTOS'!$A$3:$A$500,$B25,'DADOS BRUTOS'!FM$3:FM$500)+IF($C25="",0,SUMIF('DADOS BRUTOS'!$A$3:$A$500,$C25,'DADOS BRUTOS'!FM$3:FM$500)))</f>
        <v/>
      </c>
      <c r="IN25" s="56">
        <f>IF(OR(IN$4="",$B25=""),0,SUMIF('DADOS BRUTOS'!$A$3:$A$500,$B25,'DADOS BRUTOS'!FN$3:FN$500)+IF($C25="",0,SUMIF('DADOS BRUTOS'!$A$3:$A$500,$C25,'DADOS BRUTOS'!FN$3:FN$500)))</f>
        <v/>
      </c>
      <c r="IO25" s="56">
        <f>IF(OR(IO$4="",$B25=""),0,SUMIF('DADOS BRUTOS'!$A$3:$A$500,$B25,'DADOS BRUTOS'!FO$3:FO$500)+IF($C25="",0,SUMIF('DADOS BRUTOS'!$A$3:$A$500,$C25,'DADOS BRUTOS'!FO$3:FO$500)))</f>
        <v/>
      </c>
      <c r="IP25" s="56">
        <f>IF(OR(IP$4="",$B25=""),0,SUMIF('DADOS BRUTOS'!$A$3:$A$500,$B25,'DADOS BRUTOS'!FP$3:FP$500)+IF($C25="",0,SUMIF('DADOS BRUTOS'!$A$3:$A$500,$C25,'DADOS BRUTOS'!FP$3:FP$500)))</f>
        <v/>
      </c>
      <c r="IQ25" s="56">
        <f>IF(OR(IQ$4="",$B25=""),0,SUMIF('DADOS BRUTOS'!$A$3:$A$500,$B25,'DADOS BRUTOS'!FQ$3:FQ$500)+IF($C25="",0,SUMIF('DADOS BRUTOS'!$A$3:$A$500,$C25,'DADOS BRUTOS'!FQ$3:FQ$500)))</f>
        <v/>
      </c>
      <c r="IR25" s="56">
        <f>IF(OR(IR$4="",$B25=""),0,SUMIF('DADOS BRUTOS'!$A$3:$A$500,$B25,'DADOS BRUTOS'!FR$3:FR$500)+IF($C25="",0,SUMIF('DADOS BRUTOS'!$A$3:$A$500,$C25,'DADOS BRUTOS'!FR$3:FR$500)))</f>
        <v/>
      </c>
      <c r="IS25" s="56">
        <f>IF(OR(IS$4="",$B25=""),0,SUMIF('DADOS BRUTOS'!$A$3:$A$500,$B25,'DADOS BRUTOS'!FS$3:FS$500)+IF($C25="",0,SUMIF('DADOS BRUTOS'!$A$3:$A$500,$C25,'DADOS BRUTOS'!FS$3:FS$500)))</f>
        <v/>
      </c>
      <c r="IT25" s="56">
        <f>IF(OR(IT$4="",$B25=""),0,SUMIF('DADOS BRUTOS'!$A$3:$A$500,$B25,'DADOS BRUTOS'!FT$3:FT$500)+IF($C25="",0,SUMIF('DADOS BRUTOS'!$A$3:$A$500,$C25,'DADOS BRUTOS'!FT$3:FT$500)))</f>
        <v/>
      </c>
      <c r="IU25" s="56">
        <f>IF(OR(IU$4="",$B25=""),0,SUMIF('DADOS BRUTOS'!$A$3:$A$500,$B25,'DADOS BRUTOS'!FU$3:FU$500)+IF($C25="",0,SUMIF('DADOS BRUTOS'!$A$3:$A$500,$C25,'DADOS BRUTOS'!FU$3:FU$500)))</f>
        <v/>
      </c>
      <c r="IV25" s="56">
        <f>IF(OR(IV$4="",$B25=""),0,SUMIF('DADOS BRUTOS'!$A$3:$A$500,$B25,'DADOS BRUTOS'!FV$3:FV$500)+IF($C25="",0,SUMIF('DADOS BRUTOS'!$A$3:$A$500,$C25,'DADOS BRUTOS'!FV$3:FV$500)))</f>
        <v/>
      </c>
      <c r="IW25" s="56">
        <f>IF(OR(IW$4="",$B25=""),0,SUMIF('DADOS BRUTOS'!$A$3:$A$500,$B25,'DADOS BRUTOS'!FW$3:FW$500)+IF($C25="",0,SUMIF('DADOS BRUTOS'!$A$3:$A$500,$C25,'DADOS BRUTOS'!FW$3:FW$500)))</f>
        <v/>
      </c>
      <c r="IX25" s="56">
        <f>IF(OR(IX$4="",$B25=""),0,SUMIF('DADOS BRUTOS'!$A$3:$A$500,$B25,'DADOS BRUTOS'!FX$3:FX$500)+IF($C25="",0,SUMIF('DADOS BRUTOS'!$A$3:$A$500,$C25,'DADOS BRUTOS'!FX$3:FX$500)))</f>
        <v/>
      </c>
      <c r="IY25" s="56">
        <f>IF(OR(IY$4="",$B25=""),0,SUMIF('DADOS BRUTOS'!$A$3:$A$500,$B25,'DADOS BRUTOS'!FY$3:FY$500)+IF($C25="",0,SUMIF('DADOS BRUTOS'!$A$3:$A$500,$C25,'DADOS BRUTOS'!FY$3:FY$500)))</f>
        <v/>
      </c>
      <c r="IZ25" s="56">
        <f>IF(OR(IZ$4="",$B25=""),0,SUMIF('DADOS BRUTOS'!$A$3:$A$500,$B25,'DADOS BRUTOS'!FZ$3:FZ$500)+IF($C25="",0,SUMIF('DADOS BRUTOS'!$A$3:$A$500,$C25,'DADOS BRUTOS'!FZ$3:FZ$500)))</f>
        <v/>
      </c>
      <c r="JA25" s="56">
        <f>IF(OR(JA$4="",$B25=""),0,SUMIF('DADOS BRUTOS'!$A$3:$A$500,$B25,'DADOS BRUTOS'!GA$3:GA$500)+IF($C25="",0,SUMIF('DADOS BRUTOS'!$A$3:$A$500,$C25,'DADOS BRUTOS'!GA$3:GA$500)))</f>
        <v/>
      </c>
      <c r="JB25" s="56">
        <f>IF(OR(JB$4="",$B25=""),0,SUMIF('DADOS BRUTOS'!$A$3:$A$500,$B25,'DADOS BRUTOS'!GB$3:GB$500)+IF($C25="",0,SUMIF('DADOS BRUTOS'!$A$3:$A$500,$C25,'DADOS BRUTOS'!GB$3:GB$500)))</f>
        <v/>
      </c>
      <c r="JC25" s="56">
        <f>IF(OR(JC$4="",$B25=""),0,SUMIF('DADOS BRUTOS'!$A$3:$A$500,$B25,'DADOS BRUTOS'!GC$3:GC$500)+IF($C25="",0,SUMIF('DADOS BRUTOS'!$A$3:$A$500,$C25,'DADOS BRUTOS'!GC$3:GC$500)))</f>
        <v/>
      </c>
      <c r="JD25" s="56">
        <f>IF(OR(JD$4="",$B25=""),0,SUMIF('DADOS BRUTOS'!$A$3:$A$500,$B25,'DADOS BRUTOS'!GD$3:GD$500)+IF($C25="",0,SUMIF('DADOS BRUTOS'!$A$3:$A$500,$C25,'DADOS BRUTOS'!GD$3:GD$500)))</f>
        <v/>
      </c>
      <c r="JE25" s="56">
        <f>IF(OR(JE$4="",$B25=""),0,SUMIF('DADOS BRUTOS'!$A$3:$A$500,$B25,'DADOS BRUTOS'!GE$3:GE$500)+IF($C25="",0,SUMIF('DADOS BRUTOS'!$A$3:$A$500,$C25,'DADOS BRUTOS'!GE$3:GE$500)))</f>
        <v/>
      </c>
      <c r="JF25" s="56">
        <f>IF(OR(JF$4="",$B25=""),0,SUMIF('DADOS BRUTOS'!$A$3:$A$500,$B25,'DADOS BRUTOS'!GF$3:GF$500)+IF($C25="",0,SUMIF('DADOS BRUTOS'!$A$3:$A$500,$C25,'DADOS BRUTOS'!GF$3:GF$500)))</f>
        <v/>
      </c>
      <c r="JG25" s="56">
        <f>IF(OR(JG$4="",$B25=""),0,SUMIF('DADOS BRUTOS'!$A$3:$A$500,$B25,'DADOS BRUTOS'!GG$3:GG$500)+IF($C25="",0,SUMIF('DADOS BRUTOS'!$A$3:$A$500,$C25,'DADOS BRUTOS'!GG$3:GG$500)))</f>
        <v/>
      </c>
      <c r="JH25" s="56">
        <f>IF(OR(JH$4="",$B25=""),0,SUMIF('DADOS BRUTOS'!$A$3:$A$500,$B25,'DADOS BRUTOS'!GH$3:GH$500)+IF($C25="",0,SUMIF('DADOS BRUTOS'!$A$3:$A$500,$C25,'DADOS BRUTOS'!GH$3:GH$500)))</f>
        <v/>
      </c>
      <c r="JI25" s="56">
        <f>IF(OR(JI$4="",$B25=""),0,SUMIF('DADOS BRUTOS'!$A$3:$A$500,$B25,'DADOS BRUTOS'!GI$3:GI$500)+IF($C25="",0,SUMIF('DADOS BRUTOS'!$A$3:$A$500,$C25,'DADOS BRUTOS'!GI$3:GI$500)))</f>
        <v/>
      </c>
      <c r="JJ25" s="56">
        <f>IF(OR(JJ$4="",$B25=""),0,SUMIF('DADOS BRUTOS'!$A$3:$A$500,$B25,'DADOS BRUTOS'!GJ$3:GJ$500)+IF($C25="",0,SUMIF('DADOS BRUTOS'!$A$3:$A$500,$C25,'DADOS BRUTOS'!GJ$3:GJ$500)))</f>
        <v/>
      </c>
      <c r="JK25" s="56">
        <f>IF(OR(JK$4="",$B25=""),0,SUMIF('DADOS BRUTOS'!$A$3:$A$500,$B25,'DADOS BRUTOS'!GK$3:GK$500)+IF($C25="",0,SUMIF('DADOS BRUTOS'!$A$3:$A$500,$C25,'DADOS BRUTOS'!GK$3:GK$500)))</f>
        <v/>
      </c>
      <c r="JL25" s="56">
        <f>IF(OR(JL$4="",$B25=""),0,SUMIF('DADOS BRUTOS'!$A$3:$A$500,$B25,'DADOS BRUTOS'!GL$3:GL$500)+IF($C25="",0,SUMIF('DADOS BRUTOS'!$A$3:$A$500,$C25,'DADOS BRUTOS'!GL$3:GL$500)))</f>
        <v/>
      </c>
      <c r="JM25" s="56">
        <f>IF(OR(JM$4="",$B25=""),0,SUMIF('DADOS BRUTOS'!$A$3:$A$500,$B25,'DADOS BRUTOS'!GM$3:GM$500)+IF($C25="",0,SUMIF('DADOS BRUTOS'!$A$3:$A$500,$C25,'DADOS BRUTOS'!GM$3:GM$500)))</f>
        <v/>
      </c>
      <c r="JN25" s="56">
        <f>IF(OR(JN$4="",$B25=""),0,SUMIF('DADOS BRUTOS'!$A$3:$A$500,$B25,'DADOS BRUTOS'!GN$3:GN$500)+IF($C25="",0,SUMIF('DADOS BRUTOS'!$A$3:$A$500,$C25,'DADOS BRUTOS'!GN$3:GN$500)))</f>
        <v/>
      </c>
      <c r="JO25" s="56">
        <f>IF(OR(JO$4="",$B25=""),0,SUMIF('DADOS BRUTOS'!$A$3:$A$500,$B25,'DADOS BRUTOS'!GO$3:GO$500)+IF($C25="",0,SUMIF('DADOS BRUTOS'!$A$3:$A$500,$C25,'DADOS BRUTOS'!GO$3:GO$500)))</f>
        <v/>
      </c>
      <c r="JP25" s="56">
        <f>IF(OR(JP$4="",$B25=""),0,SUMIF('DADOS BRUTOS'!$A$3:$A$500,$B25,'DADOS BRUTOS'!GP$3:GP$500)+IF($C25="",0,SUMIF('DADOS BRUTOS'!$A$3:$A$500,$C25,'DADOS BRUTOS'!GP$3:GP$500)))</f>
        <v/>
      </c>
      <c r="JQ25" s="56">
        <f>IF(OR(JQ$4="",$B25=""),0,SUMIF('DADOS BRUTOS'!$A$3:$A$500,$B25,'DADOS BRUTOS'!GQ$3:GQ$500)+IF($C25="",0,SUMIF('DADOS BRUTOS'!$A$3:$A$500,$C25,'DADOS BRUTOS'!GQ$3:GQ$500)))</f>
        <v/>
      </c>
      <c r="JR25" s="56">
        <f>IF(OR(JR$4="",$B25=""),0,SUMIF('DADOS BRUTOS'!$A$3:$A$500,$B25,'DADOS BRUTOS'!GR$3:GR$500)+IF($C25="",0,SUMIF('DADOS BRUTOS'!$A$3:$A$500,$C25,'DADOS BRUTOS'!GR$3:GR$500)))</f>
        <v/>
      </c>
      <c r="JS25" s="56">
        <f>IF(OR(JS$4="",$B25=""),0,SUMIF('DADOS BRUTOS'!$A$3:$A$500,$B25,'DADOS BRUTOS'!GS$3:GS$500)+IF($C25="",0,SUMIF('DADOS BRUTOS'!$A$3:$A$500,$C25,'DADOS BRUTOS'!GS$3:GS$500)))</f>
        <v/>
      </c>
    </row>
    <row r="26">
      <c r="A26" s="34">
        <f>'VALOR POR PL'!D32</f>
        <v/>
      </c>
      <c r="B26" s="21" t="inlineStr">
        <is>
          <t>INSTALAÇÕES COMBATE INCÊNDIO</t>
        </is>
      </c>
      <c r="C26" s="21" t="n"/>
      <c r="D26" s="17">
        <f>SUMIF($CB$4:$JS$4,"&lt;="&amp;D$4,$CB26:$JS26)</f>
        <v/>
      </c>
      <c r="E26" s="17">
        <f>SUMIF($CB$4:$JS$4,E$4,$CB26:$JS26)</f>
        <v/>
      </c>
      <c r="F26" s="17">
        <f>SUMIF($CB$4:$JS$4,F$4,$CB26:$JS26)</f>
        <v/>
      </c>
      <c r="G26" s="17">
        <f>SUMIF($CB$4:$JS$4,G$4,$CB26:$JS26)</f>
        <v/>
      </c>
      <c r="H26" s="17">
        <f>SUMIF($CB$4:$JS$4,H$4,$CB26:$JS26)</f>
        <v/>
      </c>
      <c r="I26" s="17">
        <f>SUMIF($CB$4:$JS$4,I$4,$CB26:$JS26)</f>
        <v/>
      </c>
      <c r="J26" s="17">
        <f>SUMIF($CB$4:$JS$4,J$4,$CB26:$JS26)</f>
        <v/>
      </c>
      <c r="K26" s="17">
        <f>SUMIF($CB$4:$JS$4,K$4,$CB26:$JS26)</f>
        <v/>
      </c>
      <c r="L26" s="17">
        <f>SUMIF($CB$4:$JS$4,L$4,$CB26:$JS26)</f>
        <v/>
      </c>
      <c r="M26" s="17">
        <f>SUMIF($CB$4:$JS$4,M$4,$CB26:$JS26)</f>
        <v/>
      </c>
      <c r="N26" s="17">
        <f>SUMIF($CB$4:$JS$4,N$4,$CB26:$JS26)</f>
        <v/>
      </c>
      <c r="O26" s="17">
        <f>SUMIF($CB$4:$JS$4,O$4,$CB26:$JS26)</f>
        <v/>
      </c>
      <c r="P26" s="17">
        <f>SUMIF($CB$4:$JS$4,P$4,$CB26:$JS26)</f>
        <v/>
      </c>
      <c r="Q26" s="17">
        <f>SUMIF($CB$4:$JS$4,Q$4,$CB26:$JS26)</f>
        <v/>
      </c>
      <c r="R26" s="17">
        <f>SUMIF($CB$4:$JS$4,R$4,$CB26:$JS26)</f>
        <v/>
      </c>
      <c r="S26" s="17">
        <f>SUMIF($CB$4:$JS$4,S$4,$CB26:$JS26)</f>
        <v/>
      </c>
      <c r="T26" s="17">
        <f>SUMIF($CB$4:$JS$4,T$4,$CB26:$JS26)</f>
        <v/>
      </c>
      <c r="U26" s="17">
        <f>SUMIF($CB$4:$JS$4,U$4,$CB26:$JS26)</f>
        <v/>
      </c>
      <c r="V26" s="17">
        <f>SUMIF($CB$4:$JS$4,V$4,$CB26:$JS26)</f>
        <v/>
      </c>
      <c r="W26" s="17">
        <f>SUMIF($CB$4:$JS$4,W$4,$CB26:$JS26)</f>
        <v/>
      </c>
      <c r="X26" s="17">
        <f>SUMIF($CB$4:$JS$4,X$4,$CB26:$JS26)</f>
        <v/>
      </c>
      <c r="Y26" s="17">
        <f>SUMIF($CB$4:$JS$4,Y$4,$CB26:$JS26)</f>
        <v/>
      </c>
      <c r="Z26" s="17">
        <f>SUMIF($CB$4:$JS$4,Z$4,$CB26:$JS26)</f>
        <v/>
      </c>
      <c r="AA26" s="17">
        <f>SUMIF($CB$4:$JS$4,AA$4,$CB26:$JS26)</f>
        <v/>
      </c>
      <c r="AB26" s="17">
        <f>SUMIF($CB$4:$JS$4,AB$4,$CB26:$JS26)</f>
        <v/>
      </c>
      <c r="AC26" s="17">
        <f>SUMIF($CB$4:$JS$4,AC$4,$CB26:$JS26)</f>
        <v/>
      </c>
      <c r="AD26" s="17">
        <f>SUMIF($CB$4:$JS$4,AD$4,$CB26:$JS26)</f>
        <v/>
      </c>
      <c r="AE26" s="17">
        <f>SUMIF($CB$4:$JS$4,AE$4,$CB26:$JS26)</f>
        <v/>
      </c>
      <c r="AF26" s="17">
        <f>SUMIF($CB$4:$JS$4,AF$4,$CB26:$JS26)</f>
        <v/>
      </c>
      <c r="AG26" s="17">
        <f>SUMIF($CB$4:$JS$4,AG$4,$CB26:$JS26)</f>
        <v/>
      </c>
      <c r="AH26" s="17">
        <f>SUMIF($CB$4:$JS$4,AH$4,$CB26:$JS26)</f>
        <v/>
      </c>
      <c r="AI26" s="17">
        <f>SUMIF($CB$4:$JS$4,AI$4,$CB26:$JS26)</f>
        <v/>
      </c>
      <c r="AJ26" s="17">
        <f>SUMIF($CB$4:$JS$4,AJ$4,$CB26:$JS26)</f>
        <v/>
      </c>
      <c r="AK26" s="17">
        <f>SUMIF($CB$4:$JS$4,AK$4,$CB26:$JS26)</f>
        <v/>
      </c>
      <c r="AL26" s="17">
        <f>SUMIF($CB$4:$JS$4,AL$4,$CB26:$JS26)</f>
        <v/>
      </c>
      <c r="AM26" s="17">
        <f>SUMIF($CB$4:$JS$4,AM$4,$CB26:$JS26)</f>
        <v/>
      </c>
      <c r="AN26" s="17">
        <f>SUMIF($CB$4:$JS$4,AN$4,$CB26:$JS26)</f>
        <v/>
      </c>
      <c r="AO26" s="17">
        <f>SUMIF($CB$4:$JS$4,AO$4,$CB26:$JS26)</f>
        <v/>
      </c>
      <c r="AP26" s="17">
        <f>SUMIF($CB$4:$JS$4,AP$4,$CB26:$JS26)</f>
        <v/>
      </c>
      <c r="AQ26" s="17">
        <f>SUMIF($CB$4:$JS$4,AQ$4,$CB26:$JS26)</f>
        <v/>
      </c>
      <c r="AR26" s="17">
        <f>SUMIF($CB$4:$JS$4,AR$4,$CB26:$JS26)</f>
        <v/>
      </c>
      <c r="AS26" s="17">
        <f>SUMIF($CB$4:$JS$4,AS$4,$CB26:$JS26)</f>
        <v/>
      </c>
      <c r="AT26" s="17">
        <f>SUMIF($CB$4:$JS$4,AT$4,$CB26:$JS26)</f>
        <v/>
      </c>
      <c r="AU26" s="17">
        <f>SUMIF($CB$4:$JS$4,AU$4,$CB26:$JS26)</f>
        <v/>
      </c>
      <c r="AV26" s="17">
        <f>SUMIF($CB$4:$JS$4,AV$4,$CB26:$JS26)</f>
        <v/>
      </c>
      <c r="AW26" s="17">
        <f>SUMIF($CB$4:$JS$4,AW$4,$CB26:$JS26)</f>
        <v/>
      </c>
      <c r="AX26" s="17">
        <f>SUMIF($CB$4:$JS$4,AX$4,$CB26:$JS26)</f>
        <v/>
      </c>
      <c r="AY26" s="17">
        <f>SUMIF($CB$4:$JS$4,AY$4,$CB26:$JS26)</f>
        <v/>
      </c>
      <c r="AZ26" s="17">
        <f>SUMIF($CB$4:$JS$4,AZ$4,$CB26:$JS26)</f>
        <v/>
      </c>
      <c r="BA26" s="17">
        <f>SUMIF($CB$4:$JS$4,BA$4,$CB26:$JS26)</f>
        <v/>
      </c>
      <c r="BB26" s="17">
        <f>SUMIF($CB$4:$JS$4,BB$4,$CB26:$JS26)</f>
        <v/>
      </c>
      <c r="BC26" s="17">
        <f>SUMIF($CB$4:$JS$4,BC$4,$CB26:$JS26)</f>
        <v/>
      </c>
      <c r="BD26" s="17">
        <f>SUMIF($CB$4:$JS$4,BD$4,$CB26:$JS26)</f>
        <v/>
      </c>
      <c r="BE26" s="17">
        <f>SUMIF($CB$4:$JS$4,BE$4,$CB26:$JS26)</f>
        <v/>
      </c>
      <c r="BF26" s="17">
        <f>SUMIF($CB$4:$JS$4,BF$4,$CB26:$JS26)</f>
        <v/>
      </c>
      <c r="BG26" s="17">
        <f>SUMIF($CB$4:$JS$4,BG$4,$CB26:$JS26)</f>
        <v/>
      </c>
      <c r="BH26" s="17">
        <f>SUMIF($CB$4:$JS$4,BH$4,$CB26:$JS26)</f>
        <v/>
      </c>
      <c r="BI26" s="17">
        <f>SUMIF($CB$4:$JS$4,BI$4,$CB26:$JS26)</f>
        <v/>
      </c>
      <c r="BJ26" s="17">
        <f>SUMIF($CB$4:$JS$4,BJ$4,$CB26:$JS26)</f>
        <v/>
      </c>
      <c r="BK26" s="17">
        <f>SUMIF($CB$4:$JS$4,BK$4,$CB26:$JS26)</f>
        <v/>
      </c>
      <c r="BL26" s="17">
        <f>SUMIF($CB$4:$JS$4,BL$4,$CB26:$JS26)</f>
        <v/>
      </c>
      <c r="BM26" s="17">
        <f>SUMIF($CB$4:$JS$4,BM$4,$CB26:$JS26)</f>
        <v/>
      </c>
      <c r="BN26" s="17">
        <f>SUMIF($CB$4:$JS$4,BN$4,$CB26:$JS26)</f>
        <v/>
      </c>
      <c r="BO26" s="17">
        <f>SUMIF($CB$4:$JS$4,BO$4,$CB26:$JS26)</f>
        <v/>
      </c>
      <c r="BP26" s="17">
        <f>SUMIF($CB$4:$JS$4,BP$4,$CB26:$JS26)</f>
        <v/>
      </c>
      <c r="BQ26" s="17">
        <f>SUMIF($CB$4:$JS$4,BQ$4,$CB26:$JS26)</f>
        <v/>
      </c>
      <c r="BR26" s="17">
        <f>SUMIF($CB$4:$JS$4,BR$4,$CB26:$JS26)</f>
        <v/>
      </c>
      <c r="BS26" s="17">
        <f>SUMIF($CB$4:$JS$4,BS$4,$CB26:$JS26)</f>
        <v/>
      </c>
      <c r="BT26" s="17">
        <f>SUMIF($CB$4:$JS$4,BT$4,$CB26:$JS26)</f>
        <v/>
      </c>
      <c r="BU26" s="17">
        <f>SUMIF($CB$4:$JS$4,BU$4,$CB26:$JS26)</f>
        <v/>
      </c>
      <c r="BV26" s="17">
        <f>SUMIF($CB$4:$JS$4,BV$4,$CB26:$JS26)</f>
        <v/>
      </c>
      <c r="BW26" s="17">
        <f>SUMIF($CB$4:$JS$4,BW$4,$CB26:$JS26)</f>
        <v/>
      </c>
      <c r="BX26" s="17">
        <f>SUMIF($CB$4:$JS$4,"&gt;"&amp;'VALOR POR PL'!$P$8,$CB26:$JS26)</f>
        <v/>
      </c>
      <c r="BY26" s="17">
        <f>SUM($CB26:$JS26)</f>
        <v/>
      </c>
      <c r="CB26" s="56">
        <f>IF(OR(CB$4="",$B26=""),0,SUMIF('DADOS BRUTOS'!$A$3:$A$500,$B26,'DADOS BRUTOS'!B$3:B$500)+IF($C26="",0,SUMIF('DADOS BRUTOS'!$A$3:$A$500,$C26,'DADOS BRUTOS'!B$3:B$500)))</f>
        <v/>
      </c>
      <c r="CC26" s="56">
        <f>IF(OR(CC$4="",$B26=""),0,SUMIF('DADOS BRUTOS'!$A$3:$A$500,$B26,'DADOS BRUTOS'!C$3:C$500)+IF($C26="",0,SUMIF('DADOS BRUTOS'!$A$3:$A$500,$C26,'DADOS BRUTOS'!C$3:C$500)))</f>
        <v/>
      </c>
      <c r="CD26" s="56">
        <f>IF(OR(CD$4="",$B26=""),0,SUMIF('DADOS BRUTOS'!$A$3:$A$500,$B26,'DADOS BRUTOS'!D$3:D$500)+IF($C26="",0,SUMIF('DADOS BRUTOS'!$A$3:$A$500,$C26,'DADOS BRUTOS'!D$3:D$500)))</f>
        <v/>
      </c>
      <c r="CE26" s="56">
        <f>IF(OR(CE$4="",$B26=""),0,SUMIF('DADOS BRUTOS'!$A$3:$A$500,$B26,'DADOS BRUTOS'!E$3:E$500)+IF($C26="",0,SUMIF('DADOS BRUTOS'!$A$3:$A$500,$C26,'DADOS BRUTOS'!E$3:E$500)))</f>
        <v/>
      </c>
      <c r="CF26" s="56">
        <f>IF(OR(CF$4="",$B26=""),0,SUMIF('DADOS BRUTOS'!$A$3:$A$500,$B26,'DADOS BRUTOS'!F$3:F$500)+IF($C26="",0,SUMIF('DADOS BRUTOS'!$A$3:$A$500,$C26,'DADOS BRUTOS'!F$3:F$500)))</f>
        <v/>
      </c>
      <c r="CG26" s="56">
        <f>IF(OR(CG$4="",$B26=""),0,SUMIF('DADOS BRUTOS'!$A$3:$A$500,$B26,'DADOS BRUTOS'!G$3:G$500)+IF($C26="",0,SUMIF('DADOS BRUTOS'!$A$3:$A$500,$C26,'DADOS BRUTOS'!G$3:G$500)))</f>
        <v/>
      </c>
      <c r="CH26" s="56">
        <f>IF(OR(CH$4="",$B26=""),0,SUMIF('DADOS BRUTOS'!$A$3:$A$500,$B26,'DADOS BRUTOS'!H$3:H$500)+IF($C26="",0,SUMIF('DADOS BRUTOS'!$A$3:$A$500,$C26,'DADOS BRUTOS'!H$3:H$500)))</f>
        <v/>
      </c>
      <c r="CI26" s="56">
        <f>IF(OR(CI$4="",$B26=""),0,SUMIF('DADOS BRUTOS'!$A$3:$A$500,$B26,'DADOS BRUTOS'!I$3:I$500)+IF($C26="",0,SUMIF('DADOS BRUTOS'!$A$3:$A$500,$C26,'DADOS BRUTOS'!I$3:I$500)))</f>
        <v/>
      </c>
      <c r="CJ26" s="56">
        <f>IF(OR(CJ$4="",$B26=""),0,SUMIF('DADOS BRUTOS'!$A$3:$A$500,$B26,'DADOS BRUTOS'!J$3:J$500)+IF($C26="",0,SUMIF('DADOS BRUTOS'!$A$3:$A$500,$C26,'DADOS BRUTOS'!J$3:J$500)))</f>
        <v/>
      </c>
      <c r="CK26" s="56">
        <f>IF(OR(CK$4="",$B26=""),0,SUMIF('DADOS BRUTOS'!$A$3:$A$500,$B26,'DADOS BRUTOS'!K$3:K$500)+IF($C26="",0,SUMIF('DADOS BRUTOS'!$A$3:$A$500,$C26,'DADOS BRUTOS'!K$3:K$500)))</f>
        <v/>
      </c>
      <c r="CL26" s="56">
        <f>IF(OR(CL$4="",$B26=""),0,SUMIF('DADOS BRUTOS'!$A$3:$A$500,$B26,'DADOS BRUTOS'!L$3:L$500)+IF($C26="",0,SUMIF('DADOS BRUTOS'!$A$3:$A$500,$C26,'DADOS BRUTOS'!L$3:L$500)))</f>
        <v/>
      </c>
      <c r="CM26" s="56">
        <f>IF(OR(CM$4="",$B26=""),0,SUMIF('DADOS BRUTOS'!$A$3:$A$500,$B26,'DADOS BRUTOS'!M$3:M$500)+IF($C26="",0,SUMIF('DADOS BRUTOS'!$A$3:$A$500,$C26,'DADOS BRUTOS'!M$3:M$500)))</f>
        <v/>
      </c>
      <c r="CN26" s="56">
        <f>IF(OR(CN$4="",$B26=""),0,SUMIF('DADOS BRUTOS'!$A$3:$A$500,$B26,'DADOS BRUTOS'!N$3:N$500)+IF($C26="",0,SUMIF('DADOS BRUTOS'!$A$3:$A$500,$C26,'DADOS BRUTOS'!N$3:N$500)))</f>
        <v/>
      </c>
      <c r="CO26" s="56">
        <f>IF(OR(CO$4="",$B26=""),0,SUMIF('DADOS BRUTOS'!$A$3:$A$500,$B26,'DADOS BRUTOS'!O$3:O$500)+IF($C26="",0,SUMIF('DADOS BRUTOS'!$A$3:$A$500,$C26,'DADOS BRUTOS'!O$3:O$500)))</f>
        <v/>
      </c>
      <c r="CP26" s="56">
        <f>IF(OR(CP$4="",$B26=""),0,SUMIF('DADOS BRUTOS'!$A$3:$A$500,$B26,'DADOS BRUTOS'!P$3:P$500)+IF($C26="",0,SUMIF('DADOS BRUTOS'!$A$3:$A$500,$C26,'DADOS BRUTOS'!P$3:P$500)))</f>
        <v/>
      </c>
      <c r="CQ26" s="56">
        <f>IF(OR(CQ$4="",$B26=""),0,SUMIF('DADOS BRUTOS'!$A$3:$A$500,$B26,'DADOS BRUTOS'!Q$3:Q$500)+IF($C26="",0,SUMIF('DADOS BRUTOS'!$A$3:$A$500,$C26,'DADOS BRUTOS'!Q$3:Q$500)))</f>
        <v/>
      </c>
      <c r="CR26" s="56">
        <f>IF(OR(CR$4="",$B26=""),0,SUMIF('DADOS BRUTOS'!$A$3:$A$500,$B26,'DADOS BRUTOS'!R$3:R$500)+IF($C26="",0,SUMIF('DADOS BRUTOS'!$A$3:$A$500,$C26,'DADOS BRUTOS'!R$3:R$500)))</f>
        <v/>
      </c>
      <c r="CS26" s="56">
        <f>IF(OR(CS$4="",$B26=""),0,SUMIF('DADOS BRUTOS'!$A$3:$A$500,$B26,'DADOS BRUTOS'!S$3:S$500)+IF($C26="",0,SUMIF('DADOS BRUTOS'!$A$3:$A$500,$C26,'DADOS BRUTOS'!S$3:S$500)))</f>
        <v/>
      </c>
      <c r="CT26" s="56">
        <f>IF(OR(CT$4="",$B26=""),0,SUMIF('DADOS BRUTOS'!$A$3:$A$500,$B26,'DADOS BRUTOS'!T$3:T$500)+IF($C26="",0,SUMIF('DADOS BRUTOS'!$A$3:$A$500,$C26,'DADOS BRUTOS'!T$3:T$500)))</f>
        <v/>
      </c>
      <c r="CU26" s="56">
        <f>IF(OR(CU$4="",$B26=""),0,SUMIF('DADOS BRUTOS'!$A$3:$A$500,$B26,'DADOS BRUTOS'!U$3:U$500)+IF($C26="",0,SUMIF('DADOS BRUTOS'!$A$3:$A$500,$C26,'DADOS BRUTOS'!U$3:U$500)))</f>
        <v/>
      </c>
      <c r="CV26" s="56">
        <f>IF(OR(CV$4="",$B26=""),0,SUMIF('DADOS BRUTOS'!$A$3:$A$500,$B26,'DADOS BRUTOS'!V$3:V$500)+IF($C26="",0,SUMIF('DADOS BRUTOS'!$A$3:$A$500,$C26,'DADOS BRUTOS'!V$3:V$500)))</f>
        <v/>
      </c>
      <c r="CW26" s="56">
        <f>IF(OR(CW$4="",$B26=""),0,SUMIF('DADOS BRUTOS'!$A$3:$A$500,$B26,'DADOS BRUTOS'!W$3:W$500)+IF($C26="",0,SUMIF('DADOS BRUTOS'!$A$3:$A$500,$C26,'DADOS BRUTOS'!W$3:W$500)))</f>
        <v/>
      </c>
      <c r="CX26" s="56">
        <f>IF(OR(CX$4="",$B26=""),0,SUMIF('DADOS BRUTOS'!$A$3:$A$500,$B26,'DADOS BRUTOS'!X$3:X$500)+IF($C26="",0,SUMIF('DADOS BRUTOS'!$A$3:$A$500,$C26,'DADOS BRUTOS'!X$3:X$500)))</f>
        <v/>
      </c>
      <c r="CY26" s="56">
        <f>IF(OR(CY$4="",$B26=""),0,SUMIF('DADOS BRUTOS'!$A$3:$A$500,$B26,'DADOS BRUTOS'!Y$3:Y$500)+IF($C26="",0,SUMIF('DADOS BRUTOS'!$A$3:$A$500,$C26,'DADOS BRUTOS'!Y$3:Y$500)))</f>
        <v/>
      </c>
      <c r="CZ26" s="56">
        <f>IF(OR(CZ$4="",$B26=""),0,SUMIF('DADOS BRUTOS'!$A$3:$A$500,$B26,'DADOS BRUTOS'!Z$3:Z$500)+IF($C26="",0,SUMIF('DADOS BRUTOS'!$A$3:$A$500,$C26,'DADOS BRUTOS'!Z$3:Z$500)))</f>
        <v/>
      </c>
      <c r="DA26" s="56">
        <f>IF(OR(DA$4="",$B26=""),0,SUMIF('DADOS BRUTOS'!$A$3:$A$500,$B26,'DADOS BRUTOS'!AA$3:AA$500)+IF($C26="",0,SUMIF('DADOS BRUTOS'!$A$3:$A$500,$C26,'DADOS BRUTOS'!AA$3:AA$500)))</f>
        <v/>
      </c>
      <c r="DB26" s="56">
        <f>IF(OR(DB$4="",$B26=""),0,SUMIF('DADOS BRUTOS'!$A$3:$A$500,$B26,'DADOS BRUTOS'!AB$3:AB$500)+IF($C26="",0,SUMIF('DADOS BRUTOS'!$A$3:$A$500,$C26,'DADOS BRUTOS'!AB$3:AB$500)))</f>
        <v/>
      </c>
      <c r="DC26" s="56">
        <f>IF(OR(DC$4="",$B26=""),0,SUMIF('DADOS BRUTOS'!$A$3:$A$500,$B26,'DADOS BRUTOS'!AC$3:AC$500)+IF($C26="",0,SUMIF('DADOS BRUTOS'!$A$3:$A$500,$C26,'DADOS BRUTOS'!AC$3:AC$500)))</f>
        <v/>
      </c>
      <c r="DD26" s="56">
        <f>IF(OR(DD$4="",$B26=""),0,SUMIF('DADOS BRUTOS'!$A$3:$A$500,$B26,'DADOS BRUTOS'!AD$3:AD$500)+IF($C26="",0,SUMIF('DADOS BRUTOS'!$A$3:$A$500,$C26,'DADOS BRUTOS'!AD$3:AD$500)))</f>
        <v/>
      </c>
      <c r="DE26" s="56">
        <f>IF(OR(DE$4="",$B26=""),0,SUMIF('DADOS BRUTOS'!$A$3:$A$500,$B26,'DADOS BRUTOS'!AE$3:AE$500)+IF($C26="",0,SUMIF('DADOS BRUTOS'!$A$3:$A$500,$C26,'DADOS BRUTOS'!AE$3:AE$500)))</f>
        <v/>
      </c>
      <c r="DF26" s="56">
        <f>IF(OR(DF$4="",$B26=""),0,SUMIF('DADOS BRUTOS'!$A$3:$A$500,$B26,'DADOS BRUTOS'!AF$3:AF$500)+IF($C26="",0,SUMIF('DADOS BRUTOS'!$A$3:$A$500,$C26,'DADOS BRUTOS'!AF$3:AF$500)))</f>
        <v/>
      </c>
      <c r="DG26" s="56">
        <f>IF(OR(DG$4="",$B26=""),0,SUMIF('DADOS BRUTOS'!$A$3:$A$500,$B26,'DADOS BRUTOS'!AG$3:AG$500)+IF($C26="",0,SUMIF('DADOS BRUTOS'!$A$3:$A$500,$C26,'DADOS BRUTOS'!AG$3:AG$500)))</f>
        <v/>
      </c>
      <c r="DH26" s="56">
        <f>IF(OR(DH$4="",$B26=""),0,SUMIF('DADOS BRUTOS'!$A$3:$A$500,$B26,'DADOS BRUTOS'!AH$3:AH$500)+IF($C26="",0,SUMIF('DADOS BRUTOS'!$A$3:$A$500,$C26,'DADOS BRUTOS'!AH$3:AH$500)))</f>
        <v/>
      </c>
      <c r="DI26" s="56">
        <f>IF(OR(DI$4="",$B26=""),0,SUMIF('DADOS BRUTOS'!$A$3:$A$500,$B26,'DADOS BRUTOS'!AI$3:AI$500)+IF($C26="",0,SUMIF('DADOS BRUTOS'!$A$3:$A$500,$C26,'DADOS BRUTOS'!AI$3:AI$500)))</f>
        <v/>
      </c>
      <c r="DJ26" s="56">
        <f>IF(OR(DJ$4="",$B26=""),0,SUMIF('DADOS BRUTOS'!$A$3:$A$500,$B26,'DADOS BRUTOS'!AJ$3:AJ$500)+IF($C26="",0,SUMIF('DADOS BRUTOS'!$A$3:$A$500,$C26,'DADOS BRUTOS'!AJ$3:AJ$500)))</f>
        <v/>
      </c>
      <c r="DK26" s="56">
        <f>IF(OR(DK$4="",$B26=""),0,SUMIF('DADOS BRUTOS'!$A$3:$A$500,$B26,'DADOS BRUTOS'!AK$3:AK$500)+IF($C26="",0,SUMIF('DADOS BRUTOS'!$A$3:$A$500,$C26,'DADOS BRUTOS'!AK$3:AK$500)))</f>
        <v/>
      </c>
      <c r="DL26" s="56">
        <f>IF(OR(DL$4="",$B26=""),0,SUMIF('DADOS BRUTOS'!$A$3:$A$500,$B26,'DADOS BRUTOS'!AL$3:AL$500)+IF($C26="",0,SUMIF('DADOS BRUTOS'!$A$3:$A$500,$C26,'DADOS BRUTOS'!AL$3:AL$500)))</f>
        <v/>
      </c>
      <c r="DM26" s="56">
        <f>IF(OR(DM$4="",$B26=""),0,SUMIF('DADOS BRUTOS'!$A$3:$A$500,$B26,'DADOS BRUTOS'!AM$3:AM$500)+IF($C26="",0,SUMIF('DADOS BRUTOS'!$A$3:$A$500,$C26,'DADOS BRUTOS'!AM$3:AM$500)))</f>
        <v/>
      </c>
      <c r="DN26" s="56">
        <f>IF(OR(DN$4="",$B26=""),0,SUMIF('DADOS BRUTOS'!$A$3:$A$500,$B26,'DADOS BRUTOS'!AN$3:AN$500)+IF($C26="",0,SUMIF('DADOS BRUTOS'!$A$3:$A$500,$C26,'DADOS BRUTOS'!AN$3:AN$500)))</f>
        <v/>
      </c>
      <c r="DO26" s="56">
        <f>IF(OR(DO$4="",$B26=""),0,SUMIF('DADOS BRUTOS'!$A$3:$A$500,$B26,'DADOS BRUTOS'!AO$3:AO$500)+IF($C26="",0,SUMIF('DADOS BRUTOS'!$A$3:$A$500,$C26,'DADOS BRUTOS'!AO$3:AO$500)))</f>
        <v/>
      </c>
      <c r="DP26" s="56">
        <f>IF(OR(DP$4="",$B26=""),0,SUMIF('DADOS BRUTOS'!$A$3:$A$500,$B26,'DADOS BRUTOS'!AP$3:AP$500)+IF($C26="",0,SUMIF('DADOS BRUTOS'!$A$3:$A$500,$C26,'DADOS BRUTOS'!AP$3:AP$500)))</f>
        <v/>
      </c>
      <c r="DQ26" s="56">
        <f>IF(OR(DQ$4="",$B26=""),0,SUMIF('DADOS BRUTOS'!$A$3:$A$500,$B26,'DADOS BRUTOS'!AQ$3:AQ$500)+IF($C26="",0,SUMIF('DADOS BRUTOS'!$A$3:$A$500,$C26,'DADOS BRUTOS'!AQ$3:AQ$500)))</f>
        <v/>
      </c>
      <c r="DR26" s="56">
        <f>IF(OR(DR$4="",$B26=""),0,SUMIF('DADOS BRUTOS'!$A$3:$A$500,$B26,'DADOS BRUTOS'!AR$3:AR$500)+IF($C26="",0,SUMIF('DADOS BRUTOS'!$A$3:$A$500,$C26,'DADOS BRUTOS'!AR$3:AR$500)))</f>
        <v/>
      </c>
      <c r="DS26" s="56">
        <f>IF(OR(DS$4="",$B26=""),0,SUMIF('DADOS BRUTOS'!$A$3:$A$500,$B26,'DADOS BRUTOS'!AS$3:AS$500)+IF($C26="",0,SUMIF('DADOS BRUTOS'!$A$3:$A$500,$C26,'DADOS BRUTOS'!AS$3:AS$500)))</f>
        <v/>
      </c>
      <c r="DT26" s="56">
        <f>IF(OR(DT$4="",$B26=""),0,SUMIF('DADOS BRUTOS'!$A$3:$A$500,$B26,'DADOS BRUTOS'!AT$3:AT$500)+IF($C26="",0,SUMIF('DADOS BRUTOS'!$A$3:$A$500,$C26,'DADOS BRUTOS'!AT$3:AT$500)))</f>
        <v/>
      </c>
      <c r="DU26" s="56">
        <f>IF(OR(DU$4="",$B26=""),0,SUMIF('DADOS BRUTOS'!$A$3:$A$500,$B26,'DADOS BRUTOS'!AU$3:AU$500)+IF($C26="",0,SUMIF('DADOS BRUTOS'!$A$3:$A$500,$C26,'DADOS BRUTOS'!AU$3:AU$500)))</f>
        <v/>
      </c>
      <c r="DV26" s="56">
        <f>IF(OR(DV$4="",$B26=""),0,SUMIF('DADOS BRUTOS'!$A$3:$A$500,$B26,'DADOS BRUTOS'!AV$3:AV$500)+IF($C26="",0,SUMIF('DADOS BRUTOS'!$A$3:$A$500,$C26,'DADOS BRUTOS'!AV$3:AV$500)))</f>
        <v/>
      </c>
      <c r="DW26" s="56">
        <f>IF(OR(DW$4="",$B26=""),0,SUMIF('DADOS BRUTOS'!$A$3:$A$500,$B26,'DADOS BRUTOS'!AW$3:AW$500)+IF($C26="",0,SUMIF('DADOS BRUTOS'!$A$3:$A$500,$C26,'DADOS BRUTOS'!AW$3:AW$500)))</f>
        <v/>
      </c>
      <c r="DX26" s="56">
        <f>IF(OR(DX$4="",$B26=""),0,SUMIF('DADOS BRUTOS'!$A$3:$A$500,$B26,'DADOS BRUTOS'!AX$3:AX$500)+IF($C26="",0,SUMIF('DADOS BRUTOS'!$A$3:$A$500,$C26,'DADOS BRUTOS'!AX$3:AX$500)))</f>
        <v/>
      </c>
      <c r="DY26" s="56">
        <f>IF(OR(DY$4="",$B26=""),0,SUMIF('DADOS BRUTOS'!$A$3:$A$500,$B26,'DADOS BRUTOS'!AY$3:AY$500)+IF($C26="",0,SUMIF('DADOS BRUTOS'!$A$3:$A$500,$C26,'DADOS BRUTOS'!AY$3:AY$500)))</f>
        <v/>
      </c>
      <c r="DZ26" s="56">
        <f>IF(OR(DZ$4="",$B26=""),0,SUMIF('DADOS BRUTOS'!$A$3:$A$500,$B26,'DADOS BRUTOS'!AZ$3:AZ$500)+IF($C26="",0,SUMIF('DADOS BRUTOS'!$A$3:$A$500,$C26,'DADOS BRUTOS'!AZ$3:AZ$500)))</f>
        <v/>
      </c>
      <c r="EA26" s="56">
        <f>IF(OR(EA$4="",$B26=""),0,SUMIF('DADOS BRUTOS'!$A$3:$A$500,$B26,'DADOS BRUTOS'!BA$3:BA$500)+IF($C26="",0,SUMIF('DADOS BRUTOS'!$A$3:$A$500,$C26,'DADOS BRUTOS'!BA$3:BA$500)))</f>
        <v/>
      </c>
      <c r="EB26" s="56">
        <f>IF(OR(EB$4="",$B26=""),0,SUMIF('DADOS BRUTOS'!$A$3:$A$500,$B26,'DADOS BRUTOS'!BB$3:BB$500)+IF($C26="",0,SUMIF('DADOS BRUTOS'!$A$3:$A$500,$C26,'DADOS BRUTOS'!BB$3:BB$500)))</f>
        <v/>
      </c>
      <c r="EC26" s="56">
        <f>IF(OR(EC$4="",$B26=""),0,SUMIF('DADOS BRUTOS'!$A$3:$A$500,$B26,'DADOS BRUTOS'!BC$3:BC$500)+IF($C26="",0,SUMIF('DADOS BRUTOS'!$A$3:$A$500,$C26,'DADOS BRUTOS'!BC$3:BC$500)))</f>
        <v/>
      </c>
      <c r="ED26" s="56">
        <f>IF(OR(ED$4="",$B26=""),0,SUMIF('DADOS BRUTOS'!$A$3:$A$500,$B26,'DADOS BRUTOS'!BD$3:BD$500)+IF($C26="",0,SUMIF('DADOS BRUTOS'!$A$3:$A$500,$C26,'DADOS BRUTOS'!BD$3:BD$500)))</f>
        <v/>
      </c>
      <c r="EE26" s="56">
        <f>IF(OR(EE$4="",$B26=""),0,SUMIF('DADOS BRUTOS'!$A$3:$A$500,$B26,'DADOS BRUTOS'!BE$3:BE$500)+IF($C26="",0,SUMIF('DADOS BRUTOS'!$A$3:$A$500,$C26,'DADOS BRUTOS'!BE$3:BE$500)))</f>
        <v/>
      </c>
      <c r="EF26" s="56">
        <f>IF(OR(EF$4="",$B26=""),0,SUMIF('DADOS BRUTOS'!$A$3:$A$500,$B26,'DADOS BRUTOS'!BF$3:BF$500)+IF($C26="",0,SUMIF('DADOS BRUTOS'!$A$3:$A$500,$C26,'DADOS BRUTOS'!BF$3:BF$500)))</f>
        <v/>
      </c>
      <c r="EG26" s="56">
        <f>IF(OR(EG$4="",$B26=""),0,SUMIF('DADOS BRUTOS'!$A$3:$A$500,$B26,'DADOS BRUTOS'!BG$3:BG$500)+IF($C26="",0,SUMIF('DADOS BRUTOS'!$A$3:$A$500,$C26,'DADOS BRUTOS'!BG$3:BG$500)))</f>
        <v/>
      </c>
      <c r="EH26" s="56">
        <f>IF(OR(EH$4="",$B26=""),0,SUMIF('DADOS BRUTOS'!$A$3:$A$500,$B26,'DADOS BRUTOS'!BH$3:BH$500)+IF($C26="",0,SUMIF('DADOS BRUTOS'!$A$3:$A$500,$C26,'DADOS BRUTOS'!BH$3:BH$500)))</f>
        <v/>
      </c>
      <c r="EI26" s="56">
        <f>IF(OR(EI$4="",$B26=""),0,SUMIF('DADOS BRUTOS'!$A$3:$A$500,$B26,'DADOS BRUTOS'!BI$3:BI$500)+IF($C26="",0,SUMIF('DADOS BRUTOS'!$A$3:$A$500,$C26,'DADOS BRUTOS'!BI$3:BI$500)))</f>
        <v/>
      </c>
      <c r="EJ26" s="56">
        <f>IF(OR(EJ$4="",$B26=""),0,SUMIF('DADOS BRUTOS'!$A$3:$A$500,$B26,'DADOS BRUTOS'!BJ$3:BJ$500)+IF($C26="",0,SUMIF('DADOS BRUTOS'!$A$3:$A$500,$C26,'DADOS BRUTOS'!BJ$3:BJ$500)))</f>
        <v/>
      </c>
      <c r="EK26" s="56">
        <f>IF(OR(EK$4="",$B26=""),0,SUMIF('DADOS BRUTOS'!$A$3:$A$500,$B26,'DADOS BRUTOS'!BK$3:BK$500)+IF($C26="",0,SUMIF('DADOS BRUTOS'!$A$3:$A$500,$C26,'DADOS BRUTOS'!BK$3:BK$500)))</f>
        <v/>
      </c>
      <c r="EL26" s="56">
        <f>IF(OR(EL$4="",$B26=""),0,SUMIF('DADOS BRUTOS'!$A$3:$A$500,$B26,'DADOS BRUTOS'!BL$3:BL$500)+IF($C26="",0,SUMIF('DADOS BRUTOS'!$A$3:$A$500,$C26,'DADOS BRUTOS'!BL$3:BL$500)))</f>
        <v/>
      </c>
      <c r="EM26" s="56">
        <f>IF(OR(EM$4="",$B26=""),0,SUMIF('DADOS BRUTOS'!$A$3:$A$500,$B26,'DADOS BRUTOS'!BM$3:BM$500)+IF($C26="",0,SUMIF('DADOS BRUTOS'!$A$3:$A$500,$C26,'DADOS BRUTOS'!BM$3:BM$500)))</f>
        <v/>
      </c>
      <c r="EN26" s="56">
        <f>IF(OR(EN$4="",$B26=""),0,SUMIF('DADOS BRUTOS'!$A$3:$A$500,$B26,'DADOS BRUTOS'!BN$3:BN$500)+IF($C26="",0,SUMIF('DADOS BRUTOS'!$A$3:$A$500,$C26,'DADOS BRUTOS'!BN$3:BN$500)))</f>
        <v/>
      </c>
      <c r="EO26" s="56">
        <f>IF(OR(EO$4="",$B26=""),0,SUMIF('DADOS BRUTOS'!$A$3:$A$500,$B26,'DADOS BRUTOS'!BO$3:BO$500)+IF($C26="",0,SUMIF('DADOS BRUTOS'!$A$3:$A$500,$C26,'DADOS BRUTOS'!BO$3:BO$500)))</f>
        <v/>
      </c>
      <c r="EP26" s="56">
        <f>IF(OR(EP$4="",$B26=""),0,SUMIF('DADOS BRUTOS'!$A$3:$A$500,$B26,'DADOS BRUTOS'!BP$3:BP$500)+IF($C26="",0,SUMIF('DADOS BRUTOS'!$A$3:$A$500,$C26,'DADOS BRUTOS'!BP$3:BP$500)))</f>
        <v/>
      </c>
      <c r="EQ26" s="56">
        <f>IF(OR(EQ$4="",$B26=""),0,SUMIF('DADOS BRUTOS'!$A$3:$A$500,$B26,'DADOS BRUTOS'!BQ$3:BQ$500)+IF($C26="",0,SUMIF('DADOS BRUTOS'!$A$3:$A$500,$C26,'DADOS BRUTOS'!BQ$3:BQ$500)))</f>
        <v/>
      </c>
      <c r="ER26" s="56">
        <f>IF(OR(ER$4="",$B26=""),0,SUMIF('DADOS BRUTOS'!$A$3:$A$500,$B26,'DADOS BRUTOS'!BR$3:BR$500)+IF($C26="",0,SUMIF('DADOS BRUTOS'!$A$3:$A$500,$C26,'DADOS BRUTOS'!BR$3:BR$500)))</f>
        <v/>
      </c>
      <c r="ES26" s="56">
        <f>IF(OR(ES$4="",$B26=""),0,SUMIF('DADOS BRUTOS'!$A$3:$A$500,$B26,'DADOS BRUTOS'!BS$3:BS$500)+IF($C26="",0,SUMIF('DADOS BRUTOS'!$A$3:$A$500,$C26,'DADOS BRUTOS'!BS$3:BS$500)))</f>
        <v/>
      </c>
      <c r="ET26" s="56">
        <f>IF(OR(ET$4="",$B26=""),0,SUMIF('DADOS BRUTOS'!$A$3:$A$500,$B26,'DADOS BRUTOS'!BT$3:BT$500)+IF($C26="",0,SUMIF('DADOS BRUTOS'!$A$3:$A$500,$C26,'DADOS BRUTOS'!BT$3:BT$500)))</f>
        <v/>
      </c>
      <c r="EU26" s="56">
        <f>IF(OR(EU$4="",$B26=""),0,SUMIF('DADOS BRUTOS'!$A$3:$A$500,$B26,'DADOS BRUTOS'!BU$3:BU$500)+IF($C26="",0,SUMIF('DADOS BRUTOS'!$A$3:$A$500,$C26,'DADOS BRUTOS'!BU$3:BU$500)))</f>
        <v/>
      </c>
      <c r="EV26" s="56">
        <f>IF(OR(EV$4="",$B26=""),0,SUMIF('DADOS BRUTOS'!$A$3:$A$500,$B26,'DADOS BRUTOS'!BV$3:BV$500)+IF($C26="",0,SUMIF('DADOS BRUTOS'!$A$3:$A$500,$C26,'DADOS BRUTOS'!BV$3:BV$500)))</f>
        <v/>
      </c>
      <c r="EW26" s="56">
        <f>IF(OR(EW$4="",$B26=""),0,SUMIF('DADOS BRUTOS'!$A$3:$A$500,$B26,'DADOS BRUTOS'!BW$3:BW$500)+IF($C26="",0,SUMIF('DADOS BRUTOS'!$A$3:$A$500,$C26,'DADOS BRUTOS'!BW$3:BW$500)))</f>
        <v/>
      </c>
      <c r="EX26" s="56">
        <f>IF(OR(EX$4="",$B26=""),0,SUMIF('DADOS BRUTOS'!$A$3:$A$500,$B26,'DADOS BRUTOS'!BX$3:BX$500)+IF($C26="",0,SUMIF('DADOS BRUTOS'!$A$3:$A$500,$C26,'DADOS BRUTOS'!BX$3:BX$500)))</f>
        <v/>
      </c>
      <c r="EY26" s="56">
        <f>IF(OR(EY$4="",$B26=""),0,SUMIF('DADOS BRUTOS'!$A$3:$A$500,$B26,'DADOS BRUTOS'!BY$3:BY$500)+IF($C26="",0,SUMIF('DADOS BRUTOS'!$A$3:$A$500,$C26,'DADOS BRUTOS'!BY$3:BY$500)))</f>
        <v/>
      </c>
      <c r="EZ26" s="56">
        <f>IF(OR(EZ$4="",$B26=""),0,SUMIF('DADOS BRUTOS'!$A$3:$A$500,$B26,'DADOS BRUTOS'!BZ$3:BZ$500)+IF($C26="",0,SUMIF('DADOS BRUTOS'!$A$3:$A$500,$C26,'DADOS BRUTOS'!BZ$3:BZ$500)))</f>
        <v/>
      </c>
      <c r="FA26" s="56">
        <f>IF(OR(FA$4="",$B26=""),0,SUMIF('DADOS BRUTOS'!$A$3:$A$500,$B26,'DADOS BRUTOS'!CA$3:CA$500)+IF($C26="",0,SUMIF('DADOS BRUTOS'!$A$3:$A$500,$C26,'DADOS BRUTOS'!CA$3:CA$500)))</f>
        <v/>
      </c>
      <c r="FB26" s="56">
        <f>IF(OR(FB$4="",$B26=""),0,SUMIF('DADOS BRUTOS'!$A$3:$A$500,$B26,'DADOS BRUTOS'!CB$3:CB$500)+IF($C26="",0,SUMIF('DADOS BRUTOS'!$A$3:$A$500,$C26,'DADOS BRUTOS'!CB$3:CB$500)))</f>
        <v/>
      </c>
      <c r="FC26" s="56">
        <f>IF(OR(FC$4="",$B26=""),0,SUMIF('DADOS BRUTOS'!$A$3:$A$500,$B26,'DADOS BRUTOS'!CC$3:CC$500)+IF($C26="",0,SUMIF('DADOS BRUTOS'!$A$3:$A$500,$C26,'DADOS BRUTOS'!CC$3:CC$500)))</f>
        <v/>
      </c>
      <c r="FD26" s="56">
        <f>IF(OR(FD$4="",$B26=""),0,SUMIF('DADOS BRUTOS'!$A$3:$A$500,$B26,'DADOS BRUTOS'!CD$3:CD$500)+IF($C26="",0,SUMIF('DADOS BRUTOS'!$A$3:$A$500,$C26,'DADOS BRUTOS'!CD$3:CD$500)))</f>
        <v/>
      </c>
      <c r="FE26" s="56">
        <f>IF(OR(FE$4="",$B26=""),0,SUMIF('DADOS BRUTOS'!$A$3:$A$500,$B26,'DADOS BRUTOS'!CE$3:CE$500)+IF($C26="",0,SUMIF('DADOS BRUTOS'!$A$3:$A$500,$C26,'DADOS BRUTOS'!CE$3:CE$500)))</f>
        <v/>
      </c>
      <c r="FF26" s="56">
        <f>IF(OR(FF$4="",$B26=""),0,SUMIF('DADOS BRUTOS'!$A$3:$A$500,$B26,'DADOS BRUTOS'!CF$3:CF$500)+IF($C26="",0,SUMIF('DADOS BRUTOS'!$A$3:$A$500,$C26,'DADOS BRUTOS'!CF$3:CF$500)))</f>
        <v/>
      </c>
      <c r="FG26" s="56">
        <f>IF(OR(FG$4="",$B26=""),0,SUMIF('DADOS BRUTOS'!$A$3:$A$500,$B26,'DADOS BRUTOS'!CG$3:CG$500)+IF($C26="",0,SUMIF('DADOS BRUTOS'!$A$3:$A$500,$C26,'DADOS BRUTOS'!CG$3:CG$500)))</f>
        <v/>
      </c>
      <c r="FH26" s="56">
        <f>IF(OR(FH$4="",$B26=""),0,SUMIF('DADOS BRUTOS'!$A$3:$A$500,$B26,'DADOS BRUTOS'!CH$3:CH$500)+IF($C26="",0,SUMIF('DADOS BRUTOS'!$A$3:$A$500,$C26,'DADOS BRUTOS'!CH$3:CH$500)))</f>
        <v/>
      </c>
      <c r="FI26" s="56">
        <f>IF(OR(FI$4="",$B26=""),0,SUMIF('DADOS BRUTOS'!$A$3:$A$500,$B26,'DADOS BRUTOS'!CI$3:CI$500)+IF($C26="",0,SUMIF('DADOS BRUTOS'!$A$3:$A$500,$C26,'DADOS BRUTOS'!CI$3:CI$500)))</f>
        <v/>
      </c>
      <c r="FJ26" s="56">
        <f>IF(OR(FJ$4="",$B26=""),0,SUMIF('DADOS BRUTOS'!$A$3:$A$500,$B26,'DADOS BRUTOS'!CJ$3:CJ$500)+IF($C26="",0,SUMIF('DADOS BRUTOS'!$A$3:$A$500,$C26,'DADOS BRUTOS'!CJ$3:CJ$500)))</f>
        <v/>
      </c>
      <c r="FK26" s="56">
        <f>IF(OR(FK$4="",$B26=""),0,SUMIF('DADOS BRUTOS'!$A$3:$A$500,$B26,'DADOS BRUTOS'!CK$3:CK$500)+IF($C26="",0,SUMIF('DADOS BRUTOS'!$A$3:$A$500,$C26,'DADOS BRUTOS'!CK$3:CK$500)))</f>
        <v/>
      </c>
      <c r="FL26" s="56">
        <f>IF(OR(FL$4="",$B26=""),0,SUMIF('DADOS BRUTOS'!$A$3:$A$500,$B26,'DADOS BRUTOS'!CL$3:CL$500)+IF($C26="",0,SUMIF('DADOS BRUTOS'!$A$3:$A$500,$C26,'DADOS BRUTOS'!CL$3:CL$500)))</f>
        <v/>
      </c>
      <c r="FM26" s="56">
        <f>IF(OR(FM$4="",$B26=""),0,SUMIF('DADOS BRUTOS'!$A$3:$A$500,$B26,'DADOS BRUTOS'!CM$3:CM$500)+IF($C26="",0,SUMIF('DADOS BRUTOS'!$A$3:$A$500,$C26,'DADOS BRUTOS'!CM$3:CM$500)))</f>
        <v/>
      </c>
      <c r="FN26" s="56">
        <f>IF(OR(FN$4="",$B26=""),0,SUMIF('DADOS BRUTOS'!$A$3:$A$500,$B26,'DADOS BRUTOS'!CN$3:CN$500)+IF($C26="",0,SUMIF('DADOS BRUTOS'!$A$3:$A$500,$C26,'DADOS BRUTOS'!CN$3:CN$500)))</f>
        <v/>
      </c>
      <c r="FO26" s="56">
        <f>IF(OR(FO$4="",$B26=""),0,SUMIF('DADOS BRUTOS'!$A$3:$A$500,$B26,'DADOS BRUTOS'!CO$3:CO$500)+IF($C26="",0,SUMIF('DADOS BRUTOS'!$A$3:$A$500,$C26,'DADOS BRUTOS'!CO$3:CO$500)))</f>
        <v/>
      </c>
      <c r="FP26" s="56">
        <f>IF(OR(FP$4="",$B26=""),0,SUMIF('DADOS BRUTOS'!$A$3:$A$500,$B26,'DADOS BRUTOS'!CP$3:CP$500)+IF($C26="",0,SUMIF('DADOS BRUTOS'!$A$3:$A$500,$C26,'DADOS BRUTOS'!CP$3:CP$500)))</f>
        <v/>
      </c>
      <c r="FQ26" s="56">
        <f>IF(OR(FQ$4="",$B26=""),0,SUMIF('DADOS BRUTOS'!$A$3:$A$500,$B26,'DADOS BRUTOS'!CQ$3:CQ$500)+IF($C26="",0,SUMIF('DADOS BRUTOS'!$A$3:$A$500,$C26,'DADOS BRUTOS'!CQ$3:CQ$500)))</f>
        <v/>
      </c>
      <c r="FR26" s="56">
        <f>IF(OR(FR$4="",$B26=""),0,SUMIF('DADOS BRUTOS'!$A$3:$A$500,$B26,'DADOS BRUTOS'!CR$3:CR$500)+IF($C26="",0,SUMIF('DADOS BRUTOS'!$A$3:$A$500,$C26,'DADOS BRUTOS'!CR$3:CR$500)))</f>
        <v/>
      </c>
      <c r="FS26" s="56">
        <f>IF(OR(FS$4="",$B26=""),0,SUMIF('DADOS BRUTOS'!$A$3:$A$500,$B26,'DADOS BRUTOS'!CS$3:CS$500)+IF($C26="",0,SUMIF('DADOS BRUTOS'!$A$3:$A$500,$C26,'DADOS BRUTOS'!CS$3:CS$500)))</f>
        <v/>
      </c>
      <c r="FT26" s="56">
        <f>IF(OR(FT$4="",$B26=""),0,SUMIF('DADOS BRUTOS'!$A$3:$A$500,$B26,'DADOS BRUTOS'!CT$3:CT$500)+IF($C26="",0,SUMIF('DADOS BRUTOS'!$A$3:$A$500,$C26,'DADOS BRUTOS'!CT$3:CT$500)))</f>
        <v/>
      </c>
      <c r="FU26" s="56">
        <f>IF(OR(FU$4="",$B26=""),0,SUMIF('DADOS BRUTOS'!$A$3:$A$500,$B26,'DADOS BRUTOS'!CU$3:CU$500)+IF($C26="",0,SUMIF('DADOS BRUTOS'!$A$3:$A$500,$C26,'DADOS BRUTOS'!CU$3:CU$500)))</f>
        <v/>
      </c>
      <c r="FV26" s="56">
        <f>IF(OR(FV$4="",$B26=""),0,SUMIF('DADOS BRUTOS'!$A$3:$A$500,$B26,'DADOS BRUTOS'!CV$3:CV$500)+IF($C26="",0,SUMIF('DADOS BRUTOS'!$A$3:$A$500,$C26,'DADOS BRUTOS'!CV$3:CV$500)))</f>
        <v/>
      </c>
      <c r="FW26" s="56">
        <f>IF(OR(FW$4="",$B26=""),0,SUMIF('DADOS BRUTOS'!$A$3:$A$500,$B26,'DADOS BRUTOS'!CW$3:CW$500)+IF($C26="",0,SUMIF('DADOS BRUTOS'!$A$3:$A$500,$C26,'DADOS BRUTOS'!CW$3:CW$500)))</f>
        <v/>
      </c>
      <c r="FX26" s="56">
        <f>IF(OR(FX$4="",$B26=""),0,SUMIF('DADOS BRUTOS'!$A$3:$A$500,$B26,'DADOS BRUTOS'!CX$3:CX$500)+IF($C26="",0,SUMIF('DADOS BRUTOS'!$A$3:$A$500,$C26,'DADOS BRUTOS'!CX$3:CX$500)))</f>
        <v/>
      </c>
      <c r="FY26" s="56">
        <f>IF(OR(FY$4="",$B26=""),0,SUMIF('DADOS BRUTOS'!$A$3:$A$500,$B26,'DADOS BRUTOS'!CY$3:CY$500)+IF($C26="",0,SUMIF('DADOS BRUTOS'!$A$3:$A$500,$C26,'DADOS BRUTOS'!CY$3:CY$500)))</f>
        <v/>
      </c>
      <c r="FZ26" s="56">
        <f>IF(OR(FZ$4="",$B26=""),0,SUMIF('DADOS BRUTOS'!$A$3:$A$500,$B26,'DADOS BRUTOS'!CZ$3:CZ$500)+IF($C26="",0,SUMIF('DADOS BRUTOS'!$A$3:$A$500,$C26,'DADOS BRUTOS'!CZ$3:CZ$500)))</f>
        <v/>
      </c>
      <c r="GA26" s="56">
        <f>IF(OR(GA$4="",$B26=""),0,SUMIF('DADOS BRUTOS'!$A$3:$A$500,$B26,'DADOS BRUTOS'!DA$3:DA$500)+IF($C26="",0,SUMIF('DADOS BRUTOS'!$A$3:$A$500,$C26,'DADOS BRUTOS'!DA$3:DA$500)))</f>
        <v/>
      </c>
      <c r="GB26" s="56">
        <f>IF(OR(GB$4="",$B26=""),0,SUMIF('DADOS BRUTOS'!$A$3:$A$500,$B26,'DADOS BRUTOS'!DB$3:DB$500)+IF($C26="",0,SUMIF('DADOS BRUTOS'!$A$3:$A$500,$C26,'DADOS BRUTOS'!DB$3:DB$500)))</f>
        <v/>
      </c>
      <c r="GC26" s="56">
        <f>IF(OR(GC$4="",$B26=""),0,SUMIF('DADOS BRUTOS'!$A$3:$A$500,$B26,'DADOS BRUTOS'!DC$3:DC$500)+IF($C26="",0,SUMIF('DADOS BRUTOS'!$A$3:$A$500,$C26,'DADOS BRUTOS'!DC$3:DC$500)))</f>
        <v/>
      </c>
      <c r="GD26" s="56">
        <f>IF(OR(GD$4="",$B26=""),0,SUMIF('DADOS BRUTOS'!$A$3:$A$500,$B26,'DADOS BRUTOS'!DD$3:DD$500)+IF($C26="",0,SUMIF('DADOS BRUTOS'!$A$3:$A$500,$C26,'DADOS BRUTOS'!DD$3:DD$500)))</f>
        <v/>
      </c>
      <c r="GE26" s="56">
        <f>IF(OR(GE$4="",$B26=""),0,SUMIF('DADOS BRUTOS'!$A$3:$A$500,$B26,'DADOS BRUTOS'!DE$3:DE$500)+IF($C26="",0,SUMIF('DADOS BRUTOS'!$A$3:$A$500,$C26,'DADOS BRUTOS'!DE$3:DE$500)))</f>
        <v/>
      </c>
      <c r="GF26" s="56">
        <f>IF(OR(GF$4="",$B26=""),0,SUMIF('DADOS BRUTOS'!$A$3:$A$500,$B26,'DADOS BRUTOS'!DF$3:DF$500)+IF($C26="",0,SUMIF('DADOS BRUTOS'!$A$3:$A$500,$C26,'DADOS BRUTOS'!DF$3:DF$500)))</f>
        <v/>
      </c>
      <c r="GG26" s="56">
        <f>IF(OR(GG$4="",$B26=""),0,SUMIF('DADOS BRUTOS'!$A$3:$A$500,$B26,'DADOS BRUTOS'!DG$3:DG$500)+IF($C26="",0,SUMIF('DADOS BRUTOS'!$A$3:$A$500,$C26,'DADOS BRUTOS'!DG$3:DG$500)))</f>
        <v/>
      </c>
      <c r="GH26" s="56">
        <f>IF(OR(GH$4="",$B26=""),0,SUMIF('DADOS BRUTOS'!$A$3:$A$500,$B26,'DADOS BRUTOS'!DH$3:DH$500)+IF($C26="",0,SUMIF('DADOS BRUTOS'!$A$3:$A$500,$C26,'DADOS BRUTOS'!DH$3:DH$500)))</f>
        <v/>
      </c>
      <c r="GI26" s="56">
        <f>IF(OR(GI$4="",$B26=""),0,SUMIF('DADOS BRUTOS'!$A$3:$A$500,$B26,'DADOS BRUTOS'!DI$3:DI$500)+IF($C26="",0,SUMIF('DADOS BRUTOS'!$A$3:$A$500,$C26,'DADOS BRUTOS'!DI$3:DI$500)))</f>
        <v/>
      </c>
      <c r="GJ26" s="56">
        <f>IF(OR(GJ$4="",$B26=""),0,SUMIF('DADOS BRUTOS'!$A$3:$A$500,$B26,'DADOS BRUTOS'!DJ$3:DJ$500)+IF($C26="",0,SUMIF('DADOS BRUTOS'!$A$3:$A$500,$C26,'DADOS BRUTOS'!DJ$3:DJ$500)))</f>
        <v/>
      </c>
      <c r="GK26" s="56">
        <f>IF(OR(GK$4="",$B26=""),0,SUMIF('DADOS BRUTOS'!$A$3:$A$500,$B26,'DADOS BRUTOS'!DK$3:DK$500)+IF($C26="",0,SUMIF('DADOS BRUTOS'!$A$3:$A$500,$C26,'DADOS BRUTOS'!DK$3:DK$500)))</f>
        <v/>
      </c>
      <c r="GL26" s="56">
        <f>IF(OR(GL$4="",$B26=""),0,SUMIF('DADOS BRUTOS'!$A$3:$A$500,$B26,'DADOS BRUTOS'!DL$3:DL$500)+IF($C26="",0,SUMIF('DADOS BRUTOS'!$A$3:$A$500,$C26,'DADOS BRUTOS'!DL$3:DL$500)))</f>
        <v/>
      </c>
      <c r="GM26" s="56">
        <f>IF(OR(GM$4="",$B26=""),0,SUMIF('DADOS BRUTOS'!$A$3:$A$500,$B26,'DADOS BRUTOS'!DM$3:DM$500)+IF($C26="",0,SUMIF('DADOS BRUTOS'!$A$3:$A$500,$C26,'DADOS BRUTOS'!DM$3:DM$500)))</f>
        <v/>
      </c>
      <c r="GN26" s="56">
        <f>IF(OR(GN$4="",$B26=""),0,SUMIF('DADOS BRUTOS'!$A$3:$A$500,$B26,'DADOS BRUTOS'!DN$3:DN$500)+IF($C26="",0,SUMIF('DADOS BRUTOS'!$A$3:$A$500,$C26,'DADOS BRUTOS'!DN$3:DN$500)))</f>
        <v/>
      </c>
      <c r="GO26" s="56">
        <f>IF(OR(GO$4="",$B26=""),0,SUMIF('DADOS BRUTOS'!$A$3:$A$500,$B26,'DADOS BRUTOS'!DO$3:DO$500)+IF($C26="",0,SUMIF('DADOS BRUTOS'!$A$3:$A$500,$C26,'DADOS BRUTOS'!DO$3:DO$500)))</f>
        <v/>
      </c>
      <c r="GP26" s="56">
        <f>IF(OR(GP$4="",$B26=""),0,SUMIF('DADOS BRUTOS'!$A$3:$A$500,$B26,'DADOS BRUTOS'!DP$3:DP$500)+IF($C26="",0,SUMIF('DADOS BRUTOS'!$A$3:$A$500,$C26,'DADOS BRUTOS'!DP$3:DP$500)))</f>
        <v/>
      </c>
      <c r="GQ26" s="56">
        <f>IF(OR(GQ$4="",$B26=""),0,SUMIF('DADOS BRUTOS'!$A$3:$A$500,$B26,'DADOS BRUTOS'!DQ$3:DQ$500)+IF($C26="",0,SUMIF('DADOS BRUTOS'!$A$3:$A$500,$C26,'DADOS BRUTOS'!DQ$3:DQ$500)))</f>
        <v/>
      </c>
      <c r="GR26" s="56">
        <f>IF(OR(GR$4="",$B26=""),0,SUMIF('DADOS BRUTOS'!$A$3:$A$500,$B26,'DADOS BRUTOS'!DR$3:DR$500)+IF($C26="",0,SUMIF('DADOS BRUTOS'!$A$3:$A$500,$C26,'DADOS BRUTOS'!DR$3:DR$500)))</f>
        <v/>
      </c>
      <c r="GS26" s="56">
        <f>IF(OR(GS$4="",$B26=""),0,SUMIF('DADOS BRUTOS'!$A$3:$A$500,$B26,'DADOS BRUTOS'!DS$3:DS$500)+IF($C26="",0,SUMIF('DADOS BRUTOS'!$A$3:$A$500,$C26,'DADOS BRUTOS'!DS$3:DS$500)))</f>
        <v/>
      </c>
      <c r="GT26" s="56">
        <f>IF(OR(GT$4="",$B26=""),0,SUMIF('DADOS BRUTOS'!$A$3:$A$500,$B26,'DADOS BRUTOS'!DT$3:DT$500)+IF($C26="",0,SUMIF('DADOS BRUTOS'!$A$3:$A$500,$C26,'DADOS BRUTOS'!DT$3:DT$500)))</f>
        <v/>
      </c>
      <c r="GU26" s="56">
        <f>IF(OR(GU$4="",$B26=""),0,SUMIF('DADOS BRUTOS'!$A$3:$A$500,$B26,'DADOS BRUTOS'!DU$3:DU$500)+IF($C26="",0,SUMIF('DADOS BRUTOS'!$A$3:$A$500,$C26,'DADOS BRUTOS'!DU$3:DU$500)))</f>
        <v/>
      </c>
      <c r="GV26" s="56">
        <f>IF(OR(GV$4="",$B26=""),0,SUMIF('DADOS BRUTOS'!$A$3:$A$500,$B26,'DADOS BRUTOS'!DV$3:DV$500)+IF($C26="",0,SUMIF('DADOS BRUTOS'!$A$3:$A$500,$C26,'DADOS BRUTOS'!DV$3:DV$500)))</f>
        <v/>
      </c>
      <c r="GW26" s="56">
        <f>IF(OR(GW$4="",$B26=""),0,SUMIF('DADOS BRUTOS'!$A$3:$A$500,$B26,'DADOS BRUTOS'!DW$3:DW$500)+IF($C26="",0,SUMIF('DADOS BRUTOS'!$A$3:$A$500,$C26,'DADOS BRUTOS'!DW$3:DW$500)))</f>
        <v/>
      </c>
      <c r="GX26" s="56">
        <f>IF(OR(GX$4="",$B26=""),0,SUMIF('DADOS BRUTOS'!$A$3:$A$500,$B26,'DADOS BRUTOS'!DX$3:DX$500)+IF($C26="",0,SUMIF('DADOS BRUTOS'!$A$3:$A$500,$C26,'DADOS BRUTOS'!DX$3:DX$500)))</f>
        <v/>
      </c>
      <c r="GY26" s="56">
        <f>IF(OR(GY$4="",$B26=""),0,SUMIF('DADOS BRUTOS'!$A$3:$A$500,$B26,'DADOS BRUTOS'!DY$3:DY$500)+IF($C26="",0,SUMIF('DADOS BRUTOS'!$A$3:$A$500,$C26,'DADOS BRUTOS'!DY$3:DY$500)))</f>
        <v/>
      </c>
      <c r="GZ26" s="56">
        <f>IF(OR(GZ$4="",$B26=""),0,SUMIF('DADOS BRUTOS'!$A$3:$A$500,$B26,'DADOS BRUTOS'!DZ$3:DZ$500)+IF($C26="",0,SUMIF('DADOS BRUTOS'!$A$3:$A$500,$C26,'DADOS BRUTOS'!DZ$3:DZ$500)))</f>
        <v/>
      </c>
      <c r="HA26" s="56">
        <f>IF(OR(HA$4="",$B26=""),0,SUMIF('DADOS BRUTOS'!$A$3:$A$500,$B26,'DADOS BRUTOS'!EA$3:EA$500)+IF($C26="",0,SUMIF('DADOS BRUTOS'!$A$3:$A$500,$C26,'DADOS BRUTOS'!EA$3:EA$500)))</f>
        <v/>
      </c>
      <c r="HB26" s="56">
        <f>IF(OR(HB$4="",$B26=""),0,SUMIF('DADOS BRUTOS'!$A$3:$A$500,$B26,'DADOS BRUTOS'!EB$3:EB$500)+IF($C26="",0,SUMIF('DADOS BRUTOS'!$A$3:$A$500,$C26,'DADOS BRUTOS'!EB$3:EB$500)))</f>
        <v/>
      </c>
      <c r="HC26" s="56">
        <f>IF(OR(HC$4="",$B26=""),0,SUMIF('DADOS BRUTOS'!$A$3:$A$500,$B26,'DADOS BRUTOS'!EC$3:EC$500)+IF($C26="",0,SUMIF('DADOS BRUTOS'!$A$3:$A$500,$C26,'DADOS BRUTOS'!EC$3:EC$500)))</f>
        <v/>
      </c>
      <c r="HD26" s="56">
        <f>IF(OR(HD$4="",$B26=""),0,SUMIF('DADOS BRUTOS'!$A$3:$A$500,$B26,'DADOS BRUTOS'!ED$3:ED$500)+IF($C26="",0,SUMIF('DADOS BRUTOS'!$A$3:$A$500,$C26,'DADOS BRUTOS'!ED$3:ED$500)))</f>
        <v/>
      </c>
      <c r="HE26" s="56">
        <f>IF(OR(HE$4="",$B26=""),0,SUMIF('DADOS BRUTOS'!$A$3:$A$500,$B26,'DADOS BRUTOS'!EE$3:EE$500)+IF($C26="",0,SUMIF('DADOS BRUTOS'!$A$3:$A$500,$C26,'DADOS BRUTOS'!EE$3:EE$500)))</f>
        <v/>
      </c>
      <c r="HF26" s="56">
        <f>IF(OR(HF$4="",$B26=""),0,SUMIF('DADOS BRUTOS'!$A$3:$A$500,$B26,'DADOS BRUTOS'!EF$3:EF$500)+IF($C26="",0,SUMIF('DADOS BRUTOS'!$A$3:$A$500,$C26,'DADOS BRUTOS'!EF$3:EF$500)))</f>
        <v/>
      </c>
      <c r="HG26" s="56">
        <f>IF(OR(HG$4="",$B26=""),0,SUMIF('DADOS BRUTOS'!$A$3:$A$500,$B26,'DADOS BRUTOS'!EG$3:EG$500)+IF($C26="",0,SUMIF('DADOS BRUTOS'!$A$3:$A$500,$C26,'DADOS BRUTOS'!EG$3:EG$500)))</f>
        <v/>
      </c>
      <c r="HH26" s="56">
        <f>IF(OR(HH$4="",$B26=""),0,SUMIF('DADOS BRUTOS'!$A$3:$A$500,$B26,'DADOS BRUTOS'!EH$3:EH$500)+IF($C26="",0,SUMIF('DADOS BRUTOS'!$A$3:$A$500,$C26,'DADOS BRUTOS'!EH$3:EH$500)))</f>
        <v/>
      </c>
      <c r="HI26" s="56">
        <f>IF(OR(HI$4="",$B26=""),0,SUMIF('DADOS BRUTOS'!$A$3:$A$500,$B26,'DADOS BRUTOS'!EI$3:EI$500)+IF($C26="",0,SUMIF('DADOS BRUTOS'!$A$3:$A$500,$C26,'DADOS BRUTOS'!EI$3:EI$500)))</f>
        <v/>
      </c>
      <c r="HJ26" s="56">
        <f>IF(OR(HJ$4="",$B26=""),0,SUMIF('DADOS BRUTOS'!$A$3:$A$500,$B26,'DADOS BRUTOS'!EJ$3:EJ$500)+IF($C26="",0,SUMIF('DADOS BRUTOS'!$A$3:$A$500,$C26,'DADOS BRUTOS'!EJ$3:EJ$500)))</f>
        <v/>
      </c>
      <c r="HK26" s="56">
        <f>IF(OR(HK$4="",$B26=""),0,SUMIF('DADOS BRUTOS'!$A$3:$A$500,$B26,'DADOS BRUTOS'!EK$3:EK$500)+IF($C26="",0,SUMIF('DADOS BRUTOS'!$A$3:$A$500,$C26,'DADOS BRUTOS'!EK$3:EK$500)))</f>
        <v/>
      </c>
      <c r="HL26" s="56">
        <f>IF(OR(HL$4="",$B26=""),0,SUMIF('DADOS BRUTOS'!$A$3:$A$500,$B26,'DADOS BRUTOS'!EL$3:EL$500)+IF($C26="",0,SUMIF('DADOS BRUTOS'!$A$3:$A$500,$C26,'DADOS BRUTOS'!EL$3:EL$500)))</f>
        <v/>
      </c>
      <c r="HM26" s="56">
        <f>IF(OR(HM$4="",$B26=""),0,SUMIF('DADOS BRUTOS'!$A$3:$A$500,$B26,'DADOS BRUTOS'!EM$3:EM$500)+IF($C26="",0,SUMIF('DADOS BRUTOS'!$A$3:$A$500,$C26,'DADOS BRUTOS'!EM$3:EM$500)))</f>
        <v/>
      </c>
      <c r="HN26" s="56">
        <f>IF(OR(HN$4="",$B26=""),0,SUMIF('DADOS BRUTOS'!$A$3:$A$500,$B26,'DADOS BRUTOS'!EN$3:EN$500)+IF($C26="",0,SUMIF('DADOS BRUTOS'!$A$3:$A$500,$C26,'DADOS BRUTOS'!EN$3:EN$500)))</f>
        <v/>
      </c>
      <c r="HO26" s="56">
        <f>IF(OR(HO$4="",$B26=""),0,SUMIF('DADOS BRUTOS'!$A$3:$A$500,$B26,'DADOS BRUTOS'!EO$3:EO$500)+IF($C26="",0,SUMIF('DADOS BRUTOS'!$A$3:$A$500,$C26,'DADOS BRUTOS'!EO$3:EO$500)))</f>
        <v/>
      </c>
      <c r="HP26" s="56">
        <f>IF(OR(HP$4="",$B26=""),0,SUMIF('DADOS BRUTOS'!$A$3:$A$500,$B26,'DADOS BRUTOS'!EP$3:EP$500)+IF($C26="",0,SUMIF('DADOS BRUTOS'!$A$3:$A$500,$C26,'DADOS BRUTOS'!EP$3:EP$500)))</f>
        <v/>
      </c>
      <c r="HQ26" s="56">
        <f>IF(OR(HQ$4="",$B26=""),0,SUMIF('DADOS BRUTOS'!$A$3:$A$500,$B26,'DADOS BRUTOS'!EQ$3:EQ$500)+IF($C26="",0,SUMIF('DADOS BRUTOS'!$A$3:$A$500,$C26,'DADOS BRUTOS'!EQ$3:EQ$500)))</f>
        <v/>
      </c>
      <c r="HR26" s="56">
        <f>IF(OR(HR$4="",$B26=""),0,SUMIF('DADOS BRUTOS'!$A$3:$A$500,$B26,'DADOS BRUTOS'!ER$3:ER$500)+IF($C26="",0,SUMIF('DADOS BRUTOS'!$A$3:$A$500,$C26,'DADOS BRUTOS'!ER$3:ER$500)))</f>
        <v/>
      </c>
      <c r="HS26" s="56">
        <f>IF(OR(HS$4="",$B26=""),0,SUMIF('DADOS BRUTOS'!$A$3:$A$500,$B26,'DADOS BRUTOS'!ES$3:ES$500)+IF($C26="",0,SUMIF('DADOS BRUTOS'!$A$3:$A$500,$C26,'DADOS BRUTOS'!ES$3:ES$500)))</f>
        <v/>
      </c>
      <c r="HT26" s="56">
        <f>IF(OR(HT$4="",$B26=""),0,SUMIF('DADOS BRUTOS'!$A$3:$A$500,$B26,'DADOS BRUTOS'!ET$3:ET$500)+IF($C26="",0,SUMIF('DADOS BRUTOS'!$A$3:$A$500,$C26,'DADOS BRUTOS'!ET$3:ET$500)))</f>
        <v/>
      </c>
      <c r="HU26" s="56">
        <f>IF(OR(HU$4="",$B26=""),0,SUMIF('DADOS BRUTOS'!$A$3:$A$500,$B26,'DADOS BRUTOS'!EU$3:EU$500)+IF($C26="",0,SUMIF('DADOS BRUTOS'!$A$3:$A$500,$C26,'DADOS BRUTOS'!EU$3:EU$500)))</f>
        <v/>
      </c>
      <c r="HV26" s="56">
        <f>IF(OR(HV$4="",$B26=""),0,SUMIF('DADOS BRUTOS'!$A$3:$A$500,$B26,'DADOS BRUTOS'!EV$3:EV$500)+IF($C26="",0,SUMIF('DADOS BRUTOS'!$A$3:$A$500,$C26,'DADOS BRUTOS'!EV$3:EV$500)))</f>
        <v/>
      </c>
      <c r="HW26" s="56">
        <f>IF(OR(HW$4="",$B26=""),0,SUMIF('DADOS BRUTOS'!$A$3:$A$500,$B26,'DADOS BRUTOS'!EW$3:EW$500)+IF($C26="",0,SUMIF('DADOS BRUTOS'!$A$3:$A$500,$C26,'DADOS BRUTOS'!EW$3:EW$500)))</f>
        <v/>
      </c>
      <c r="HX26" s="56">
        <f>IF(OR(HX$4="",$B26=""),0,SUMIF('DADOS BRUTOS'!$A$3:$A$500,$B26,'DADOS BRUTOS'!EX$3:EX$500)+IF($C26="",0,SUMIF('DADOS BRUTOS'!$A$3:$A$500,$C26,'DADOS BRUTOS'!EX$3:EX$500)))</f>
        <v/>
      </c>
      <c r="HY26" s="56">
        <f>IF(OR(HY$4="",$B26=""),0,SUMIF('DADOS BRUTOS'!$A$3:$A$500,$B26,'DADOS BRUTOS'!EY$3:EY$500)+IF($C26="",0,SUMIF('DADOS BRUTOS'!$A$3:$A$500,$C26,'DADOS BRUTOS'!EY$3:EY$500)))</f>
        <v/>
      </c>
      <c r="HZ26" s="56">
        <f>IF(OR(HZ$4="",$B26=""),0,SUMIF('DADOS BRUTOS'!$A$3:$A$500,$B26,'DADOS BRUTOS'!EZ$3:EZ$500)+IF($C26="",0,SUMIF('DADOS BRUTOS'!$A$3:$A$500,$C26,'DADOS BRUTOS'!EZ$3:EZ$500)))</f>
        <v/>
      </c>
      <c r="IA26" s="56">
        <f>IF(OR(IA$4="",$B26=""),0,SUMIF('DADOS BRUTOS'!$A$3:$A$500,$B26,'DADOS BRUTOS'!FA$3:FA$500)+IF($C26="",0,SUMIF('DADOS BRUTOS'!$A$3:$A$500,$C26,'DADOS BRUTOS'!FA$3:FA$500)))</f>
        <v/>
      </c>
      <c r="IB26" s="56">
        <f>IF(OR(IB$4="",$B26=""),0,SUMIF('DADOS BRUTOS'!$A$3:$A$500,$B26,'DADOS BRUTOS'!FB$3:FB$500)+IF($C26="",0,SUMIF('DADOS BRUTOS'!$A$3:$A$500,$C26,'DADOS BRUTOS'!FB$3:FB$500)))</f>
        <v/>
      </c>
      <c r="IC26" s="56">
        <f>IF(OR(IC$4="",$B26=""),0,SUMIF('DADOS BRUTOS'!$A$3:$A$500,$B26,'DADOS BRUTOS'!FC$3:FC$500)+IF($C26="",0,SUMIF('DADOS BRUTOS'!$A$3:$A$500,$C26,'DADOS BRUTOS'!FC$3:FC$500)))</f>
        <v/>
      </c>
      <c r="ID26" s="56">
        <f>IF(OR(ID$4="",$B26=""),0,SUMIF('DADOS BRUTOS'!$A$3:$A$500,$B26,'DADOS BRUTOS'!FD$3:FD$500)+IF($C26="",0,SUMIF('DADOS BRUTOS'!$A$3:$A$500,$C26,'DADOS BRUTOS'!FD$3:FD$500)))</f>
        <v/>
      </c>
      <c r="IE26" s="56">
        <f>IF(OR(IE$4="",$B26=""),0,SUMIF('DADOS BRUTOS'!$A$3:$A$500,$B26,'DADOS BRUTOS'!FE$3:FE$500)+IF($C26="",0,SUMIF('DADOS BRUTOS'!$A$3:$A$500,$C26,'DADOS BRUTOS'!FE$3:FE$500)))</f>
        <v/>
      </c>
      <c r="IF26" s="56">
        <f>IF(OR(IF$4="",$B26=""),0,SUMIF('DADOS BRUTOS'!$A$3:$A$500,$B26,'DADOS BRUTOS'!FF$3:FF$500)+IF($C26="",0,SUMIF('DADOS BRUTOS'!$A$3:$A$500,$C26,'DADOS BRUTOS'!FF$3:FF$500)))</f>
        <v/>
      </c>
      <c r="IG26" s="56">
        <f>IF(OR(IG$4="",$B26=""),0,SUMIF('DADOS BRUTOS'!$A$3:$A$500,$B26,'DADOS BRUTOS'!FG$3:FG$500)+IF($C26="",0,SUMIF('DADOS BRUTOS'!$A$3:$A$500,$C26,'DADOS BRUTOS'!FG$3:FG$500)))</f>
        <v/>
      </c>
      <c r="IH26" s="56">
        <f>IF(OR(IH$4="",$B26=""),0,SUMIF('DADOS BRUTOS'!$A$3:$A$500,$B26,'DADOS BRUTOS'!FH$3:FH$500)+IF($C26="",0,SUMIF('DADOS BRUTOS'!$A$3:$A$500,$C26,'DADOS BRUTOS'!FH$3:FH$500)))</f>
        <v/>
      </c>
      <c r="II26" s="56">
        <f>IF(OR(II$4="",$B26=""),0,SUMIF('DADOS BRUTOS'!$A$3:$A$500,$B26,'DADOS BRUTOS'!FI$3:FI$500)+IF($C26="",0,SUMIF('DADOS BRUTOS'!$A$3:$A$500,$C26,'DADOS BRUTOS'!FI$3:FI$500)))</f>
        <v/>
      </c>
      <c r="IJ26" s="56">
        <f>IF(OR(IJ$4="",$B26=""),0,SUMIF('DADOS BRUTOS'!$A$3:$A$500,$B26,'DADOS BRUTOS'!FJ$3:FJ$500)+IF($C26="",0,SUMIF('DADOS BRUTOS'!$A$3:$A$500,$C26,'DADOS BRUTOS'!FJ$3:FJ$500)))</f>
        <v/>
      </c>
      <c r="IK26" s="56">
        <f>IF(OR(IK$4="",$B26=""),0,SUMIF('DADOS BRUTOS'!$A$3:$A$500,$B26,'DADOS BRUTOS'!FK$3:FK$500)+IF($C26="",0,SUMIF('DADOS BRUTOS'!$A$3:$A$500,$C26,'DADOS BRUTOS'!FK$3:FK$500)))</f>
        <v/>
      </c>
      <c r="IL26" s="56">
        <f>IF(OR(IL$4="",$B26=""),0,SUMIF('DADOS BRUTOS'!$A$3:$A$500,$B26,'DADOS BRUTOS'!FL$3:FL$500)+IF($C26="",0,SUMIF('DADOS BRUTOS'!$A$3:$A$500,$C26,'DADOS BRUTOS'!FL$3:FL$500)))</f>
        <v/>
      </c>
      <c r="IM26" s="56">
        <f>IF(OR(IM$4="",$B26=""),0,SUMIF('DADOS BRUTOS'!$A$3:$A$500,$B26,'DADOS BRUTOS'!FM$3:FM$500)+IF($C26="",0,SUMIF('DADOS BRUTOS'!$A$3:$A$500,$C26,'DADOS BRUTOS'!FM$3:FM$500)))</f>
        <v/>
      </c>
      <c r="IN26" s="56">
        <f>IF(OR(IN$4="",$B26=""),0,SUMIF('DADOS BRUTOS'!$A$3:$A$500,$B26,'DADOS BRUTOS'!FN$3:FN$500)+IF($C26="",0,SUMIF('DADOS BRUTOS'!$A$3:$A$500,$C26,'DADOS BRUTOS'!FN$3:FN$500)))</f>
        <v/>
      </c>
      <c r="IO26" s="56">
        <f>IF(OR(IO$4="",$B26=""),0,SUMIF('DADOS BRUTOS'!$A$3:$A$500,$B26,'DADOS BRUTOS'!FO$3:FO$500)+IF($C26="",0,SUMIF('DADOS BRUTOS'!$A$3:$A$500,$C26,'DADOS BRUTOS'!FO$3:FO$500)))</f>
        <v/>
      </c>
      <c r="IP26" s="56">
        <f>IF(OR(IP$4="",$B26=""),0,SUMIF('DADOS BRUTOS'!$A$3:$A$500,$B26,'DADOS BRUTOS'!FP$3:FP$500)+IF($C26="",0,SUMIF('DADOS BRUTOS'!$A$3:$A$500,$C26,'DADOS BRUTOS'!FP$3:FP$500)))</f>
        <v/>
      </c>
      <c r="IQ26" s="56">
        <f>IF(OR(IQ$4="",$B26=""),0,SUMIF('DADOS BRUTOS'!$A$3:$A$500,$B26,'DADOS BRUTOS'!FQ$3:FQ$500)+IF($C26="",0,SUMIF('DADOS BRUTOS'!$A$3:$A$500,$C26,'DADOS BRUTOS'!FQ$3:FQ$500)))</f>
        <v/>
      </c>
      <c r="IR26" s="56">
        <f>IF(OR(IR$4="",$B26=""),0,SUMIF('DADOS BRUTOS'!$A$3:$A$500,$B26,'DADOS BRUTOS'!FR$3:FR$500)+IF($C26="",0,SUMIF('DADOS BRUTOS'!$A$3:$A$500,$C26,'DADOS BRUTOS'!FR$3:FR$500)))</f>
        <v/>
      </c>
      <c r="IS26" s="56">
        <f>IF(OR(IS$4="",$B26=""),0,SUMIF('DADOS BRUTOS'!$A$3:$A$500,$B26,'DADOS BRUTOS'!FS$3:FS$500)+IF($C26="",0,SUMIF('DADOS BRUTOS'!$A$3:$A$500,$C26,'DADOS BRUTOS'!FS$3:FS$500)))</f>
        <v/>
      </c>
      <c r="IT26" s="56">
        <f>IF(OR(IT$4="",$B26=""),0,SUMIF('DADOS BRUTOS'!$A$3:$A$500,$B26,'DADOS BRUTOS'!FT$3:FT$500)+IF($C26="",0,SUMIF('DADOS BRUTOS'!$A$3:$A$500,$C26,'DADOS BRUTOS'!FT$3:FT$500)))</f>
        <v/>
      </c>
      <c r="IU26" s="56">
        <f>IF(OR(IU$4="",$B26=""),0,SUMIF('DADOS BRUTOS'!$A$3:$A$500,$B26,'DADOS BRUTOS'!FU$3:FU$500)+IF($C26="",0,SUMIF('DADOS BRUTOS'!$A$3:$A$500,$C26,'DADOS BRUTOS'!FU$3:FU$500)))</f>
        <v/>
      </c>
      <c r="IV26" s="56">
        <f>IF(OR(IV$4="",$B26=""),0,SUMIF('DADOS BRUTOS'!$A$3:$A$500,$B26,'DADOS BRUTOS'!FV$3:FV$500)+IF($C26="",0,SUMIF('DADOS BRUTOS'!$A$3:$A$500,$C26,'DADOS BRUTOS'!FV$3:FV$500)))</f>
        <v/>
      </c>
      <c r="IW26" s="56">
        <f>IF(OR(IW$4="",$B26=""),0,SUMIF('DADOS BRUTOS'!$A$3:$A$500,$B26,'DADOS BRUTOS'!FW$3:FW$500)+IF($C26="",0,SUMIF('DADOS BRUTOS'!$A$3:$A$500,$C26,'DADOS BRUTOS'!FW$3:FW$500)))</f>
        <v/>
      </c>
      <c r="IX26" s="56">
        <f>IF(OR(IX$4="",$B26=""),0,SUMIF('DADOS BRUTOS'!$A$3:$A$500,$B26,'DADOS BRUTOS'!FX$3:FX$500)+IF($C26="",0,SUMIF('DADOS BRUTOS'!$A$3:$A$500,$C26,'DADOS BRUTOS'!FX$3:FX$500)))</f>
        <v/>
      </c>
      <c r="IY26" s="56">
        <f>IF(OR(IY$4="",$B26=""),0,SUMIF('DADOS BRUTOS'!$A$3:$A$500,$B26,'DADOS BRUTOS'!FY$3:FY$500)+IF($C26="",0,SUMIF('DADOS BRUTOS'!$A$3:$A$500,$C26,'DADOS BRUTOS'!FY$3:FY$500)))</f>
        <v/>
      </c>
      <c r="IZ26" s="56">
        <f>IF(OR(IZ$4="",$B26=""),0,SUMIF('DADOS BRUTOS'!$A$3:$A$500,$B26,'DADOS BRUTOS'!FZ$3:FZ$500)+IF($C26="",0,SUMIF('DADOS BRUTOS'!$A$3:$A$500,$C26,'DADOS BRUTOS'!FZ$3:FZ$500)))</f>
        <v/>
      </c>
      <c r="JA26" s="56">
        <f>IF(OR(JA$4="",$B26=""),0,SUMIF('DADOS BRUTOS'!$A$3:$A$500,$B26,'DADOS BRUTOS'!GA$3:GA$500)+IF($C26="",0,SUMIF('DADOS BRUTOS'!$A$3:$A$500,$C26,'DADOS BRUTOS'!GA$3:GA$500)))</f>
        <v/>
      </c>
      <c r="JB26" s="56">
        <f>IF(OR(JB$4="",$B26=""),0,SUMIF('DADOS BRUTOS'!$A$3:$A$500,$B26,'DADOS BRUTOS'!GB$3:GB$500)+IF($C26="",0,SUMIF('DADOS BRUTOS'!$A$3:$A$500,$C26,'DADOS BRUTOS'!GB$3:GB$500)))</f>
        <v/>
      </c>
      <c r="JC26" s="56">
        <f>IF(OR(JC$4="",$B26=""),0,SUMIF('DADOS BRUTOS'!$A$3:$A$500,$B26,'DADOS BRUTOS'!GC$3:GC$500)+IF($C26="",0,SUMIF('DADOS BRUTOS'!$A$3:$A$500,$C26,'DADOS BRUTOS'!GC$3:GC$500)))</f>
        <v/>
      </c>
      <c r="JD26" s="56">
        <f>IF(OR(JD$4="",$B26=""),0,SUMIF('DADOS BRUTOS'!$A$3:$A$500,$B26,'DADOS BRUTOS'!GD$3:GD$500)+IF($C26="",0,SUMIF('DADOS BRUTOS'!$A$3:$A$500,$C26,'DADOS BRUTOS'!GD$3:GD$500)))</f>
        <v/>
      </c>
      <c r="JE26" s="56">
        <f>IF(OR(JE$4="",$B26=""),0,SUMIF('DADOS BRUTOS'!$A$3:$A$500,$B26,'DADOS BRUTOS'!GE$3:GE$500)+IF($C26="",0,SUMIF('DADOS BRUTOS'!$A$3:$A$500,$C26,'DADOS BRUTOS'!GE$3:GE$500)))</f>
        <v/>
      </c>
      <c r="JF26" s="56">
        <f>IF(OR(JF$4="",$B26=""),0,SUMIF('DADOS BRUTOS'!$A$3:$A$500,$B26,'DADOS BRUTOS'!GF$3:GF$500)+IF($C26="",0,SUMIF('DADOS BRUTOS'!$A$3:$A$500,$C26,'DADOS BRUTOS'!GF$3:GF$500)))</f>
        <v/>
      </c>
      <c r="JG26" s="56">
        <f>IF(OR(JG$4="",$B26=""),0,SUMIF('DADOS BRUTOS'!$A$3:$A$500,$B26,'DADOS BRUTOS'!GG$3:GG$500)+IF($C26="",0,SUMIF('DADOS BRUTOS'!$A$3:$A$500,$C26,'DADOS BRUTOS'!GG$3:GG$500)))</f>
        <v/>
      </c>
      <c r="JH26" s="56">
        <f>IF(OR(JH$4="",$B26=""),0,SUMIF('DADOS BRUTOS'!$A$3:$A$500,$B26,'DADOS BRUTOS'!GH$3:GH$500)+IF($C26="",0,SUMIF('DADOS BRUTOS'!$A$3:$A$500,$C26,'DADOS BRUTOS'!GH$3:GH$500)))</f>
        <v/>
      </c>
      <c r="JI26" s="56">
        <f>IF(OR(JI$4="",$B26=""),0,SUMIF('DADOS BRUTOS'!$A$3:$A$500,$B26,'DADOS BRUTOS'!GI$3:GI$500)+IF($C26="",0,SUMIF('DADOS BRUTOS'!$A$3:$A$500,$C26,'DADOS BRUTOS'!GI$3:GI$500)))</f>
        <v/>
      </c>
      <c r="JJ26" s="56">
        <f>IF(OR(JJ$4="",$B26=""),0,SUMIF('DADOS BRUTOS'!$A$3:$A$500,$B26,'DADOS BRUTOS'!GJ$3:GJ$500)+IF($C26="",0,SUMIF('DADOS BRUTOS'!$A$3:$A$500,$C26,'DADOS BRUTOS'!GJ$3:GJ$500)))</f>
        <v/>
      </c>
      <c r="JK26" s="56">
        <f>IF(OR(JK$4="",$B26=""),0,SUMIF('DADOS BRUTOS'!$A$3:$A$500,$B26,'DADOS BRUTOS'!GK$3:GK$500)+IF($C26="",0,SUMIF('DADOS BRUTOS'!$A$3:$A$500,$C26,'DADOS BRUTOS'!GK$3:GK$500)))</f>
        <v/>
      </c>
      <c r="JL26" s="56">
        <f>IF(OR(JL$4="",$B26=""),0,SUMIF('DADOS BRUTOS'!$A$3:$A$500,$B26,'DADOS BRUTOS'!GL$3:GL$500)+IF($C26="",0,SUMIF('DADOS BRUTOS'!$A$3:$A$500,$C26,'DADOS BRUTOS'!GL$3:GL$500)))</f>
        <v/>
      </c>
      <c r="JM26" s="56">
        <f>IF(OR(JM$4="",$B26=""),0,SUMIF('DADOS BRUTOS'!$A$3:$A$500,$B26,'DADOS BRUTOS'!GM$3:GM$500)+IF($C26="",0,SUMIF('DADOS BRUTOS'!$A$3:$A$500,$C26,'DADOS BRUTOS'!GM$3:GM$500)))</f>
        <v/>
      </c>
      <c r="JN26" s="56">
        <f>IF(OR(JN$4="",$B26=""),0,SUMIF('DADOS BRUTOS'!$A$3:$A$500,$B26,'DADOS BRUTOS'!GN$3:GN$500)+IF($C26="",0,SUMIF('DADOS BRUTOS'!$A$3:$A$500,$C26,'DADOS BRUTOS'!GN$3:GN$500)))</f>
        <v/>
      </c>
      <c r="JO26" s="56">
        <f>IF(OR(JO$4="",$B26=""),0,SUMIF('DADOS BRUTOS'!$A$3:$A$500,$B26,'DADOS BRUTOS'!GO$3:GO$500)+IF($C26="",0,SUMIF('DADOS BRUTOS'!$A$3:$A$500,$C26,'DADOS BRUTOS'!GO$3:GO$500)))</f>
        <v/>
      </c>
      <c r="JP26" s="56">
        <f>IF(OR(JP$4="",$B26=""),0,SUMIF('DADOS BRUTOS'!$A$3:$A$500,$B26,'DADOS BRUTOS'!GP$3:GP$500)+IF($C26="",0,SUMIF('DADOS BRUTOS'!$A$3:$A$500,$C26,'DADOS BRUTOS'!GP$3:GP$500)))</f>
        <v/>
      </c>
      <c r="JQ26" s="56">
        <f>IF(OR(JQ$4="",$B26=""),0,SUMIF('DADOS BRUTOS'!$A$3:$A$500,$B26,'DADOS BRUTOS'!GQ$3:GQ$500)+IF($C26="",0,SUMIF('DADOS BRUTOS'!$A$3:$A$500,$C26,'DADOS BRUTOS'!GQ$3:GQ$500)))</f>
        <v/>
      </c>
      <c r="JR26" s="56">
        <f>IF(OR(JR$4="",$B26=""),0,SUMIF('DADOS BRUTOS'!$A$3:$A$500,$B26,'DADOS BRUTOS'!GR$3:GR$500)+IF($C26="",0,SUMIF('DADOS BRUTOS'!$A$3:$A$500,$C26,'DADOS BRUTOS'!GR$3:GR$500)))</f>
        <v/>
      </c>
      <c r="JS26" s="56">
        <f>IF(OR(JS$4="",$B26=""),0,SUMIF('DADOS BRUTOS'!$A$3:$A$500,$B26,'DADOS BRUTOS'!GS$3:GS$500)+IF($C26="",0,SUMIF('DADOS BRUTOS'!$A$3:$A$500,$C26,'DADOS BRUTOS'!GS$3:GS$500)))</f>
        <v/>
      </c>
    </row>
    <row r="27">
      <c r="A27" s="34">
        <f>'VALOR POR PL'!D33</f>
        <v/>
      </c>
      <c r="B27" s="21" t="inlineStr">
        <is>
          <t>INSTALAÇÕES ESPECIAIS</t>
        </is>
      </c>
      <c r="C27" s="21" t="n"/>
      <c r="D27" s="17">
        <f>SUMIF($CB$4:$JS$4,"&lt;="&amp;D$4,$CB27:$JS27)</f>
        <v/>
      </c>
      <c r="E27" s="17">
        <f>SUMIF($CB$4:$JS$4,E$4,$CB27:$JS27)</f>
        <v/>
      </c>
      <c r="F27" s="17">
        <f>SUMIF($CB$4:$JS$4,F$4,$CB27:$JS27)</f>
        <v/>
      </c>
      <c r="G27" s="17">
        <f>SUMIF($CB$4:$JS$4,G$4,$CB27:$JS27)</f>
        <v/>
      </c>
      <c r="H27" s="17">
        <f>SUMIF($CB$4:$JS$4,H$4,$CB27:$JS27)</f>
        <v/>
      </c>
      <c r="I27" s="17">
        <f>SUMIF($CB$4:$JS$4,I$4,$CB27:$JS27)</f>
        <v/>
      </c>
      <c r="J27" s="17">
        <f>SUMIF($CB$4:$JS$4,J$4,$CB27:$JS27)</f>
        <v/>
      </c>
      <c r="K27" s="17">
        <f>SUMIF($CB$4:$JS$4,K$4,$CB27:$JS27)</f>
        <v/>
      </c>
      <c r="L27" s="17">
        <f>SUMIF($CB$4:$JS$4,L$4,$CB27:$JS27)</f>
        <v/>
      </c>
      <c r="M27" s="17">
        <f>SUMIF($CB$4:$JS$4,M$4,$CB27:$JS27)</f>
        <v/>
      </c>
      <c r="N27" s="17">
        <f>SUMIF($CB$4:$JS$4,N$4,$CB27:$JS27)</f>
        <v/>
      </c>
      <c r="O27" s="17">
        <f>SUMIF($CB$4:$JS$4,O$4,$CB27:$JS27)</f>
        <v/>
      </c>
      <c r="P27" s="17">
        <f>SUMIF($CB$4:$JS$4,P$4,$CB27:$JS27)</f>
        <v/>
      </c>
      <c r="Q27" s="17">
        <f>SUMIF($CB$4:$JS$4,Q$4,$CB27:$JS27)</f>
        <v/>
      </c>
      <c r="R27" s="17">
        <f>SUMIF($CB$4:$JS$4,R$4,$CB27:$JS27)</f>
        <v/>
      </c>
      <c r="S27" s="17">
        <f>SUMIF($CB$4:$JS$4,S$4,$CB27:$JS27)</f>
        <v/>
      </c>
      <c r="T27" s="17">
        <f>SUMIF($CB$4:$JS$4,T$4,$CB27:$JS27)</f>
        <v/>
      </c>
      <c r="U27" s="17">
        <f>SUMIF($CB$4:$JS$4,U$4,$CB27:$JS27)</f>
        <v/>
      </c>
      <c r="V27" s="17">
        <f>SUMIF($CB$4:$JS$4,V$4,$CB27:$JS27)</f>
        <v/>
      </c>
      <c r="W27" s="17">
        <f>SUMIF($CB$4:$JS$4,W$4,$CB27:$JS27)</f>
        <v/>
      </c>
      <c r="X27" s="17">
        <f>SUMIF($CB$4:$JS$4,X$4,$CB27:$JS27)</f>
        <v/>
      </c>
      <c r="Y27" s="17">
        <f>SUMIF($CB$4:$JS$4,Y$4,$CB27:$JS27)</f>
        <v/>
      </c>
      <c r="Z27" s="17">
        <f>SUMIF($CB$4:$JS$4,Z$4,$CB27:$JS27)</f>
        <v/>
      </c>
      <c r="AA27" s="17">
        <f>SUMIF($CB$4:$JS$4,AA$4,$CB27:$JS27)</f>
        <v/>
      </c>
      <c r="AB27" s="17">
        <f>SUMIF($CB$4:$JS$4,AB$4,$CB27:$JS27)</f>
        <v/>
      </c>
      <c r="AC27" s="17">
        <f>SUMIF($CB$4:$JS$4,AC$4,$CB27:$JS27)</f>
        <v/>
      </c>
      <c r="AD27" s="17">
        <f>SUMIF($CB$4:$JS$4,AD$4,$CB27:$JS27)</f>
        <v/>
      </c>
      <c r="AE27" s="17">
        <f>SUMIF($CB$4:$JS$4,AE$4,$CB27:$JS27)</f>
        <v/>
      </c>
      <c r="AF27" s="17">
        <f>SUMIF($CB$4:$JS$4,AF$4,$CB27:$JS27)</f>
        <v/>
      </c>
      <c r="AG27" s="17">
        <f>SUMIF($CB$4:$JS$4,AG$4,$CB27:$JS27)</f>
        <v/>
      </c>
      <c r="AH27" s="17">
        <f>SUMIF($CB$4:$JS$4,AH$4,$CB27:$JS27)</f>
        <v/>
      </c>
      <c r="AI27" s="17">
        <f>SUMIF($CB$4:$JS$4,AI$4,$CB27:$JS27)</f>
        <v/>
      </c>
      <c r="AJ27" s="17">
        <f>SUMIF($CB$4:$JS$4,AJ$4,$CB27:$JS27)</f>
        <v/>
      </c>
      <c r="AK27" s="17">
        <f>SUMIF($CB$4:$JS$4,AK$4,$CB27:$JS27)</f>
        <v/>
      </c>
      <c r="AL27" s="17">
        <f>SUMIF($CB$4:$JS$4,AL$4,$CB27:$JS27)</f>
        <v/>
      </c>
      <c r="AM27" s="17">
        <f>SUMIF($CB$4:$JS$4,AM$4,$CB27:$JS27)</f>
        <v/>
      </c>
      <c r="AN27" s="17">
        <f>SUMIF($CB$4:$JS$4,AN$4,$CB27:$JS27)</f>
        <v/>
      </c>
      <c r="AO27" s="17">
        <f>SUMIF($CB$4:$JS$4,AO$4,$CB27:$JS27)</f>
        <v/>
      </c>
      <c r="AP27" s="17">
        <f>SUMIF($CB$4:$JS$4,AP$4,$CB27:$JS27)</f>
        <v/>
      </c>
      <c r="AQ27" s="17">
        <f>SUMIF($CB$4:$JS$4,AQ$4,$CB27:$JS27)</f>
        <v/>
      </c>
      <c r="AR27" s="17">
        <f>SUMIF($CB$4:$JS$4,AR$4,$CB27:$JS27)</f>
        <v/>
      </c>
      <c r="AS27" s="17">
        <f>SUMIF($CB$4:$JS$4,AS$4,$CB27:$JS27)</f>
        <v/>
      </c>
      <c r="AT27" s="17">
        <f>SUMIF($CB$4:$JS$4,AT$4,$CB27:$JS27)</f>
        <v/>
      </c>
      <c r="AU27" s="17">
        <f>SUMIF($CB$4:$JS$4,AU$4,$CB27:$JS27)</f>
        <v/>
      </c>
      <c r="AV27" s="17">
        <f>SUMIF($CB$4:$JS$4,AV$4,$CB27:$JS27)</f>
        <v/>
      </c>
      <c r="AW27" s="17">
        <f>SUMIF($CB$4:$JS$4,AW$4,$CB27:$JS27)</f>
        <v/>
      </c>
      <c r="AX27" s="17">
        <f>SUMIF($CB$4:$JS$4,AX$4,$CB27:$JS27)</f>
        <v/>
      </c>
      <c r="AY27" s="17">
        <f>SUMIF($CB$4:$JS$4,AY$4,$CB27:$JS27)</f>
        <v/>
      </c>
      <c r="AZ27" s="17">
        <f>SUMIF($CB$4:$JS$4,AZ$4,$CB27:$JS27)</f>
        <v/>
      </c>
      <c r="BA27" s="17">
        <f>SUMIF($CB$4:$JS$4,BA$4,$CB27:$JS27)</f>
        <v/>
      </c>
      <c r="BB27" s="17">
        <f>SUMIF($CB$4:$JS$4,BB$4,$CB27:$JS27)</f>
        <v/>
      </c>
      <c r="BC27" s="17">
        <f>SUMIF($CB$4:$JS$4,BC$4,$CB27:$JS27)</f>
        <v/>
      </c>
      <c r="BD27" s="17">
        <f>SUMIF($CB$4:$JS$4,BD$4,$CB27:$JS27)</f>
        <v/>
      </c>
      <c r="BE27" s="17">
        <f>SUMIF($CB$4:$JS$4,BE$4,$CB27:$JS27)</f>
        <v/>
      </c>
      <c r="BF27" s="17">
        <f>SUMIF($CB$4:$JS$4,BF$4,$CB27:$JS27)</f>
        <v/>
      </c>
      <c r="BG27" s="17">
        <f>SUMIF($CB$4:$JS$4,BG$4,$CB27:$JS27)</f>
        <v/>
      </c>
      <c r="BH27" s="17">
        <f>SUMIF($CB$4:$JS$4,BH$4,$CB27:$JS27)</f>
        <v/>
      </c>
      <c r="BI27" s="17">
        <f>SUMIF($CB$4:$JS$4,BI$4,$CB27:$JS27)</f>
        <v/>
      </c>
      <c r="BJ27" s="17">
        <f>SUMIF($CB$4:$JS$4,BJ$4,$CB27:$JS27)</f>
        <v/>
      </c>
      <c r="BK27" s="17">
        <f>SUMIF($CB$4:$JS$4,BK$4,$CB27:$JS27)</f>
        <v/>
      </c>
      <c r="BL27" s="17">
        <f>SUMIF($CB$4:$JS$4,BL$4,$CB27:$JS27)</f>
        <v/>
      </c>
      <c r="BM27" s="17">
        <f>SUMIF($CB$4:$JS$4,BM$4,$CB27:$JS27)</f>
        <v/>
      </c>
      <c r="BN27" s="17">
        <f>SUMIF($CB$4:$JS$4,BN$4,$CB27:$JS27)</f>
        <v/>
      </c>
      <c r="BO27" s="17">
        <f>SUMIF($CB$4:$JS$4,BO$4,$CB27:$JS27)</f>
        <v/>
      </c>
      <c r="BP27" s="17">
        <f>SUMIF($CB$4:$JS$4,BP$4,$CB27:$JS27)</f>
        <v/>
      </c>
      <c r="BQ27" s="17">
        <f>SUMIF($CB$4:$JS$4,BQ$4,$CB27:$JS27)</f>
        <v/>
      </c>
      <c r="BR27" s="17">
        <f>SUMIF($CB$4:$JS$4,BR$4,$CB27:$JS27)</f>
        <v/>
      </c>
      <c r="BS27" s="17">
        <f>SUMIF($CB$4:$JS$4,BS$4,$CB27:$JS27)</f>
        <v/>
      </c>
      <c r="BT27" s="17">
        <f>SUMIF($CB$4:$JS$4,BT$4,$CB27:$JS27)</f>
        <v/>
      </c>
      <c r="BU27" s="17">
        <f>SUMIF($CB$4:$JS$4,BU$4,$CB27:$JS27)</f>
        <v/>
      </c>
      <c r="BV27" s="17">
        <f>SUMIF($CB$4:$JS$4,BV$4,$CB27:$JS27)</f>
        <v/>
      </c>
      <c r="BW27" s="17">
        <f>SUMIF($CB$4:$JS$4,BW$4,$CB27:$JS27)</f>
        <v/>
      </c>
      <c r="BX27" s="17">
        <f>SUMIF($CB$4:$JS$4,"&gt;"&amp;'VALOR POR PL'!$P$8,$CB27:$JS27)</f>
        <v/>
      </c>
      <c r="BY27" s="17">
        <f>SUM($CB27:$JS27)</f>
        <v/>
      </c>
      <c r="CB27" s="56">
        <f>IF(OR(CB$4="",$B27=""),0,SUMIF('DADOS BRUTOS'!$A$3:$A$500,$B27,'DADOS BRUTOS'!B$3:B$500)+IF($C27="",0,SUMIF('DADOS BRUTOS'!$A$3:$A$500,$C27,'DADOS BRUTOS'!B$3:B$500)))</f>
        <v/>
      </c>
      <c r="CC27" s="56">
        <f>IF(OR(CC$4="",$B27=""),0,SUMIF('DADOS BRUTOS'!$A$3:$A$500,$B27,'DADOS BRUTOS'!C$3:C$500)+IF($C27="",0,SUMIF('DADOS BRUTOS'!$A$3:$A$500,$C27,'DADOS BRUTOS'!C$3:C$500)))</f>
        <v/>
      </c>
      <c r="CD27" s="56">
        <f>IF(OR(CD$4="",$B27=""),0,SUMIF('DADOS BRUTOS'!$A$3:$A$500,$B27,'DADOS BRUTOS'!D$3:D$500)+IF($C27="",0,SUMIF('DADOS BRUTOS'!$A$3:$A$500,$C27,'DADOS BRUTOS'!D$3:D$500)))</f>
        <v/>
      </c>
      <c r="CE27" s="56">
        <f>IF(OR(CE$4="",$B27=""),0,SUMIF('DADOS BRUTOS'!$A$3:$A$500,$B27,'DADOS BRUTOS'!E$3:E$500)+IF($C27="",0,SUMIF('DADOS BRUTOS'!$A$3:$A$500,$C27,'DADOS BRUTOS'!E$3:E$500)))</f>
        <v/>
      </c>
      <c r="CF27" s="56">
        <f>IF(OR(CF$4="",$B27=""),0,SUMIF('DADOS BRUTOS'!$A$3:$A$500,$B27,'DADOS BRUTOS'!F$3:F$500)+IF($C27="",0,SUMIF('DADOS BRUTOS'!$A$3:$A$500,$C27,'DADOS BRUTOS'!F$3:F$500)))</f>
        <v/>
      </c>
      <c r="CG27" s="56">
        <f>IF(OR(CG$4="",$B27=""),0,SUMIF('DADOS BRUTOS'!$A$3:$A$500,$B27,'DADOS BRUTOS'!G$3:G$500)+IF($C27="",0,SUMIF('DADOS BRUTOS'!$A$3:$A$500,$C27,'DADOS BRUTOS'!G$3:G$500)))</f>
        <v/>
      </c>
      <c r="CH27" s="56">
        <f>IF(OR(CH$4="",$B27=""),0,SUMIF('DADOS BRUTOS'!$A$3:$A$500,$B27,'DADOS BRUTOS'!H$3:H$500)+IF($C27="",0,SUMIF('DADOS BRUTOS'!$A$3:$A$500,$C27,'DADOS BRUTOS'!H$3:H$500)))</f>
        <v/>
      </c>
      <c r="CI27" s="56">
        <f>IF(OR(CI$4="",$B27=""),0,SUMIF('DADOS BRUTOS'!$A$3:$A$500,$B27,'DADOS BRUTOS'!I$3:I$500)+IF($C27="",0,SUMIF('DADOS BRUTOS'!$A$3:$A$500,$C27,'DADOS BRUTOS'!I$3:I$500)))</f>
        <v/>
      </c>
      <c r="CJ27" s="56">
        <f>IF(OR(CJ$4="",$B27=""),0,SUMIF('DADOS BRUTOS'!$A$3:$A$500,$B27,'DADOS BRUTOS'!J$3:J$500)+IF($C27="",0,SUMIF('DADOS BRUTOS'!$A$3:$A$500,$C27,'DADOS BRUTOS'!J$3:J$500)))</f>
        <v/>
      </c>
      <c r="CK27" s="56">
        <f>IF(OR(CK$4="",$B27=""),0,SUMIF('DADOS BRUTOS'!$A$3:$A$500,$B27,'DADOS BRUTOS'!K$3:K$500)+IF($C27="",0,SUMIF('DADOS BRUTOS'!$A$3:$A$500,$C27,'DADOS BRUTOS'!K$3:K$500)))</f>
        <v/>
      </c>
      <c r="CL27" s="56">
        <f>IF(OR(CL$4="",$B27=""),0,SUMIF('DADOS BRUTOS'!$A$3:$A$500,$B27,'DADOS BRUTOS'!L$3:L$500)+IF($C27="",0,SUMIF('DADOS BRUTOS'!$A$3:$A$500,$C27,'DADOS BRUTOS'!L$3:L$500)))</f>
        <v/>
      </c>
      <c r="CM27" s="56">
        <f>IF(OR(CM$4="",$B27=""),0,SUMIF('DADOS BRUTOS'!$A$3:$A$500,$B27,'DADOS BRUTOS'!M$3:M$500)+IF($C27="",0,SUMIF('DADOS BRUTOS'!$A$3:$A$500,$C27,'DADOS BRUTOS'!M$3:M$500)))</f>
        <v/>
      </c>
      <c r="CN27" s="56">
        <f>IF(OR(CN$4="",$B27=""),0,SUMIF('DADOS BRUTOS'!$A$3:$A$500,$B27,'DADOS BRUTOS'!N$3:N$500)+IF($C27="",0,SUMIF('DADOS BRUTOS'!$A$3:$A$500,$C27,'DADOS BRUTOS'!N$3:N$500)))</f>
        <v/>
      </c>
      <c r="CO27" s="56">
        <f>IF(OR(CO$4="",$B27=""),0,SUMIF('DADOS BRUTOS'!$A$3:$A$500,$B27,'DADOS BRUTOS'!O$3:O$500)+IF($C27="",0,SUMIF('DADOS BRUTOS'!$A$3:$A$500,$C27,'DADOS BRUTOS'!O$3:O$500)))</f>
        <v/>
      </c>
      <c r="CP27" s="56">
        <f>IF(OR(CP$4="",$B27=""),0,SUMIF('DADOS BRUTOS'!$A$3:$A$500,$B27,'DADOS BRUTOS'!P$3:P$500)+IF($C27="",0,SUMIF('DADOS BRUTOS'!$A$3:$A$500,$C27,'DADOS BRUTOS'!P$3:P$500)))</f>
        <v/>
      </c>
      <c r="CQ27" s="56">
        <f>IF(OR(CQ$4="",$B27=""),0,SUMIF('DADOS BRUTOS'!$A$3:$A$500,$B27,'DADOS BRUTOS'!Q$3:Q$500)+IF($C27="",0,SUMIF('DADOS BRUTOS'!$A$3:$A$500,$C27,'DADOS BRUTOS'!Q$3:Q$500)))</f>
        <v/>
      </c>
      <c r="CR27" s="56">
        <f>IF(OR(CR$4="",$B27=""),0,SUMIF('DADOS BRUTOS'!$A$3:$A$500,$B27,'DADOS BRUTOS'!R$3:R$500)+IF($C27="",0,SUMIF('DADOS BRUTOS'!$A$3:$A$500,$C27,'DADOS BRUTOS'!R$3:R$500)))</f>
        <v/>
      </c>
      <c r="CS27" s="56">
        <f>IF(OR(CS$4="",$B27=""),0,SUMIF('DADOS BRUTOS'!$A$3:$A$500,$B27,'DADOS BRUTOS'!S$3:S$500)+IF($C27="",0,SUMIF('DADOS BRUTOS'!$A$3:$A$500,$C27,'DADOS BRUTOS'!S$3:S$500)))</f>
        <v/>
      </c>
      <c r="CT27" s="56">
        <f>IF(OR(CT$4="",$B27=""),0,SUMIF('DADOS BRUTOS'!$A$3:$A$500,$B27,'DADOS BRUTOS'!T$3:T$500)+IF($C27="",0,SUMIF('DADOS BRUTOS'!$A$3:$A$500,$C27,'DADOS BRUTOS'!T$3:T$500)))</f>
        <v/>
      </c>
      <c r="CU27" s="56">
        <f>IF(OR(CU$4="",$B27=""),0,SUMIF('DADOS BRUTOS'!$A$3:$A$500,$B27,'DADOS BRUTOS'!U$3:U$500)+IF($C27="",0,SUMIF('DADOS BRUTOS'!$A$3:$A$500,$C27,'DADOS BRUTOS'!U$3:U$500)))</f>
        <v/>
      </c>
      <c r="CV27" s="56">
        <f>IF(OR(CV$4="",$B27=""),0,SUMIF('DADOS BRUTOS'!$A$3:$A$500,$B27,'DADOS BRUTOS'!V$3:V$500)+IF($C27="",0,SUMIF('DADOS BRUTOS'!$A$3:$A$500,$C27,'DADOS BRUTOS'!V$3:V$500)))</f>
        <v/>
      </c>
      <c r="CW27" s="56">
        <f>IF(OR(CW$4="",$B27=""),0,SUMIF('DADOS BRUTOS'!$A$3:$A$500,$B27,'DADOS BRUTOS'!W$3:W$500)+IF($C27="",0,SUMIF('DADOS BRUTOS'!$A$3:$A$500,$C27,'DADOS BRUTOS'!W$3:W$500)))</f>
        <v/>
      </c>
      <c r="CX27" s="56">
        <f>IF(OR(CX$4="",$B27=""),0,SUMIF('DADOS BRUTOS'!$A$3:$A$500,$B27,'DADOS BRUTOS'!X$3:X$500)+IF($C27="",0,SUMIF('DADOS BRUTOS'!$A$3:$A$500,$C27,'DADOS BRUTOS'!X$3:X$500)))</f>
        <v/>
      </c>
      <c r="CY27" s="56">
        <f>IF(OR(CY$4="",$B27=""),0,SUMIF('DADOS BRUTOS'!$A$3:$A$500,$B27,'DADOS BRUTOS'!Y$3:Y$500)+IF($C27="",0,SUMIF('DADOS BRUTOS'!$A$3:$A$500,$C27,'DADOS BRUTOS'!Y$3:Y$500)))</f>
        <v/>
      </c>
      <c r="CZ27" s="56">
        <f>IF(OR(CZ$4="",$B27=""),0,SUMIF('DADOS BRUTOS'!$A$3:$A$500,$B27,'DADOS BRUTOS'!Z$3:Z$500)+IF($C27="",0,SUMIF('DADOS BRUTOS'!$A$3:$A$500,$C27,'DADOS BRUTOS'!Z$3:Z$500)))</f>
        <v/>
      </c>
      <c r="DA27" s="56">
        <f>IF(OR(DA$4="",$B27=""),0,SUMIF('DADOS BRUTOS'!$A$3:$A$500,$B27,'DADOS BRUTOS'!AA$3:AA$500)+IF($C27="",0,SUMIF('DADOS BRUTOS'!$A$3:$A$500,$C27,'DADOS BRUTOS'!AA$3:AA$500)))</f>
        <v/>
      </c>
      <c r="DB27" s="56">
        <f>IF(OR(DB$4="",$B27=""),0,SUMIF('DADOS BRUTOS'!$A$3:$A$500,$B27,'DADOS BRUTOS'!AB$3:AB$500)+IF($C27="",0,SUMIF('DADOS BRUTOS'!$A$3:$A$500,$C27,'DADOS BRUTOS'!AB$3:AB$500)))</f>
        <v/>
      </c>
      <c r="DC27" s="56">
        <f>IF(OR(DC$4="",$B27=""),0,SUMIF('DADOS BRUTOS'!$A$3:$A$500,$B27,'DADOS BRUTOS'!AC$3:AC$500)+IF($C27="",0,SUMIF('DADOS BRUTOS'!$A$3:$A$500,$C27,'DADOS BRUTOS'!AC$3:AC$500)))</f>
        <v/>
      </c>
      <c r="DD27" s="56">
        <f>IF(OR(DD$4="",$B27=""),0,SUMIF('DADOS BRUTOS'!$A$3:$A$500,$B27,'DADOS BRUTOS'!AD$3:AD$500)+IF($C27="",0,SUMIF('DADOS BRUTOS'!$A$3:$A$500,$C27,'DADOS BRUTOS'!AD$3:AD$500)))</f>
        <v/>
      </c>
      <c r="DE27" s="56">
        <f>IF(OR(DE$4="",$B27=""),0,SUMIF('DADOS BRUTOS'!$A$3:$A$500,$B27,'DADOS BRUTOS'!AE$3:AE$500)+IF($C27="",0,SUMIF('DADOS BRUTOS'!$A$3:$A$500,$C27,'DADOS BRUTOS'!AE$3:AE$500)))</f>
        <v/>
      </c>
      <c r="DF27" s="56">
        <f>IF(OR(DF$4="",$B27=""),0,SUMIF('DADOS BRUTOS'!$A$3:$A$500,$B27,'DADOS BRUTOS'!AF$3:AF$500)+IF($C27="",0,SUMIF('DADOS BRUTOS'!$A$3:$A$500,$C27,'DADOS BRUTOS'!AF$3:AF$500)))</f>
        <v/>
      </c>
      <c r="DG27" s="56">
        <f>IF(OR(DG$4="",$B27=""),0,SUMIF('DADOS BRUTOS'!$A$3:$A$500,$B27,'DADOS BRUTOS'!AG$3:AG$500)+IF($C27="",0,SUMIF('DADOS BRUTOS'!$A$3:$A$500,$C27,'DADOS BRUTOS'!AG$3:AG$500)))</f>
        <v/>
      </c>
      <c r="DH27" s="56">
        <f>IF(OR(DH$4="",$B27=""),0,SUMIF('DADOS BRUTOS'!$A$3:$A$500,$B27,'DADOS BRUTOS'!AH$3:AH$500)+IF($C27="",0,SUMIF('DADOS BRUTOS'!$A$3:$A$500,$C27,'DADOS BRUTOS'!AH$3:AH$500)))</f>
        <v/>
      </c>
      <c r="DI27" s="56">
        <f>IF(OR(DI$4="",$B27=""),0,SUMIF('DADOS BRUTOS'!$A$3:$A$500,$B27,'DADOS BRUTOS'!AI$3:AI$500)+IF($C27="",0,SUMIF('DADOS BRUTOS'!$A$3:$A$500,$C27,'DADOS BRUTOS'!AI$3:AI$500)))</f>
        <v/>
      </c>
      <c r="DJ27" s="56">
        <f>IF(OR(DJ$4="",$B27=""),0,SUMIF('DADOS BRUTOS'!$A$3:$A$500,$B27,'DADOS BRUTOS'!AJ$3:AJ$500)+IF($C27="",0,SUMIF('DADOS BRUTOS'!$A$3:$A$500,$C27,'DADOS BRUTOS'!AJ$3:AJ$500)))</f>
        <v/>
      </c>
      <c r="DK27" s="56">
        <f>IF(OR(DK$4="",$B27=""),0,SUMIF('DADOS BRUTOS'!$A$3:$A$500,$B27,'DADOS BRUTOS'!AK$3:AK$500)+IF($C27="",0,SUMIF('DADOS BRUTOS'!$A$3:$A$500,$C27,'DADOS BRUTOS'!AK$3:AK$500)))</f>
        <v/>
      </c>
      <c r="DL27" s="56">
        <f>IF(OR(DL$4="",$B27=""),0,SUMIF('DADOS BRUTOS'!$A$3:$A$500,$B27,'DADOS BRUTOS'!AL$3:AL$500)+IF($C27="",0,SUMIF('DADOS BRUTOS'!$A$3:$A$500,$C27,'DADOS BRUTOS'!AL$3:AL$500)))</f>
        <v/>
      </c>
      <c r="DM27" s="56">
        <f>IF(OR(DM$4="",$B27=""),0,SUMIF('DADOS BRUTOS'!$A$3:$A$500,$B27,'DADOS BRUTOS'!AM$3:AM$500)+IF($C27="",0,SUMIF('DADOS BRUTOS'!$A$3:$A$500,$C27,'DADOS BRUTOS'!AM$3:AM$500)))</f>
        <v/>
      </c>
      <c r="DN27" s="56">
        <f>IF(OR(DN$4="",$B27=""),0,SUMIF('DADOS BRUTOS'!$A$3:$A$500,$B27,'DADOS BRUTOS'!AN$3:AN$500)+IF($C27="",0,SUMIF('DADOS BRUTOS'!$A$3:$A$500,$C27,'DADOS BRUTOS'!AN$3:AN$500)))</f>
        <v/>
      </c>
      <c r="DO27" s="56">
        <f>IF(OR(DO$4="",$B27=""),0,SUMIF('DADOS BRUTOS'!$A$3:$A$500,$B27,'DADOS BRUTOS'!AO$3:AO$500)+IF($C27="",0,SUMIF('DADOS BRUTOS'!$A$3:$A$500,$C27,'DADOS BRUTOS'!AO$3:AO$500)))</f>
        <v/>
      </c>
      <c r="DP27" s="56">
        <f>IF(OR(DP$4="",$B27=""),0,SUMIF('DADOS BRUTOS'!$A$3:$A$500,$B27,'DADOS BRUTOS'!AP$3:AP$500)+IF($C27="",0,SUMIF('DADOS BRUTOS'!$A$3:$A$500,$C27,'DADOS BRUTOS'!AP$3:AP$500)))</f>
        <v/>
      </c>
      <c r="DQ27" s="56">
        <f>IF(OR(DQ$4="",$B27=""),0,SUMIF('DADOS BRUTOS'!$A$3:$A$500,$B27,'DADOS BRUTOS'!AQ$3:AQ$500)+IF($C27="",0,SUMIF('DADOS BRUTOS'!$A$3:$A$500,$C27,'DADOS BRUTOS'!AQ$3:AQ$500)))</f>
        <v/>
      </c>
      <c r="DR27" s="56">
        <f>IF(OR(DR$4="",$B27=""),0,SUMIF('DADOS BRUTOS'!$A$3:$A$500,$B27,'DADOS BRUTOS'!AR$3:AR$500)+IF($C27="",0,SUMIF('DADOS BRUTOS'!$A$3:$A$500,$C27,'DADOS BRUTOS'!AR$3:AR$500)))</f>
        <v/>
      </c>
      <c r="DS27" s="56">
        <f>IF(OR(DS$4="",$B27=""),0,SUMIF('DADOS BRUTOS'!$A$3:$A$500,$B27,'DADOS BRUTOS'!AS$3:AS$500)+IF($C27="",0,SUMIF('DADOS BRUTOS'!$A$3:$A$500,$C27,'DADOS BRUTOS'!AS$3:AS$500)))</f>
        <v/>
      </c>
      <c r="DT27" s="56">
        <f>IF(OR(DT$4="",$B27=""),0,SUMIF('DADOS BRUTOS'!$A$3:$A$500,$B27,'DADOS BRUTOS'!AT$3:AT$500)+IF($C27="",0,SUMIF('DADOS BRUTOS'!$A$3:$A$500,$C27,'DADOS BRUTOS'!AT$3:AT$500)))</f>
        <v/>
      </c>
      <c r="DU27" s="56">
        <f>IF(OR(DU$4="",$B27=""),0,SUMIF('DADOS BRUTOS'!$A$3:$A$500,$B27,'DADOS BRUTOS'!AU$3:AU$500)+IF($C27="",0,SUMIF('DADOS BRUTOS'!$A$3:$A$500,$C27,'DADOS BRUTOS'!AU$3:AU$500)))</f>
        <v/>
      </c>
      <c r="DV27" s="56">
        <f>IF(OR(DV$4="",$B27=""),0,SUMIF('DADOS BRUTOS'!$A$3:$A$500,$B27,'DADOS BRUTOS'!AV$3:AV$500)+IF($C27="",0,SUMIF('DADOS BRUTOS'!$A$3:$A$500,$C27,'DADOS BRUTOS'!AV$3:AV$500)))</f>
        <v/>
      </c>
      <c r="DW27" s="56">
        <f>IF(OR(DW$4="",$B27=""),0,SUMIF('DADOS BRUTOS'!$A$3:$A$500,$B27,'DADOS BRUTOS'!AW$3:AW$500)+IF($C27="",0,SUMIF('DADOS BRUTOS'!$A$3:$A$500,$C27,'DADOS BRUTOS'!AW$3:AW$500)))</f>
        <v/>
      </c>
      <c r="DX27" s="56">
        <f>IF(OR(DX$4="",$B27=""),0,SUMIF('DADOS BRUTOS'!$A$3:$A$500,$B27,'DADOS BRUTOS'!AX$3:AX$500)+IF($C27="",0,SUMIF('DADOS BRUTOS'!$A$3:$A$500,$C27,'DADOS BRUTOS'!AX$3:AX$500)))</f>
        <v/>
      </c>
      <c r="DY27" s="56">
        <f>IF(OR(DY$4="",$B27=""),0,SUMIF('DADOS BRUTOS'!$A$3:$A$500,$B27,'DADOS BRUTOS'!AY$3:AY$500)+IF($C27="",0,SUMIF('DADOS BRUTOS'!$A$3:$A$500,$C27,'DADOS BRUTOS'!AY$3:AY$500)))</f>
        <v/>
      </c>
      <c r="DZ27" s="56">
        <f>IF(OR(DZ$4="",$B27=""),0,SUMIF('DADOS BRUTOS'!$A$3:$A$500,$B27,'DADOS BRUTOS'!AZ$3:AZ$500)+IF($C27="",0,SUMIF('DADOS BRUTOS'!$A$3:$A$500,$C27,'DADOS BRUTOS'!AZ$3:AZ$500)))</f>
        <v/>
      </c>
      <c r="EA27" s="56">
        <f>IF(OR(EA$4="",$B27=""),0,SUMIF('DADOS BRUTOS'!$A$3:$A$500,$B27,'DADOS BRUTOS'!BA$3:BA$500)+IF($C27="",0,SUMIF('DADOS BRUTOS'!$A$3:$A$500,$C27,'DADOS BRUTOS'!BA$3:BA$500)))</f>
        <v/>
      </c>
      <c r="EB27" s="56">
        <f>IF(OR(EB$4="",$B27=""),0,SUMIF('DADOS BRUTOS'!$A$3:$A$500,$B27,'DADOS BRUTOS'!BB$3:BB$500)+IF($C27="",0,SUMIF('DADOS BRUTOS'!$A$3:$A$500,$C27,'DADOS BRUTOS'!BB$3:BB$500)))</f>
        <v/>
      </c>
      <c r="EC27" s="56">
        <f>IF(OR(EC$4="",$B27=""),0,SUMIF('DADOS BRUTOS'!$A$3:$A$500,$B27,'DADOS BRUTOS'!BC$3:BC$500)+IF($C27="",0,SUMIF('DADOS BRUTOS'!$A$3:$A$500,$C27,'DADOS BRUTOS'!BC$3:BC$500)))</f>
        <v/>
      </c>
      <c r="ED27" s="56">
        <f>IF(OR(ED$4="",$B27=""),0,SUMIF('DADOS BRUTOS'!$A$3:$A$500,$B27,'DADOS BRUTOS'!BD$3:BD$500)+IF($C27="",0,SUMIF('DADOS BRUTOS'!$A$3:$A$500,$C27,'DADOS BRUTOS'!BD$3:BD$500)))</f>
        <v/>
      </c>
      <c r="EE27" s="56">
        <f>IF(OR(EE$4="",$B27=""),0,SUMIF('DADOS BRUTOS'!$A$3:$A$500,$B27,'DADOS BRUTOS'!BE$3:BE$500)+IF($C27="",0,SUMIF('DADOS BRUTOS'!$A$3:$A$500,$C27,'DADOS BRUTOS'!BE$3:BE$500)))</f>
        <v/>
      </c>
      <c r="EF27" s="56">
        <f>IF(OR(EF$4="",$B27=""),0,SUMIF('DADOS BRUTOS'!$A$3:$A$500,$B27,'DADOS BRUTOS'!BF$3:BF$500)+IF($C27="",0,SUMIF('DADOS BRUTOS'!$A$3:$A$500,$C27,'DADOS BRUTOS'!BF$3:BF$500)))</f>
        <v/>
      </c>
      <c r="EG27" s="56">
        <f>IF(OR(EG$4="",$B27=""),0,SUMIF('DADOS BRUTOS'!$A$3:$A$500,$B27,'DADOS BRUTOS'!BG$3:BG$500)+IF($C27="",0,SUMIF('DADOS BRUTOS'!$A$3:$A$500,$C27,'DADOS BRUTOS'!BG$3:BG$500)))</f>
        <v/>
      </c>
      <c r="EH27" s="56">
        <f>IF(OR(EH$4="",$B27=""),0,SUMIF('DADOS BRUTOS'!$A$3:$A$500,$B27,'DADOS BRUTOS'!BH$3:BH$500)+IF($C27="",0,SUMIF('DADOS BRUTOS'!$A$3:$A$500,$C27,'DADOS BRUTOS'!BH$3:BH$500)))</f>
        <v/>
      </c>
      <c r="EI27" s="56">
        <f>IF(OR(EI$4="",$B27=""),0,SUMIF('DADOS BRUTOS'!$A$3:$A$500,$B27,'DADOS BRUTOS'!BI$3:BI$500)+IF($C27="",0,SUMIF('DADOS BRUTOS'!$A$3:$A$500,$C27,'DADOS BRUTOS'!BI$3:BI$500)))</f>
        <v/>
      </c>
      <c r="EJ27" s="56">
        <f>IF(OR(EJ$4="",$B27=""),0,SUMIF('DADOS BRUTOS'!$A$3:$A$500,$B27,'DADOS BRUTOS'!BJ$3:BJ$500)+IF($C27="",0,SUMIF('DADOS BRUTOS'!$A$3:$A$500,$C27,'DADOS BRUTOS'!BJ$3:BJ$500)))</f>
        <v/>
      </c>
      <c r="EK27" s="56">
        <f>IF(OR(EK$4="",$B27=""),0,SUMIF('DADOS BRUTOS'!$A$3:$A$500,$B27,'DADOS BRUTOS'!BK$3:BK$500)+IF($C27="",0,SUMIF('DADOS BRUTOS'!$A$3:$A$500,$C27,'DADOS BRUTOS'!BK$3:BK$500)))</f>
        <v/>
      </c>
      <c r="EL27" s="56">
        <f>IF(OR(EL$4="",$B27=""),0,SUMIF('DADOS BRUTOS'!$A$3:$A$500,$B27,'DADOS BRUTOS'!BL$3:BL$500)+IF($C27="",0,SUMIF('DADOS BRUTOS'!$A$3:$A$500,$C27,'DADOS BRUTOS'!BL$3:BL$500)))</f>
        <v/>
      </c>
      <c r="EM27" s="56">
        <f>IF(OR(EM$4="",$B27=""),0,SUMIF('DADOS BRUTOS'!$A$3:$A$500,$B27,'DADOS BRUTOS'!BM$3:BM$500)+IF($C27="",0,SUMIF('DADOS BRUTOS'!$A$3:$A$500,$C27,'DADOS BRUTOS'!BM$3:BM$500)))</f>
        <v/>
      </c>
      <c r="EN27" s="56">
        <f>IF(OR(EN$4="",$B27=""),0,SUMIF('DADOS BRUTOS'!$A$3:$A$500,$B27,'DADOS BRUTOS'!BN$3:BN$500)+IF($C27="",0,SUMIF('DADOS BRUTOS'!$A$3:$A$500,$C27,'DADOS BRUTOS'!BN$3:BN$500)))</f>
        <v/>
      </c>
      <c r="EO27" s="56">
        <f>IF(OR(EO$4="",$B27=""),0,SUMIF('DADOS BRUTOS'!$A$3:$A$500,$B27,'DADOS BRUTOS'!BO$3:BO$500)+IF($C27="",0,SUMIF('DADOS BRUTOS'!$A$3:$A$500,$C27,'DADOS BRUTOS'!BO$3:BO$500)))</f>
        <v/>
      </c>
      <c r="EP27" s="56">
        <f>IF(OR(EP$4="",$B27=""),0,SUMIF('DADOS BRUTOS'!$A$3:$A$500,$B27,'DADOS BRUTOS'!BP$3:BP$500)+IF($C27="",0,SUMIF('DADOS BRUTOS'!$A$3:$A$500,$C27,'DADOS BRUTOS'!BP$3:BP$500)))</f>
        <v/>
      </c>
      <c r="EQ27" s="56">
        <f>IF(OR(EQ$4="",$B27=""),0,SUMIF('DADOS BRUTOS'!$A$3:$A$500,$B27,'DADOS BRUTOS'!BQ$3:BQ$500)+IF($C27="",0,SUMIF('DADOS BRUTOS'!$A$3:$A$500,$C27,'DADOS BRUTOS'!BQ$3:BQ$500)))</f>
        <v/>
      </c>
      <c r="ER27" s="56">
        <f>IF(OR(ER$4="",$B27=""),0,SUMIF('DADOS BRUTOS'!$A$3:$A$500,$B27,'DADOS BRUTOS'!BR$3:BR$500)+IF($C27="",0,SUMIF('DADOS BRUTOS'!$A$3:$A$500,$C27,'DADOS BRUTOS'!BR$3:BR$500)))</f>
        <v/>
      </c>
      <c r="ES27" s="56">
        <f>IF(OR(ES$4="",$B27=""),0,SUMIF('DADOS BRUTOS'!$A$3:$A$500,$B27,'DADOS BRUTOS'!BS$3:BS$500)+IF($C27="",0,SUMIF('DADOS BRUTOS'!$A$3:$A$500,$C27,'DADOS BRUTOS'!BS$3:BS$500)))</f>
        <v/>
      </c>
      <c r="ET27" s="56">
        <f>IF(OR(ET$4="",$B27=""),0,SUMIF('DADOS BRUTOS'!$A$3:$A$500,$B27,'DADOS BRUTOS'!BT$3:BT$500)+IF($C27="",0,SUMIF('DADOS BRUTOS'!$A$3:$A$500,$C27,'DADOS BRUTOS'!BT$3:BT$500)))</f>
        <v/>
      </c>
      <c r="EU27" s="56">
        <f>IF(OR(EU$4="",$B27=""),0,SUMIF('DADOS BRUTOS'!$A$3:$A$500,$B27,'DADOS BRUTOS'!BU$3:BU$500)+IF($C27="",0,SUMIF('DADOS BRUTOS'!$A$3:$A$500,$C27,'DADOS BRUTOS'!BU$3:BU$500)))</f>
        <v/>
      </c>
      <c r="EV27" s="56">
        <f>IF(OR(EV$4="",$B27=""),0,SUMIF('DADOS BRUTOS'!$A$3:$A$500,$B27,'DADOS BRUTOS'!BV$3:BV$500)+IF($C27="",0,SUMIF('DADOS BRUTOS'!$A$3:$A$500,$C27,'DADOS BRUTOS'!BV$3:BV$500)))</f>
        <v/>
      </c>
      <c r="EW27" s="56">
        <f>IF(OR(EW$4="",$B27=""),0,SUMIF('DADOS BRUTOS'!$A$3:$A$500,$B27,'DADOS BRUTOS'!BW$3:BW$500)+IF($C27="",0,SUMIF('DADOS BRUTOS'!$A$3:$A$500,$C27,'DADOS BRUTOS'!BW$3:BW$500)))</f>
        <v/>
      </c>
      <c r="EX27" s="56">
        <f>IF(OR(EX$4="",$B27=""),0,SUMIF('DADOS BRUTOS'!$A$3:$A$500,$B27,'DADOS BRUTOS'!BX$3:BX$500)+IF($C27="",0,SUMIF('DADOS BRUTOS'!$A$3:$A$500,$C27,'DADOS BRUTOS'!BX$3:BX$500)))</f>
        <v/>
      </c>
      <c r="EY27" s="56">
        <f>IF(OR(EY$4="",$B27=""),0,SUMIF('DADOS BRUTOS'!$A$3:$A$500,$B27,'DADOS BRUTOS'!BY$3:BY$500)+IF($C27="",0,SUMIF('DADOS BRUTOS'!$A$3:$A$500,$C27,'DADOS BRUTOS'!BY$3:BY$500)))</f>
        <v/>
      </c>
      <c r="EZ27" s="56">
        <f>IF(OR(EZ$4="",$B27=""),0,SUMIF('DADOS BRUTOS'!$A$3:$A$500,$B27,'DADOS BRUTOS'!BZ$3:BZ$500)+IF($C27="",0,SUMIF('DADOS BRUTOS'!$A$3:$A$500,$C27,'DADOS BRUTOS'!BZ$3:BZ$500)))</f>
        <v/>
      </c>
      <c r="FA27" s="56">
        <f>IF(OR(FA$4="",$B27=""),0,SUMIF('DADOS BRUTOS'!$A$3:$A$500,$B27,'DADOS BRUTOS'!CA$3:CA$500)+IF($C27="",0,SUMIF('DADOS BRUTOS'!$A$3:$A$500,$C27,'DADOS BRUTOS'!CA$3:CA$500)))</f>
        <v/>
      </c>
      <c r="FB27" s="56">
        <f>IF(OR(FB$4="",$B27=""),0,SUMIF('DADOS BRUTOS'!$A$3:$A$500,$B27,'DADOS BRUTOS'!CB$3:CB$500)+IF($C27="",0,SUMIF('DADOS BRUTOS'!$A$3:$A$500,$C27,'DADOS BRUTOS'!CB$3:CB$500)))</f>
        <v/>
      </c>
      <c r="FC27" s="56">
        <f>IF(OR(FC$4="",$B27=""),0,SUMIF('DADOS BRUTOS'!$A$3:$A$500,$B27,'DADOS BRUTOS'!CC$3:CC$500)+IF($C27="",0,SUMIF('DADOS BRUTOS'!$A$3:$A$500,$C27,'DADOS BRUTOS'!CC$3:CC$500)))</f>
        <v/>
      </c>
      <c r="FD27" s="56">
        <f>IF(OR(FD$4="",$B27=""),0,SUMIF('DADOS BRUTOS'!$A$3:$A$500,$B27,'DADOS BRUTOS'!CD$3:CD$500)+IF($C27="",0,SUMIF('DADOS BRUTOS'!$A$3:$A$500,$C27,'DADOS BRUTOS'!CD$3:CD$500)))</f>
        <v/>
      </c>
      <c r="FE27" s="56">
        <f>IF(OR(FE$4="",$B27=""),0,SUMIF('DADOS BRUTOS'!$A$3:$A$500,$B27,'DADOS BRUTOS'!CE$3:CE$500)+IF($C27="",0,SUMIF('DADOS BRUTOS'!$A$3:$A$500,$C27,'DADOS BRUTOS'!CE$3:CE$500)))</f>
        <v/>
      </c>
      <c r="FF27" s="56">
        <f>IF(OR(FF$4="",$B27=""),0,SUMIF('DADOS BRUTOS'!$A$3:$A$500,$B27,'DADOS BRUTOS'!CF$3:CF$500)+IF($C27="",0,SUMIF('DADOS BRUTOS'!$A$3:$A$500,$C27,'DADOS BRUTOS'!CF$3:CF$500)))</f>
        <v/>
      </c>
      <c r="FG27" s="56">
        <f>IF(OR(FG$4="",$B27=""),0,SUMIF('DADOS BRUTOS'!$A$3:$A$500,$B27,'DADOS BRUTOS'!CG$3:CG$500)+IF($C27="",0,SUMIF('DADOS BRUTOS'!$A$3:$A$500,$C27,'DADOS BRUTOS'!CG$3:CG$500)))</f>
        <v/>
      </c>
      <c r="FH27" s="56">
        <f>IF(OR(FH$4="",$B27=""),0,SUMIF('DADOS BRUTOS'!$A$3:$A$500,$B27,'DADOS BRUTOS'!CH$3:CH$500)+IF($C27="",0,SUMIF('DADOS BRUTOS'!$A$3:$A$500,$C27,'DADOS BRUTOS'!CH$3:CH$500)))</f>
        <v/>
      </c>
      <c r="FI27" s="56">
        <f>IF(OR(FI$4="",$B27=""),0,SUMIF('DADOS BRUTOS'!$A$3:$A$500,$B27,'DADOS BRUTOS'!CI$3:CI$500)+IF($C27="",0,SUMIF('DADOS BRUTOS'!$A$3:$A$500,$C27,'DADOS BRUTOS'!CI$3:CI$500)))</f>
        <v/>
      </c>
      <c r="FJ27" s="56">
        <f>IF(OR(FJ$4="",$B27=""),0,SUMIF('DADOS BRUTOS'!$A$3:$A$500,$B27,'DADOS BRUTOS'!CJ$3:CJ$500)+IF($C27="",0,SUMIF('DADOS BRUTOS'!$A$3:$A$500,$C27,'DADOS BRUTOS'!CJ$3:CJ$500)))</f>
        <v/>
      </c>
      <c r="FK27" s="56">
        <f>IF(OR(FK$4="",$B27=""),0,SUMIF('DADOS BRUTOS'!$A$3:$A$500,$B27,'DADOS BRUTOS'!CK$3:CK$500)+IF($C27="",0,SUMIF('DADOS BRUTOS'!$A$3:$A$500,$C27,'DADOS BRUTOS'!CK$3:CK$500)))</f>
        <v/>
      </c>
      <c r="FL27" s="56">
        <f>IF(OR(FL$4="",$B27=""),0,SUMIF('DADOS BRUTOS'!$A$3:$A$500,$B27,'DADOS BRUTOS'!CL$3:CL$500)+IF($C27="",0,SUMIF('DADOS BRUTOS'!$A$3:$A$500,$C27,'DADOS BRUTOS'!CL$3:CL$500)))</f>
        <v/>
      </c>
      <c r="FM27" s="56">
        <f>IF(OR(FM$4="",$B27=""),0,SUMIF('DADOS BRUTOS'!$A$3:$A$500,$B27,'DADOS BRUTOS'!CM$3:CM$500)+IF($C27="",0,SUMIF('DADOS BRUTOS'!$A$3:$A$500,$C27,'DADOS BRUTOS'!CM$3:CM$500)))</f>
        <v/>
      </c>
      <c r="FN27" s="56">
        <f>IF(OR(FN$4="",$B27=""),0,SUMIF('DADOS BRUTOS'!$A$3:$A$500,$B27,'DADOS BRUTOS'!CN$3:CN$500)+IF($C27="",0,SUMIF('DADOS BRUTOS'!$A$3:$A$500,$C27,'DADOS BRUTOS'!CN$3:CN$500)))</f>
        <v/>
      </c>
      <c r="FO27" s="56">
        <f>IF(OR(FO$4="",$B27=""),0,SUMIF('DADOS BRUTOS'!$A$3:$A$500,$B27,'DADOS BRUTOS'!CO$3:CO$500)+IF($C27="",0,SUMIF('DADOS BRUTOS'!$A$3:$A$500,$C27,'DADOS BRUTOS'!CO$3:CO$500)))</f>
        <v/>
      </c>
      <c r="FP27" s="56">
        <f>IF(OR(FP$4="",$B27=""),0,SUMIF('DADOS BRUTOS'!$A$3:$A$500,$B27,'DADOS BRUTOS'!CP$3:CP$500)+IF($C27="",0,SUMIF('DADOS BRUTOS'!$A$3:$A$500,$C27,'DADOS BRUTOS'!CP$3:CP$500)))</f>
        <v/>
      </c>
      <c r="FQ27" s="56">
        <f>IF(OR(FQ$4="",$B27=""),0,SUMIF('DADOS BRUTOS'!$A$3:$A$500,$B27,'DADOS BRUTOS'!CQ$3:CQ$500)+IF($C27="",0,SUMIF('DADOS BRUTOS'!$A$3:$A$500,$C27,'DADOS BRUTOS'!CQ$3:CQ$500)))</f>
        <v/>
      </c>
      <c r="FR27" s="56">
        <f>IF(OR(FR$4="",$B27=""),0,SUMIF('DADOS BRUTOS'!$A$3:$A$500,$B27,'DADOS BRUTOS'!CR$3:CR$500)+IF($C27="",0,SUMIF('DADOS BRUTOS'!$A$3:$A$500,$C27,'DADOS BRUTOS'!CR$3:CR$500)))</f>
        <v/>
      </c>
      <c r="FS27" s="56">
        <f>IF(OR(FS$4="",$B27=""),0,SUMIF('DADOS BRUTOS'!$A$3:$A$500,$B27,'DADOS BRUTOS'!CS$3:CS$500)+IF($C27="",0,SUMIF('DADOS BRUTOS'!$A$3:$A$500,$C27,'DADOS BRUTOS'!CS$3:CS$500)))</f>
        <v/>
      </c>
      <c r="FT27" s="56">
        <f>IF(OR(FT$4="",$B27=""),0,SUMIF('DADOS BRUTOS'!$A$3:$A$500,$B27,'DADOS BRUTOS'!CT$3:CT$500)+IF($C27="",0,SUMIF('DADOS BRUTOS'!$A$3:$A$500,$C27,'DADOS BRUTOS'!CT$3:CT$500)))</f>
        <v/>
      </c>
      <c r="FU27" s="56">
        <f>IF(OR(FU$4="",$B27=""),0,SUMIF('DADOS BRUTOS'!$A$3:$A$500,$B27,'DADOS BRUTOS'!CU$3:CU$500)+IF($C27="",0,SUMIF('DADOS BRUTOS'!$A$3:$A$500,$C27,'DADOS BRUTOS'!CU$3:CU$500)))</f>
        <v/>
      </c>
      <c r="FV27" s="56">
        <f>IF(OR(FV$4="",$B27=""),0,SUMIF('DADOS BRUTOS'!$A$3:$A$500,$B27,'DADOS BRUTOS'!CV$3:CV$500)+IF($C27="",0,SUMIF('DADOS BRUTOS'!$A$3:$A$500,$C27,'DADOS BRUTOS'!CV$3:CV$500)))</f>
        <v/>
      </c>
      <c r="FW27" s="56">
        <f>IF(OR(FW$4="",$B27=""),0,SUMIF('DADOS BRUTOS'!$A$3:$A$500,$B27,'DADOS BRUTOS'!CW$3:CW$500)+IF($C27="",0,SUMIF('DADOS BRUTOS'!$A$3:$A$500,$C27,'DADOS BRUTOS'!CW$3:CW$500)))</f>
        <v/>
      </c>
      <c r="FX27" s="56">
        <f>IF(OR(FX$4="",$B27=""),0,SUMIF('DADOS BRUTOS'!$A$3:$A$500,$B27,'DADOS BRUTOS'!CX$3:CX$500)+IF($C27="",0,SUMIF('DADOS BRUTOS'!$A$3:$A$500,$C27,'DADOS BRUTOS'!CX$3:CX$500)))</f>
        <v/>
      </c>
      <c r="FY27" s="56">
        <f>IF(OR(FY$4="",$B27=""),0,SUMIF('DADOS BRUTOS'!$A$3:$A$500,$B27,'DADOS BRUTOS'!CY$3:CY$500)+IF($C27="",0,SUMIF('DADOS BRUTOS'!$A$3:$A$500,$C27,'DADOS BRUTOS'!CY$3:CY$500)))</f>
        <v/>
      </c>
      <c r="FZ27" s="56">
        <f>IF(OR(FZ$4="",$B27=""),0,SUMIF('DADOS BRUTOS'!$A$3:$A$500,$B27,'DADOS BRUTOS'!CZ$3:CZ$500)+IF($C27="",0,SUMIF('DADOS BRUTOS'!$A$3:$A$500,$C27,'DADOS BRUTOS'!CZ$3:CZ$500)))</f>
        <v/>
      </c>
      <c r="GA27" s="56">
        <f>IF(OR(GA$4="",$B27=""),0,SUMIF('DADOS BRUTOS'!$A$3:$A$500,$B27,'DADOS BRUTOS'!DA$3:DA$500)+IF($C27="",0,SUMIF('DADOS BRUTOS'!$A$3:$A$500,$C27,'DADOS BRUTOS'!DA$3:DA$500)))</f>
        <v/>
      </c>
      <c r="GB27" s="56">
        <f>IF(OR(GB$4="",$B27=""),0,SUMIF('DADOS BRUTOS'!$A$3:$A$500,$B27,'DADOS BRUTOS'!DB$3:DB$500)+IF($C27="",0,SUMIF('DADOS BRUTOS'!$A$3:$A$500,$C27,'DADOS BRUTOS'!DB$3:DB$500)))</f>
        <v/>
      </c>
      <c r="GC27" s="56">
        <f>IF(OR(GC$4="",$B27=""),0,SUMIF('DADOS BRUTOS'!$A$3:$A$500,$B27,'DADOS BRUTOS'!DC$3:DC$500)+IF($C27="",0,SUMIF('DADOS BRUTOS'!$A$3:$A$500,$C27,'DADOS BRUTOS'!DC$3:DC$500)))</f>
        <v/>
      </c>
      <c r="GD27" s="56">
        <f>IF(OR(GD$4="",$B27=""),0,SUMIF('DADOS BRUTOS'!$A$3:$A$500,$B27,'DADOS BRUTOS'!DD$3:DD$500)+IF($C27="",0,SUMIF('DADOS BRUTOS'!$A$3:$A$500,$C27,'DADOS BRUTOS'!DD$3:DD$500)))</f>
        <v/>
      </c>
      <c r="GE27" s="56">
        <f>IF(OR(GE$4="",$B27=""),0,SUMIF('DADOS BRUTOS'!$A$3:$A$500,$B27,'DADOS BRUTOS'!DE$3:DE$500)+IF($C27="",0,SUMIF('DADOS BRUTOS'!$A$3:$A$500,$C27,'DADOS BRUTOS'!DE$3:DE$500)))</f>
        <v/>
      </c>
      <c r="GF27" s="56">
        <f>IF(OR(GF$4="",$B27=""),0,SUMIF('DADOS BRUTOS'!$A$3:$A$500,$B27,'DADOS BRUTOS'!DF$3:DF$500)+IF($C27="",0,SUMIF('DADOS BRUTOS'!$A$3:$A$500,$C27,'DADOS BRUTOS'!DF$3:DF$500)))</f>
        <v/>
      </c>
      <c r="GG27" s="56">
        <f>IF(OR(GG$4="",$B27=""),0,SUMIF('DADOS BRUTOS'!$A$3:$A$500,$B27,'DADOS BRUTOS'!DG$3:DG$500)+IF($C27="",0,SUMIF('DADOS BRUTOS'!$A$3:$A$500,$C27,'DADOS BRUTOS'!DG$3:DG$500)))</f>
        <v/>
      </c>
      <c r="GH27" s="56">
        <f>IF(OR(GH$4="",$B27=""),0,SUMIF('DADOS BRUTOS'!$A$3:$A$500,$B27,'DADOS BRUTOS'!DH$3:DH$500)+IF($C27="",0,SUMIF('DADOS BRUTOS'!$A$3:$A$500,$C27,'DADOS BRUTOS'!DH$3:DH$500)))</f>
        <v/>
      </c>
      <c r="GI27" s="56">
        <f>IF(OR(GI$4="",$B27=""),0,SUMIF('DADOS BRUTOS'!$A$3:$A$500,$B27,'DADOS BRUTOS'!DI$3:DI$500)+IF($C27="",0,SUMIF('DADOS BRUTOS'!$A$3:$A$500,$C27,'DADOS BRUTOS'!DI$3:DI$500)))</f>
        <v/>
      </c>
      <c r="GJ27" s="56">
        <f>IF(OR(GJ$4="",$B27=""),0,SUMIF('DADOS BRUTOS'!$A$3:$A$500,$B27,'DADOS BRUTOS'!DJ$3:DJ$500)+IF($C27="",0,SUMIF('DADOS BRUTOS'!$A$3:$A$500,$C27,'DADOS BRUTOS'!DJ$3:DJ$500)))</f>
        <v/>
      </c>
      <c r="GK27" s="56">
        <f>IF(OR(GK$4="",$B27=""),0,SUMIF('DADOS BRUTOS'!$A$3:$A$500,$B27,'DADOS BRUTOS'!DK$3:DK$500)+IF($C27="",0,SUMIF('DADOS BRUTOS'!$A$3:$A$500,$C27,'DADOS BRUTOS'!DK$3:DK$500)))</f>
        <v/>
      </c>
      <c r="GL27" s="56">
        <f>IF(OR(GL$4="",$B27=""),0,SUMIF('DADOS BRUTOS'!$A$3:$A$500,$B27,'DADOS BRUTOS'!DL$3:DL$500)+IF($C27="",0,SUMIF('DADOS BRUTOS'!$A$3:$A$500,$C27,'DADOS BRUTOS'!DL$3:DL$500)))</f>
        <v/>
      </c>
      <c r="GM27" s="56">
        <f>IF(OR(GM$4="",$B27=""),0,SUMIF('DADOS BRUTOS'!$A$3:$A$500,$B27,'DADOS BRUTOS'!DM$3:DM$500)+IF($C27="",0,SUMIF('DADOS BRUTOS'!$A$3:$A$500,$C27,'DADOS BRUTOS'!DM$3:DM$500)))</f>
        <v/>
      </c>
      <c r="GN27" s="56">
        <f>IF(OR(GN$4="",$B27=""),0,SUMIF('DADOS BRUTOS'!$A$3:$A$500,$B27,'DADOS BRUTOS'!DN$3:DN$500)+IF($C27="",0,SUMIF('DADOS BRUTOS'!$A$3:$A$500,$C27,'DADOS BRUTOS'!DN$3:DN$500)))</f>
        <v/>
      </c>
      <c r="GO27" s="56">
        <f>IF(OR(GO$4="",$B27=""),0,SUMIF('DADOS BRUTOS'!$A$3:$A$500,$B27,'DADOS BRUTOS'!DO$3:DO$500)+IF($C27="",0,SUMIF('DADOS BRUTOS'!$A$3:$A$500,$C27,'DADOS BRUTOS'!DO$3:DO$500)))</f>
        <v/>
      </c>
      <c r="GP27" s="56">
        <f>IF(OR(GP$4="",$B27=""),0,SUMIF('DADOS BRUTOS'!$A$3:$A$500,$B27,'DADOS BRUTOS'!DP$3:DP$500)+IF($C27="",0,SUMIF('DADOS BRUTOS'!$A$3:$A$500,$C27,'DADOS BRUTOS'!DP$3:DP$500)))</f>
        <v/>
      </c>
      <c r="GQ27" s="56">
        <f>IF(OR(GQ$4="",$B27=""),0,SUMIF('DADOS BRUTOS'!$A$3:$A$500,$B27,'DADOS BRUTOS'!DQ$3:DQ$500)+IF($C27="",0,SUMIF('DADOS BRUTOS'!$A$3:$A$500,$C27,'DADOS BRUTOS'!DQ$3:DQ$500)))</f>
        <v/>
      </c>
      <c r="GR27" s="56">
        <f>IF(OR(GR$4="",$B27=""),0,SUMIF('DADOS BRUTOS'!$A$3:$A$500,$B27,'DADOS BRUTOS'!DR$3:DR$500)+IF($C27="",0,SUMIF('DADOS BRUTOS'!$A$3:$A$500,$C27,'DADOS BRUTOS'!DR$3:DR$500)))</f>
        <v/>
      </c>
      <c r="GS27" s="56">
        <f>IF(OR(GS$4="",$B27=""),0,SUMIF('DADOS BRUTOS'!$A$3:$A$500,$B27,'DADOS BRUTOS'!DS$3:DS$500)+IF($C27="",0,SUMIF('DADOS BRUTOS'!$A$3:$A$500,$C27,'DADOS BRUTOS'!DS$3:DS$500)))</f>
        <v/>
      </c>
      <c r="GT27" s="56">
        <f>IF(OR(GT$4="",$B27=""),0,SUMIF('DADOS BRUTOS'!$A$3:$A$500,$B27,'DADOS BRUTOS'!DT$3:DT$500)+IF($C27="",0,SUMIF('DADOS BRUTOS'!$A$3:$A$500,$C27,'DADOS BRUTOS'!DT$3:DT$500)))</f>
        <v/>
      </c>
      <c r="GU27" s="56">
        <f>IF(OR(GU$4="",$B27=""),0,SUMIF('DADOS BRUTOS'!$A$3:$A$500,$B27,'DADOS BRUTOS'!DU$3:DU$500)+IF($C27="",0,SUMIF('DADOS BRUTOS'!$A$3:$A$500,$C27,'DADOS BRUTOS'!DU$3:DU$500)))</f>
        <v/>
      </c>
      <c r="GV27" s="56">
        <f>IF(OR(GV$4="",$B27=""),0,SUMIF('DADOS BRUTOS'!$A$3:$A$500,$B27,'DADOS BRUTOS'!DV$3:DV$500)+IF($C27="",0,SUMIF('DADOS BRUTOS'!$A$3:$A$500,$C27,'DADOS BRUTOS'!DV$3:DV$500)))</f>
        <v/>
      </c>
      <c r="GW27" s="56">
        <f>IF(OR(GW$4="",$B27=""),0,SUMIF('DADOS BRUTOS'!$A$3:$A$500,$B27,'DADOS BRUTOS'!DW$3:DW$500)+IF($C27="",0,SUMIF('DADOS BRUTOS'!$A$3:$A$500,$C27,'DADOS BRUTOS'!DW$3:DW$500)))</f>
        <v/>
      </c>
      <c r="GX27" s="56">
        <f>IF(OR(GX$4="",$B27=""),0,SUMIF('DADOS BRUTOS'!$A$3:$A$500,$B27,'DADOS BRUTOS'!DX$3:DX$500)+IF($C27="",0,SUMIF('DADOS BRUTOS'!$A$3:$A$500,$C27,'DADOS BRUTOS'!DX$3:DX$500)))</f>
        <v/>
      </c>
      <c r="GY27" s="56">
        <f>IF(OR(GY$4="",$B27=""),0,SUMIF('DADOS BRUTOS'!$A$3:$A$500,$B27,'DADOS BRUTOS'!DY$3:DY$500)+IF($C27="",0,SUMIF('DADOS BRUTOS'!$A$3:$A$500,$C27,'DADOS BRUTOS'!DY$3:DY$500)))</f>
        <v/>
      </c>
      <c r="GZ27" s="56">
        <f>IF(OR(GZ$4="",$B27=""),0,SUMIF('DADOS BRUTOS'!$A$3:$A$500,$B27,'DADOS BRUTOS'!DZ$3:DZ$500)+IF($C27="",0,SUMIF('DADOS BRUTOS'!$A$3:$A$500,$C27,'DADOS BRUTOS'!DZ$3:DZ$500)))</f>
        <v/>
      </c>
      <c r="HA27" s="56">
        <f>IF(OR(HA$4="",$B27=""),0,SUMIF('DADOS BRUTOS'!$A$3:$A$500,$B27,'DADOS BRUTOS'!EA$3:EA$500)+IF($C27="",0,SUMIF('DADOS BRUTOS'!$A$3:$A$500,$C27,'DADOS BRUTOS'!EA$3:EA$500)))</f>
        <v/>
      </c>
      <c r="HB27" s="56">
        <f>IF(OR(HB$4="",$B27=""),0,SUMIF('DADOS BRUTOS'!$A$3:$A$500,$B27,'DADOS BRUTOS'!EB$3:EB$500)+IF($C27="",0,SUMIF('DADOS BRUTOS'!$A$3:$A$500,$C27,'DADOS BRUTOS'!EB$3:EB$500)))</f>
        <v/>
      </c>
      <c r="HC27" s="56">
        <f>IF(OR(HC$4="",$B27=""),0,SUMIF('DADOS BRUTOS'!$A$3:$A$500,$B27,'DADOS BRUTOS'!EC$3:EC$500)+IF($C27="",0,SUMIF('DADOS BRUTOS'!$A$3:$A$500,$C27,'DADOS BRUTOS'!EC$3:EC$500)))</f>
        <v/>
      </c>
      <c r="HD27" s="56">
        <f>IF(OR(HD$4="",$B27=""),0,SUMIF('DADOS BRUTOS'!$A$3:$A$500,$B27,'DADOS BRUTOS'!ED$3:ED$500)+IF($C27="",0,SUMIF('DADOS BRUTOS'!$A$3:$A$500,$C27,'DADOS BRUTOS'!ED$3:ED$500)))</f>
        <v/>
      </c>
      <c r="HE27" s="56">
        <f>IF(OR(HE$4="",$B27=""),0,SUMIF('DADOS BRUTOS'!$A$3:$A$500,$B27,'DADOS BRUTOS'!EE$3:EE$500)+IF($C27="",0,SUMIF('DADOS BRUTOS'!$A$3:$A$500,$C27,'DADOS BRUTOS'!EE$3:EE$500)))</f>
        <v/>
      </c>
      <c r="HF27" s="56">
        <f>IF(OR(HF$4="",$B27=""),0,SUMIF('DADOS BRUTOS'!$A$3:$A$500,$B27,'DADOS BRUTOS'!EF$3:EF$500)+IF($C27="",0,SUMIF('DADOS BRUTOS'!$A$3:$A$500,$C27,'DADOS BRUTOS'!EF$3:EF$500)))</f>
        <v/>
      </c>
      <c r="HG27" s="56">
        <f>IF(OR(HG$4="",$B27=""),0,SUMIF('DADOS BRUTOS'!$A$3:$A$500,$B27,'DADOS BRUTOS'!EG$3:EG$500)+IF($C27="",0,SUMIF('DADOS BRUTOS'!$A$3:$A$500,$C27,'DADOS BRUTOS'!EG$3:EG$500)))</f>
        <v/>
      </c>
      <c r="HH27" s="56">
        <f>IF(OR(HH$4="",$B27=""),0,SUMIF('DADOS BRUTOS'!$A$3:$A$500,$B27,'DADOS BRUTOS'!EH$3:EH$500)+IF($C27="",0,SUMIF('DADOS BRUTOS'!$A$3:$A$500,$C27,'DADOS BRUTOS'!EH$3:EH$500)))</f>
        <v/>
      </c>
      <c r="HI27" s="56">
        <f>IF(OR(HI$4="",$B27=""),0,SUMIF('DADOS BRUTOS'!$A$3:$A$500,$B27,'DADOS BRUTOS'!EI$3:EI$500)+IF($C27="",0,SUMIF('DADOS BRUTOS'!$A$3:$A$500,$C27,'DADOS BRUTOS'!EI$3:EI$500)))</f>
        <v/>
      </c>
      <c r="HJ27" s="56">
        <f>IF(OR(HJ$4="",$B27=""),0,SUMIF('DADOS BRUTOS'!$A$3:$A$500,$B27,'DADOS BRUTOS'!EJ$3:EJ$500)+IF($C27="",0,SUMIF('DADOS BRUTOS'!$A$3:$A$500,$C27,'DADOS BRUTOS'!EJ$3:EJ$500)))</f>
        <v/>
      </c>
      <c r="HK27" s="56">
        <f>IF(OR(HK$4="",$B27=""),0,SUMIF('DADOS BRUTOS'!$A$3:$A$500,$B27,'DADOS BRUTOS'!EK$3:EK$500)+IF($C27="",0,SUMIF('DADOS BRUTOS'!$A$3:$A$500,$C27,'DADOS BRUTOS'!EK$3:EK$500)))</f>
        <v/>
      </c>
      <c r="HL27" s="56">
        <f>IF(OR(HL$4="",$B27=""),0,SUMIF('DADOS BRUTOS'!$A$3:$A$500,$B27,'DADOS BRUTOS'!EL$3:EL$500)+IF($C27="",0,SUMIF('DADOS BRUTOS'!$A$3:$A$500,$C27,'DADOS BRUTOS'!EL$3:EL$500)))</f>
        <v/>
      </c>
      <c r="HM27" s="56">
        <f>IF(OR(HM$4="",$B27=""),0,SUMIF('DADOS BRUTOS'!$A$3:$A$500,$B27,'DADOS BRUTOS'!EM$3:EM$500)+IF($C27="",0,SUMIF('DADOS BRUTOS'!$A$3:$A$500,$C27,'DADOS BRUTOS'!EM$3:EM$500)))</f>
        <v/>
      </c>
      <c r="HN27" s="56">
        <f>IF(OR(HN$4="",$B27=""),0,SUMIF('DADOS BRUTOS'!$A$3:$A$500,$B27,'DADOS BRUTOS'!EN$3:EN$500)+IF($C27="",0,SUMIF('DADOS BRUTOS'!$A$3:$A$500,$C27,'DADOS BRUTOS'!EN$3:EN$500)))</f>
        <v/>
      </c>
      <c r="HO27" s="56">
        <f>IF(OR(HO$4="",$B27=""),0,SUMIF('DADOS BRUTOS'!$A$3:$A$500,$B27,'DADOS BRUTOS'!EO$3:EO$500)+IF($C27="",0,SUMIF('DADOS BRUTOS'!$A$3:$A$500,$C27,'DADOS BRUTOS'!EO$3:EO$500)))</f>
        <v/>
      </c>
      <c r="HP27" s="56">
        <f>IF(OR(HP$4="",$B27=""),0,SUMIF('DADOS BRUTOS'!$A$3:$A$500,$B27,'DADOS BRUTOS'!EP$3:EP$500)+IF($C27="",0,SUMIF('DADOS BRUTOS'!$A$3:$A$500,$C27,'DADOS BRUTOS'!EP$3:EP$500)))</f>
        <v/>
      </c>
      <c r="HQ27" s="56">
        <f>IF(OR(HQ$4="",$B27=""),0,SUMIF('DADOS BRUTOS'!$A$3:$A$500,$B27,'DADOS BRUTOS'!EQ$3:EQ$500)+IF($C27="",0,SUMIF('DADOS BRUTOS'!$A$3:$A$500,$C27,'DADOS BRUTOS'!EQ$3:EQ$500)))</f>
        <v/>
      </c>
      <c r="HR27" s="56">
        <f>IF(OR(HR$4="",$B27=""),0,SUMIF('DADOS BRUTOS'!$A$3:$A$500,$B27,'DADOS BRUTOS'!ER$3:ER$500)+IF($C27="",0,SUMIF('DADOS BRUTOS'!$A$3:$A$500,$C27,'DADOS BRUTOS'!ER$3:ER$500)))</f>
        <v/>
      </c>
      <c r="HS27" s="56">
        <f>IF(OR(HS$4="",$B27=""),0,SUMIF('DADOS BRUTOS'!$A$3:$A$500,$B27,'DADOS BRUTOS'!ES$3:ES$500)+IF($C27="",0,SUMIF('DADOS BRUTOS'!$A$3:$A$500,$C27,'DADOS BRUTOS'!ES$3:ES$500)))</f>
        <v/>
      </c>
      <c r="HT27" s="56">
        <f>IF(OR(HT$4="",$B27=""),0,SUMIF('DADOS BRUTOS'!$A$3:$A$500,$B27,'DADOS BRUTOS'!ET$3:ET$500)+IF($C27="",0,SUMIF('DADOS BRUTOS'!$A$3:$A$500,$C27,'DADOS BRUTOS'!ET$3:ET$500)))</f>
        <v/>
      </c>
      <c r="HU27" s="56">
        <f>IF(OR(HU$4="",$B27=""),0,SUMIF('DADOS BRUTOS'!$A$3:$A$500,$B27,'DADOS BRUTOS'!EU$3:EU$500)+IF($C27="",0,SUMIF('DADOS BRUTOS'!$A$3:$A$500,$C27,'DADOS BRUTOS'!EU$3:EU$500)))</f>
        <v/>
      </c>
      <c r="HV27" s="56">
        <f>IF(OR(HV$4="",$B27=""),0,SUMIF('DADOS BRUTOS'!$A$3:$A$500,$B27,'DADOS BRUTOS'!EV$3:EV$500)+IF($C27="",0,SUMIF('DADOS BRUTOS'!$A$3:$A$500,$C27,'DADOS BRUTOS'!EV$3:EV$500)))</f>
        <v/>
      </c>
      <c r="HW27" s="56">
        <f>IF(OR(HW$4="",$B27=""),0,SUMIF('DADOS BRUTOS'!$A$3:$A$500,$B27,'DADOS BRUTOS'!EW$3:EW$500)+IF($C27="",0,SUMIF('DADOS BRUTOS'!$A$3:$A$500,$C27,'DADOS BRUTOS'!EW$3:EW$500)))</f>
        <v/>
      </c>
      <c r="HX27" s="56">
        <f>IF(OR(HX$4="",$B27=""),0,SUMIF('DADOS BRUTOS'!$A$3:$A$500,$B27,'DADOS BRUTOS'!EX$3:EX$500)+IF($C27="",0,SUMIF('DADOS BRUTOS'!$A$3:$A$500,$C27,'DADOS BRUTOS'!EX$3:EX$500)))</f>
        <v/>
      </c>
      <c r="HY27" s="56">
        <f>IF(OR(HY$4="",$B27=""),0,SUMIF('DADOS BRUTOS'!$A$3:$A$500,$B27,'DADOS BRUTOS'!EY$3:EY$500)+IF($C27="",0,SUMIF('DADOS BRUTOS'!$A$3:$A$500,$C27,'DADOS BRUTOS'!EY$3:EY$500)))</f>
        <v/>
      </c>
      <c r="HZ27" s="56">
        <f>IF(OR(HZ$4="",$B27=""),0,SUMIF('DADOS BRUTOS'!$A$3:$A$500,$B27,'DADOS BRUTOS'!EZ$3:EZ$500)+IF($C27="",0,SUMIF('DADOS BRUTOS'!$A$3:$A$500,$C27,'DADOS BRUTOS'!EZ$3:EZ$500)))</f>
        <v/>
      </c>
      <c r="IA27" s="56">
        <f>IF(OR(IA$4="",$B27=""),0,SUMIF('DADOS BRUTOS'!$A$3:$A$500,$B27,'DADOS BRUTOS'!FA$3:FA$500)+IF($C27="",0,SUMIF('DADOS BRUTOS'!$A$3:$A$500,$C27,'DADOS BRUTOS'!FA$3:FA$500)))</f>
        <v/>
      </c>
      <c r="IB27" s="56">
        <f>IF(OR(IB$4="",$B27=""),0,SUMIF('DADOS BRUTOS'!$A$3:$A$500,$B27,'DADOS BRUTOS'!FB$3:FB$500)+IF($C27="",0,SUMIF('DADOS BRUTOS'!$A$3:$A$500,$C27,'DADOS BRUTOS'!FB$3:FB$500)))</f>
        <v/>
      </c>
      <c r="IC27" s="56">
        <f>IF(OR(IC$4="",$B27=""),0,SUMIF('DADOS BRUTOS'!$A$3:$A$500,$B27,'DADOS BRUTOS'!FC$3:FC$500)+IF($C27="",0,SUMIF('DADOS BRUTOS'!$A$3:$A$500,$C27,'DADOS BRUTOS'!FC$3:FC$500)))</f>
        <v/>
      </c>
      <c r="ID27" s="56">
        <f>IF(OR(ID$4="",$B27=""),0,SUMIF('DADOS BRUTOS'!$A$3:$A$500,$B27,'DADOS BRUTOS'!FD$3:FD$500)+IF($C27="",0,SUMIF('DADOS BRUTOS'!$A$3:$A$500,$C27,'DADOS BRUTOS'!FD$3:FD$500)))</f>
        <v/>
      </c>
      <c r="IE27" s="56">
        <f>IF(OR(IE$4="",$B27=""),0,SUMIF('DADOS BRUTOS'!$A$3:$A$500,$B27,'DADOS BRUTOS'!FE$3:FE$500)+IF($C27="",0,SUMIF('DADOS BRUTOS'!$A$3:$A$500,$C27,'DADOS BRUTOS'!FE$3:FE$500)))</f>
        <v/>
      </c>
      <c r="IF27" s="56">
        <f>IF(OR(IF$4="",$B27=""),0,SUMIF('DADOS BRUTOS'!$A$3:$A$500,$B27,'DADOS BRUTOS'!FF$3:FF$500)+IF($C27="",0,SUMIF('DADOS BRUTOS'!$A$3:$A$500,$C27,'DADOS BRUTOS'!FF$3:FF$500)))</f>
        <v/>
      </c>
      <c r="IG27" s="56">
        <f>IF(OR(IG$4="",$B27=""),0,SUMIF('DADOS BRUTOS'!$A$3:$A$500,$B27,'DADOS BRUTOS'!FG$3:FG$500)+IF($C27="",0,SUMIF('DADOS BRUTOS'!$A$3:$A$500,$C27,'DADOS BRUTOS'!FG$3:FG$500)))</f>
        <v/>
      </c>
      <c r="IH27" s="56">
        <f>IF(OR(IH$4="",$B27=""),0,SUMIF('DADOS BRUTOS'!$A$3:$A$500,$B27,'DADOS BRUTOS'!FH$3:FH$500)+IF($C27="",0,SUMIF('DADOS BRUTOS'!$A$3:$A$500,$C27,'DADOS BRUTOS'!FH$3:FH$500)))</f>
        <v/>
      </c>
      <c r="II27" s="56">
        <f>IF(OR(II$4="",$B27=""),0,SUMIF('DADOS BRUTOS'!$A$3:$A$500,$B27,'DADOS BRUTOS'!FI$3:FI$500)+IF($C27="",0,SUMIF('DADOS BRUTOS'!$A$3:$A$500,$C27,'DADOS BRUTOS'!FI$3:FI$500)))</f>
        <v/>
      </c>
      <c r="IJ27" s="56">
        <f>IF(OR(IJ$4="",$B27=""),0,SUMIF('DADOS BRUTOS'!$A$3:$A$500,$B27,'DADOS BRUTOS'!FJ$3:FJ$500)+IF($C27="",0,SUMIF('DADOS BRUTOS'!$A$3:$A$500,$C27,'DADOS BRUTOS'!FJ$3:FJ$500)))</f>
        <v/>
      </c>
      <c r="IK27" s="56">
        <f>IF(OR(IK$4="",$B27=""),0,SUMIF('DADOS BRUTOS'!$A$3:$A$500,$B27,'DADOS BRUTOS'!FK$3:FK$500)+IF($C27="",0,SUMIF('DADOS BRUTOS'!$A$3:$A$500,$C27,'DADOS BRUTOS'!FK$3:FK$500)))</f>
        <v/>
      </c>
      <c r="IL27" s="56">
        <f>IF(OR(IL$4="",$B27=""),0,SUMIF('DADOS BRUTOS'!$A$3:$A$500,$B27,'DADOS BRUTOS'!FL$3:FL$500)+IF($C27="",0,SUMIF('DADOS BRUTOS'!$A$3:$A$500,$C27,'DADOS BRUTOS'!FL$3:FL$500)))</f>
        <v/>
      </c>
      <c r="IM27" s="56">
        <f>IF(OR(IM$4="",$B27=""),0,SUMIF('DADOS BRUTOS'!$A$3:$A$500,$B27,'DADOS BRUTOS'!FM$3:FM$500)+IF($C27="",0,SUMIF('DADOS BRUTOS'!$A$3:$A$500,$C27,'DADOS BRUTOS'!FM$3:FM$500)))</f>
        <v/>
      </c>
      <c r="IN27" s="56">
        <f>IF(OR(IN$4="",$B27=""),0,SUMIF('DADOS BRUTOS'!$A$3:$A$500,$B27,'DADOS BRUTOS'!FN$3:FN$500)+IF($C27="",0,SUMIF('DADOS BRUTOS'!$A$3:$A$500,$C27,'DADOS BRUTOS'!FN$3:FN$500)))</f>
        <v/>
      </c>
      <c r="IO27" s="56">
        <f>IF(OR(IO$4="",$B27=""),0,SUMIF('DADOS BRUTOS'!$A$3:$A$500,$B27,'DADOS BRUTOS'!FO$3:FO$500)+IF($C27="",0,SUMIF('DADOS BRUTOS'!$A$3:$A$500,$C27,'DADOS BRUTOS'!FO$3:FO$500)))</f>
        <v/>
      </c>
      <c r="IP27" s="56">
        <f>IF(OR(IP$4="",$B27=""),0,SUMIF('DADOS BRUTOS'!$A$3:$A$500,$B27,'DADOS BRUTOS'!FP$3:FP$500)+IF($C27="",0,SUMIF('DADOS BRUTOS'!$A$3:$A$500,$C27,'DADOS BRUTOS'!FP$3:FP$500)))</f>
        <v/>
      </c>
      <c r="IQ27" s="56">
        <f>IF(OR(IQ$4="",$B27=""),0,SUMIF('DADOS BRUTOS'!$A$3:$A$500,$B27,'DADOS BRUTOS'!FQ$3:FQ$500)+IF($C27="",0,SUMIF('DADOS BRUTOS'!$A$3:$A$500,$C27,'DADOS BRUTOS'!FQ$3:FQ$500)))</f>
        <v/>
      </c>
      <c r="IR27" s="56">
        <f>IF(OR(IR$4="",$B27=""),0,SUMIF('DADOS BRUTOS'!$A$3:$A$500,$B27,'DADOS BRUTOS'!FR$3:FR$500)+IF($C27="",0,SUMIF('DADOS BRUTOS'!$A$3:$A$500,$C27,'DADOS BRUTOS'!FR$3:FR$500)))</f>
        <v/>
      </c>
      <c r="IS27" s="56">
        <f>IF(OR(IS$4="",$B27=""),0,SUMIF('DADOS BRUTOS'!$A$3:$A$500,$B27,'DADOS BRUTOS'!FS$3:FS$500)+IF($C27="",0,SUMIF('DADOS BRUTOS'!$A$3:$A$500,$C27,'DADOS BRUTOS'!FS$3:FS$500)))</f>
        <v/>
      </c>
      <c r="IT27" s="56">
        <f>IF(OR(IT$4="",$B27=""),0,SUMIF('DADOS BRUTOS'!$A$3:$A$500,$B27,'DADOS BRUTOS'!FT$3:FT$500)+IF($C27="",0,SUMIF('DADOS BRUTOS'!$A$3:$A$500,$C27,'DADOS BRUTOS'!FT$3:FT$500)))</f>
        <v/>
      </c>
      <c r="IU27" s="56">
        <f>IF(OR(IU$4="",$B27=""),0,SUMIF('DADOS BRUTOS'!$A$3:$A$500,$B27,'DADOS BRUTOS'!FU$3:FU$500)+IF($C27="",0,SUMIF('DADOS BRUTOS'!$A$3:$A$500,$C27,'DADOS BRUTOS'!FU$3:FU$500)))</f>
        <v/>
      </c>
      <c r="IV27" s="56">
        <f>IF(OR(IV$4="",$B27=""),0,SUMIF('DADOS BRUTOS'!$A$3:$A$500,$B27,'DADOS BRUTOS'!FV$3:FV$500)+IF($C27="",0,SUMIF('DADOS BRUTOS'!$A$3:$A$500,$C27,'DADOS BRUTOS'!FV$3:FV$500)))</f>
        <v/>
      </c>
      <c r="IW27" s="56">
        <f>IF(OR(IW$4="",$B27=""),0,SUMIF('DADOS BRUTOS'!$A$3:$A$500,$B27,'DADOS BRUTOS'!FW$3:FW$500)+IF($C27="",0,SUMIF('DADOS BRUTOS'!$A$3:$A$500,$C27,'DADOS BRUTOS'!FW$3:FW$500)))</f>
        <v/>
      </c>
      <c r="IX27" s="56">
        <f>IF(OR(IX$4="",$B27=""),0,SUMIF('DADOS BRUTOS'!$A$3:$A$500,$B27,'DADOS BRUTOS'!FX$3:FX$500)+IF($C27="",0,SUMIF('DADOS BRUTOS'!$A$3:$A$500,$C27,'DADOS BRUTOS'!FX$3:FX$500)))</f>
        <v/>
      </c>
      <c r="IY27" s="56">
        <f>IF(OR(IY$4="",$B27=""),0,SUMIF('DADOS BRUTOS'!$A$3:$A$500,$B27,'DADOS BRUTOS'!FY$3:FY$500)+IF($C27="",0,SUMIF('DADOS BRUTOS'!$A$3:$A$500,$C27,'DADOS BRUTOS'!FY$3:FY$500)))</f>
        <v/>
      </c>
      <c r="IZ27" s="56">
        <f>IF(OR(IZ$4="",$B27=""),0,SUMIF('DADOS BRUTOS'!$A$3:$A$500,$B27,'DADOS BRUTOS'!FZ$3:FZ$500)+IF($C27="",0,SUMIF('DADOS BRUTOS'!$A$3:$A$500,$C27,'DADOS BRUTOS'!FZ$3:FZ$500)))</f>
        <v/>
      </c>
      <c r="JA27" s="56">
        <f>IF(OR(JA$4="",$B27=""),0,SUMIF('DADOS BRUTOS'!$A$3:$A$500,$B27,'DADOS BRUTOS'!GA$3:GA$500)+IF($C27="",0,SUMIF('DADOS BRUTOS'!$A$3:$A$500,$C27,'DADOS BRUTOS'!GA$3:GA$500)))</f>
        <v/>
      </c>
      <c r="JB27" s="56">
        <f>IF(OR(JB$4="",$B27=""),0,SUMIF('DADOS BRUTOS'!$A$3:$A$500,$B27,'DADOS BRUTOS'!GB$3:GB$500)+IF($C27="",0,SUMIF('DADOS BRUTOS'!$A$3:$A$500,$C27,'DADOS BRUTOS'!GB$3:GB$500)))</f>
        <v/>
      </c>
      <c r="JC27" s="56">
        <f>IF(OR(JC$4="",$B27=""),0,SUMIF('DADOS BRUTOS'!$A$3:$A$500,$B27,'DADOS BRUTOS'!GC$3:GC$500)+IF($C27="",0,SUMIF('DADOS BRUTOS'!$A$3:$A$500,$C27,'DADOS BRUTOS'!GC$3:GC$500)))</f>
        <v/>
      </c>
      <c r="JD27" s="56">
        <f>IF(OR(JD$4="",$B27=""),0,SUMIF('DADOS BRUTOS'!$A$3:$A$500,$B27,'DADOS BRUTOS'!GD$3:GD$500)+IF($C27="",0,SUMIF('DADOS BRUTOS'!$A$3:$A$500,$C27,'DADOS BRUTOS'!GD$3:GD$500)))</f>
        <v/>
      </c>
      <c r="JE27" s="56">
        <f>IF(OR(JE$4="",$B27=""),0,SUMIF('DADOS BRUTOS'!$A$3:$A$500,$B27,'DADOS BRUTOS'!GE$3:GE$500)+IF($C27="",0,SUMIF('DADOS BRUTOS'!$A$3:$A$500,$C27,'DADOS BRUTOS'!GE$3:GE$500)))</f>
        <v/>
      </c>
      <c r="JF27" s="56">
        <f>IF(OR(JF$4="",$B27=""),0,SUMIF('DADOS BRUTOS'!$A$3:$A$500,$B27,'DADOS BRUTOS'!GF$3:GF$500)+IF($C27="",0,SUMIF('DADOS BRUTOS'!$A$3:$A$500,$C27,'DADOS BRUTOS'!GF$3:GF$500)))</f>
        <v/>
      </c>
      <c r="JG27" s="56">
        <f>IF(OR(JG$4="",$B27=""),0,SUMIF('DADOS BRUTOS'!$A$3:$A$500,$B27,'DADOS BRUTOS'!GG$3:GG$500)+IF($C27="",0,SUMIF('DADOS BRUTOS'!$A$3:$A$500,$C27,'DADOS BRUTOS'!GG$3:GG$500)))</f>
        <v/>
      </c>
      <c r="JH27" s="56">
        <f>IF(OR(JH$4="",$B27=""),0,SUMIF('DADOS BRUTOS'!$A$3:$A$500,$B27,'DADOS BRUTOS'!GH$3:GH$500)+IF($C27="",0,SUMIF('DADOS BRUTOS'!$A$3:$A$500,$C27,'DADOS BRUTOS'!GH$3:GH$500)))</f>
        <v/>
      </c>
      <c r="JI27" s="56">
        <f>IF(OR(JI$4="",$B27=""),0,SUMIF('DADOS BRUTOS'!$A$3:$A$500,$B27,'DADOS BRUTOS'!GI$3:GI$500)+IF($C27="",0,SUMIF('DADOS BRUTOS'!$A$3:$A$500,$C27,'DADOS BRUTOS'!GI$3:GI$500)))</f>
        <v/>
      </c>
      <c r="JJ27" s="56">
        <f>IF(OR(JJ$4="",$B27=""),0,SUMIF('DADOS BRUTOS'!$A$3:$A$500,$B27,'DADOS BRUTOS'!GJ$3:GJ$500)+IF($C27="",0,SUMIF('DADOS BRUTOS'!$A$3:$A$500,$C27,'DADOS BRUTOS'!GJ$3:GJ$500)))</f>
        <v/>
      </c>
      <c r="JK27" s="56">
        <f>IF(OR(JK$4="",$B27=""),0,SUMIF('DADOS BRUTOS'!$A$3:$A$500,$B27,'DADOS BRUTOS'!GK$3:GK$500)+IF($C27="",0,SUMIF('DADOS BRUTOS'!$A$3:$A$500,$C27,'DADOS BRUTOS'!GK$3:GK$500)))</f>
        <v/>
      </c>
      <c r="JL27" s="56">
        <f>IF(OR(JL$4="",$B27=""),0,SUMIF('DADOS BRUTOS'!$A$3:$A$500,$B27,'DADOS BRUTOS'!GL$3:GL$500)+IF($C27="",0,SUMIF('DADOS BRUTOS'!$A$3:$A$500,$C27,'DADOS BRUTOS'!GL$3:GL$500)))</f>
        <v/>
      </c>
      <c r="JM27" s="56">
        <f>IF(OR(JM$4="",$B27=""),0,SUMIF('DADOS BRUTOS'!$A$3:$A$500,$B27,'DADOS BRUTOS'!GM$3:GM$500)+IF($C27="",0,SUMIF('DADOS BRUTOS'!$A$3:$A$500,$C27,'DADOS BRUTOS'!GM$3:GM$500)))</f>
        <v/>
      </c>
      <c r="JN27" s="56">
        <f>IF(OR(JN$4="",$B27=""),0,SUMIF('DADOS BRUTOS'!$A$3:$A$500,$B27,'DADOS BRUTOS'!GN$3:GN$500)+IF($C27="",0,SUMIF('DADOS BRUTOS'!$A$3:$A$500,$C27,'DADOS BRUTOS'!GN$3:GN$500)))</f>
        <v/>
      </c>
      <c r="JO27" s="56">
        <f>IF(OR(JO$4="",$B27=""),0,SUMIF('DADOS BRUTOS'!$A$3:$A$500,$B27,'DADOS BRUTOS'!GO$3:GO$500)+IF($C27="",0,SUMIF('DADOS BRUTOS'!$A$3:$A$500,$C27,'DADOS BRUTOS'!GO$3:GO$500)))</f>
        <v/>
      </c>
      <c r="JP27" s="56">
        <f>IF(OR(JP$4="",$B27=""),0,SUMIF('DADOS BRUTOS'!$A$3:$A$500,$B27,'DADOS BRUTOS'!GP$3:GP$500)+IF($C27="",0,SUMIF('DADOS BRUTOS'!$A$3:$A$500,$C27,'DADOS BRUTOS'!GP$3:GP$500)))</f>
        <v/>
      </c>
      <c r="JQ27" s="56">
        <f>IF(OR(JQ$4="",$B27=""),0,SUMIF('DADOS BRUTOS'!$A$3:$A$500,$B27,'DADOS BRUTOS'!GQ$3:GQ$500)+IF($C27="",0,SUMIF('DADOS BRUTOS'!$A$3:$A$500,$C27,'DADOS BRUTOS'!GQ$3:GQ$500)))</f>
        <v/>
      </c>
      <c r="JR27" s="56">
        <f>IF(OR(JR$4="",$B27=""),0,SUMIF('DADOS BRUTOS'!$A$3:$A$500,$B27,'DADOS BRUTOS'!GR$3:GR$500)+IF($C27="",0,SUMIF('DADOS BRUTOS'!$A$3:$A$500,$C27,'DADOS BRUTOS'!GR$3:GR$500)))</f>
        <v/>
      </c>
      <c r="JS27" s="56">
        <f>IF(OR(JS$4="",$B27=""),0,SUMIF('DADOS BRUTOS'!$A$3:$A$500,$B27,'DADOS BRUTOS'!GS$3:GS$500)+IF($C27="",0,SUMIF('DADOS BRUTOS'!$A$3:$A$500,$C27,'DADOS BRUTOS'!GS$3:GS$500)))</f>
        <v/>
      </c>
    </row>
    <row r="28">
      <c r="A28" s="34">
        <f>'VALOR POR PL'!D34</f>
        <v/>
      </c>
      <c r="B28" s="21" t="inlineStr">
        <is>
          <t>ELEVADORES</t>
        </is>
      </c>
      <c r="C28" s="21" t="n"/>
      <c r="D28" s="17">
        <f>SUMIF($CB$4:$JS$4,"&lt;="&amp;D$4,$CB28:$JS28)</f>
        <v/>
      </c>
      <c r="E28" s="17">
        <f>SUMIF($CB$4:$JS$4,E$4,$CB28:$JS28)</f>
        <v/>
      </c>
      <c r="F28" s="17">
        <f>SUMIF($CB$4:$JS$4,F$4,$CB28:$JS28)</f>
        <v/>
      </c>
      <c r="G28" s="17">
        <f>SUMIF($CB$4:$JS$4,G$4,$CB28:$JS28)</f>
        <v/>
      </c>
      <c r="H28" s="17">
        <f>SUMIF($CB$4:$JS$4,H$4,$CB28:$JS28)</f>
        <v/>
      </c>
      <c r="I28" s="17">
        <f>SUMIF($CB$4:$JS$4,I$4,$CB28:$JS28)</f>
        <v/>
      </c>
      <c r="J28" s="17">
        <f>SUMIF($CB$4:$JS$4,J$4,$CB28:$JS28)</f>
        <v/>
      </c>
      <c r="K28" s="17">
        <f>SUMIF($CB$4:$JS$4,K$4,$CB28:$JS28)</f>
        <v/>
      </c>
      <c r="L28" s="17">
        <f>SUMIF($CB$4:$JS$4,L$4,$CB28:$JS28)</f>
        <v/>
      </c>
      <c r="M28" s="17">
        <f>SUMIF($CB$4:$JS$4,M$4,$CB28:$JS28)</f>
        <v/>
      </c>
      <c r="N28" s="17">
        <f>SUMIF($CB$4:$JS$4,N$4,$CB28:$JS28)</f>
        <v/>
      </c>
      <c r="O28" s="17">
        <f>SUMIF($CB$4:$JS$4,O$4,$CB28:$JS28)</f>
        <v/>
      </c>
      <c r="P28" s="17">
        <f>SUMIF($CB$4:$JS$4,P$4,$CB28:$JS28)</f>
        <v/>
      </c>
      <c r="Q28" s="17">
        <f>SUMIF($CB$4:$JS$4,Q$4,$CB28:$JS28)</f>
        <v/>
      </c>
      <c r="R28" s="17">
        <f>SUMIF($CB$4:$JS$4,R$4,$CB28:$JS28)</f>
        <v/>
      </c>
      <c r="S28" s="17">
        <f>SUMIF($CB$4:$JS$4,S$4,$CB28:$JS28)</f>
        <v/>
      </c>
      <c r="T28" s="17">
        <f>SUMIF($CB$4:$JS$4,T$4,$CB28:$JS28)</f>
        <v/>
      </c>
      <c r="U28" s="17">
        <f>SUMIF($CB$4:$JS$4,U$4,$CB28:$JS28)</f>
        <v/>
      </c>
      <c r="V28" s="17">
        <f>SUMIF($CB$4:$JS$4,V$4,$CB28:$JS28)</f>
        <v/>
      </c>
      <c r="W28" s="17">
        <f>SUMIF($CB$4:$JS$4,W$4,$CB28:$JS28)</f>
        <v/>
      </c>
      <c r="X28" s="17">
        <f>SUMIF($CB$4:$JS$4,X$4,$CB28:$JS28)</f>
        <v/>
      </c>
      <c r="Y28" s="17">
        <f>SUMIF($CB$4:$JS$4,Y$4,$CB28:$JS28)</f>
        <v/>
      </c>
      <c r="Z28" s="17">
        <f>SUMIF($CB$4:$JS$4,Z$4,$CB28:$JS28)</f>
        <v/>
      </c>
      <c r="AA28" s="17">
        <f>SUMIF($CB$4:$JS$4,AA$4,$CB28:$JS28)</f>
        <v/>
      </c>
      <c r="AB28" s="17">
        <f>SUMIF($CB$4:$JS$4,AB$4,$CB28:$JS28)</f>
        <v/>
      </c>
      <c r="AC28" s="17">
        <f>SUMIF($CB$4:$JS$4,AC$4,$CB28:$JS28)</f>
        <v/>
      </c>
      <c r="AD28" s="17">
        <f>SUMIF($CB$4:$JS$4,AD$4,$CB28:$JS28)</f>
        <v/>
      </c>
      <c r="AE28" s="17">
        <f>SUMIF($CB$4:$JS$4,AE$4,$CB28:$JS28)</f>
        <v/>
      </c>
      <c r="AF28" s="17">
        <f>SUMIF($CB$4:$JS$4,AF$4,$CB28:$JS28)</f>
        <v/>
      </c>
      <c r="AG28" s="17">
        <f>SUMIF($CB$4:$JS$4,AG$4,$CB28:$JS28)</f>
        <v/>
      </c>
      <c r="AH28" s="17">
        <f>SUMIF($CB$4:$JS$4,AH$4,$CB28:$JS28)</f>
        <v/>
      </c>
      <c r="AI28" s="17">
        <f>SUMIF($CB$4:$JS$4,AI$4,$CB28:$JS28)</f>
        <v/>
      </c>
      <c r="AJ28" s="17">
        <f>SUMIF($CB$4:$JS$4,AJ$4,$CB28:$JS28)</f>
        <v/>
      </c>
      <c r="AK28" s="17">
        <f>SUMIF($CB$4:$JS$4,AK$4,$CB28:$JS28)</f>
        <v/>
      </c>
      <c r="AL28" s="17">
        <f>SUMIF($CB$4:$JS$4,AL$4,$CB28:$JS28)</f>
        <v/>
      </c>
      <c r="AM28" s="17">
        <f>SUMIF($CB$4:$JS$4,AM$4,$CB28:$JS28)</f>
        <v/>
      </c>
      <c r="AN28" s="17">
        <f>SUMIF($CB$4:$JS$4,AN$4,$CB28:$JS28)</f>
        <v/>
      </c>
      <c r="AO28" s="17">
        <f>SUMIF($CB$4:$JS$4,AO$4,$CB28:$JS28)</f>
        <v/>
      </c>
      <c r="AP28" s="17">
        <f>SUMIF($CB$4:$JS$4,AP$4,$CB28:$JS28)</f>
        <v/>
      </c>
      <c r="AQ28" s="17">
        <f>SUMIF($CB$4:$JS$4,AQ$4,$CB28:$JS28)</f>
        <v/>
      </c>
      <c r="AR28" s="17">
        <f>SUMIF($CB$4:$JS$4,AR$4,$CB28:$JS28)</f>
        <v/>
      </c>
      <c r="AS28" s="17">
        <f>SUMIF($CB$4:$JS$4,AS$4,$CB28:$JS28)</f>
        <v/>
      </c>
      <c r="AT28" s="17">
        <f>SUMIF($CB$4:$JS$4,AT$4,$CB28:$JS28)</f>
        <v/>
      </c>
      <c r="AU28" s="17">
        <f>SUMIF($CB$4:$JS$4,AU$4,$CB28:$JS28)</f>
        <v/>
      </c>
      <c r="AV28" s="17">
        <f>SUMIF($CB$4:$JS$4,AV$4,$CB28:$JS28)</f>
        <v/>
      </c>
      <c r="AW28" s="17">
        <f>SUMIF($CB$4:$JS$4,AW$4,$CB28:$JS28)</f>
        <v/>
      </c>
      <c r="AX28" s="17">
        <f>SUMIF($CB$4:$JS$4,AX$4,$CB28:$JS28)</f>
        <v/>
      </c>
      <c r="AY28" s="17">
        <f>SUMIF($CB$4:$JS$4,AY$4,$CB28:$JS28)</f>
        <v/>
      </c>
      <c r="AZ28" s="17">
        <f>SUMIF($CB$4:$JS$4,AZ$4,$CB28:$JS28)</f>
        <v/>
      </c>
      <c r="BA28" s="17">
        <f>SUMIF($CB$4:$JS$4,BA$4,$CB28:$JS28)</f>
        <v/>
      </c>
      <c r="BB28" s="17">
        <f>SUMIF($CB$4:$JS$4,BB$4,$CB28:$JS28)</f>
        <v/>
      </c>
      <c r="BC28" s="17">
        <f>SUMIF($CB$4:$JS$4,BC$4,$CB28:$JS28)</f>
        <v/>
      </c>
      <c r="BD28" s="17">
        <f>SUMIF($CB$4:$JS$4,BD$4,$CB28:$JS28)</f>
        <v/>
      </c>
      <c r="BE28" s="17">
        <f>SUMIF($CB$4:$JS$4,BE$4,$CB28:$JS28)</f>
        <v/>
      </c>
      <c r="BF28" s="17">
        <f>SUMIF($CB$4:$JS$4,BF$4,$CB28:$JS28)</f>
        <v/>
      </c>
      <c r="BG28" s="17">
        <f>SUMIF($CB$4:$JS$4,BG$4,$CB28:$JS28)</f>
        <v/>
      </c>
      <c r="BH28" s="17">
        <f>SUMIF($CB$4:$JS$4,BH$4,$CB28:$JS28)</f>
        <v/>
      </c>
      <c r="BI28" s="17">
        <f>SUMIF($CB$4:$JS$4,BI$4,$CB28:$JS28)</f>
        <v/>
      </c>
      <c r="BJ28" s="17">
        <f>SUMIF($CB$4:$JS$4,BJ$4,$CB28:$JS28)</f>
        <v/>
      </c>
      <c r="BK28" s="17">
        <f>SUMIF($CB$4:$JS$4,BK$4,$CB28:$JS28)</f>
        <v/>
      </c>
      <c r="BL28" s="17">
        <f>SUMIF($CB$4:$JS$4,BL$4,$CB28:$JS28)</f>
        <v/>
      </c>
      <c r="BM28" s="17">
        <f>SUMIF($CB$4:$JS$4,BM$4,$CB28:$JS28)</f>
        <v/>
      </c>
      <c r="BN28" s="17">
        <f>SUMIF($CB$4:$JS$4,BN$4,$CB28:$JS28)</f>
        <v/>
      </c>
      <c r="BO28" s="17">
        <f>SUMIF($CB$4:$JS$4,BO$4,$CB28:$JS28)</f>
        <v/>
      </c>
      <c r="BP28" s="17">
        <f>SUMIF($CB$4:$JS$4,BP$4,$CB28:$JS28)</f>
        <v/>
      </c>
      <c r="BQ28" s="17">
        <f>SUMIF($CB$4:$JS$4,BQ$4,$CB28:$JS28)</f>
        <v/>
      </c>
      <c r="BR28" s="17">
        <f>SUMIF($CB$4:$JS$4,BR$4,$CB28:$JS28)</f>
        <v/>
      </c>
      <c r="BS28" s="17">
        <f>SUMIF($CB$4:$JS$4,BS$4,$CB28:$JS28)</f>
        <v/>
      </c>
      <c r="BT28" s="17">
        <f>SUMIF($CB$4:$JS$4,BT$4,$CB28:$JS28)</f>
        <v/>
      </c>
      <c r="BU28" s="17">
        <f>SUMIF($CB$4:$JS$4,BU$4,$CB28:$JS28)</f>
        <v/>
      </c>
      <c r="BV28" s="17">
        <f>SUMIF($CB$4:$JS$4,BV$4,$CB28:$JS28)</f>
        <v/>
      </c>
      <c r="BW28" s="17">
        <f>SUMIF($CB$4:$JS$4,BW$4,$CB28:$JS28)</f>
        <v/>
      </c>
      <c r="BX28" s="17">
        <f>SUMIF($CB$4:$JS$4,"&gt;"&amp;'VALOR POR PL'!$P$8,$CB28:$JS28)</f>
        <v/>
      </c>
      <c r="BY28" s="17">
        <f>SUM($CB28:$JS28)</f>
        <v/>
      </c>
      <c r="CB28" s="56">
        <f>IF(OR(CB$4="",$B28=""),0,SUMIF('DADOS BRUTOS'!$A$3:$A$500,$B28,'DADOS BRUTOS'!B$3:B$500)+IF($C28="",0,SUMIF('DADOS BRUTOS'!$A$3:$A$500,$C28,'DADOS BRUTOS'!B$3:B$500)))</f>
        <v/>
      </c>
      <c r="CC28" s="56">
        <f>IF(OR(CC$4="",$B28=""),0,SUMIF('DADOS BRUTOS'!$A$3:$A$500,$B28,'DADOS BRUTOS'!C$3:C$500)+IF($C28="",0,SUMIF('DADOS BRUTOS'!$A$3:$A$500,$C28,'DADOS BRUTOS'!C$3:C$500)))</f>
        <v/>
      </c>
      <c r="CD28" s="56">
        <f>IF(OR(CD$4="",$B28=""),0,SUMIF('DADOS BRUTOS'!$A$3:$A$500,$B28,'DADOS BRUTOS'!D$3:D$500)+IF($C28="",0,SUMIF('DADOS BRUTOS'!$A$3:$A$500,$C28,'DADOS BRUTOS'!D$3:D$500)))</f>
        <v/>
      </c>
      <c r="CE28" s="56">
        <f>IF(OR(CE$4="",$B28=""),0,SUMIF('DADOS BRUTOS'!$A$3:$A$500,$B28,'DADOS BRUTOS'!E$3:E$500)+IF($C28="",0,SUMIF('DADOS BRUTOS'!$A$3:$A$500,$C28,'DADOS BRUTOS'!E$3:E$500)))</f>
        <v/>
      </c>
      <c r="CF28" s="56">
        <f>IF(OR(CF$4="",$B28=""),0,SUMIF('DADOS BRUTOS'!$A$3:$A$500,$B28,'DADOS BRUTOS'!F$3:F$500)+IF($C28="",0,SUMIF('DADOS BRUTOS'!$A$3:$A$500,$C28,'DADOS BRUTOS'!F$3:F$500)))</f>
        <v/>
      </c>
      <c r="CG28" s="56">
        <f>IF(OR(CG$4="",$B28=""),0,SUMIF('DADOS BRUTOS'!$A$3:$A$500,$B28,'DADOS BRUTOS'!G$3:G$500)+IF($C28="",0,SUMIF('DADOS BRUTOS'!$A$3:$A$500,$C28,'DADOS BRUTOS'!G$3:G$500)))</f>
        <v/>
      </c>
      <c r="CH28" s="56">
        <f>IF(OR(CH$4="",$B28=""),0,SUMIF('DADOS BRUTOS'!$A$3:$A$500,$B28,'DADOS BRUTOS'!H$3:H$500)+IF($C28="",0,SUMIF('DADOS BRUTOS'!$A$3:$A$500,$C28,'DADOS BRUTOS'!H$3:H$500)))</f>
        <v/>
      </c>
      <c r="CI28" s="56">
        <f>IF(OR(CI$4="",$B28=""),0,SUMIF('DADOS BRUTOS'!$A$3:$A$500,$B28,'DADOS BRUTOS'!I$3:I$500)+IF($C28="",0,SUMIF('DADOS BRUTOS'!$A$3:$A$500,$C28,'DADOS BRUTOS'!I$3:I$500)))</f>
        <v/>
      </c>
      <c r="CJ28" s="56">
        <f>IF(OR(CJ$4="",$B28=""),0,SUMIF('DADOS BRUTOS'!$A$3:$A$500,$B28,'DADOS BRUTOS'!J$3:J$500)+IF($C28="",0,SUMIF('DADOS BRUTOS'!$A$3:$A$500,$C28,'DADOS BRUTOS'!J$3:J$500)))</f>
        <v/>
      </c>
      <c r="CK28" s="56">
        <f>IF(OR(CK$4="",$B28=""),0,SUMIF('DADOS BRUTOS'!$A$3:$A$500,$B28,'DADOS BRUTOS'!K$3:K$500)+IF($C28="",0,SUMIF('DADOS BRUTOS'!$A$3:$A$500,$C28,'DADOS BRUTOS'!K$3:K$500)))</f>
        <v/>
      </c>
      <c r="CL28" s="56">
        <f>IF(OR(CL$4="",$B28=""),0,SUMIF('DADOS BRUTOS'!$A$3:$A$500,$B28,'DADOS BRUTOS'!L$3:L$500)+IF($C28="",0,SUMIF('DADOS BRUTOS'!$A$3:$A$500,$C28,'DADOS BRUTOS'!L$3:L$500)))</f>
        <v/>
      </c>
      <c r="CM28" s="56">
        <f>IF(OR(CM$4="",$B28=""),0,SUMIF('DADOS BRUTOS'!$A$3:$A$500,$B28,'DADOS BRUTOS'!M$3:M$500)+IF($C28="",0,SUMIF('DADOS BRUTOS'!$A$3:$A$500,$C28,'DADOS BRUTOS'!M$3:M$500)))</f>
        <v/>
      </c>
      <c r="CN28" s="56">
        <f>IF(OR(CN$4="",$B28=""),0,SUMIF('DADOS BRUTOS'!$A$3:$A$500,$B28,'DADOS BRUTOS'!N$3:N$500)+IF($C28="",0,SUMIF('DADOS BRUTOS'!$A$3:$A$500,$C28,'DADOS BRUTOS'!N$3:N$500)))</f>
        <v/>
      </c>
      <c r="CO28" s="56">
        <f>IF(OR(CO$4="",$B28=""),0,SUMIF('DADOS BRUTOS'!$A$3:$A$500,$B28,'DADOS BRUTOS'!O$3:O$500)+IF($C28="",0,SUMIF('DADOS BRUTOS'!$A$3:$A$500,$C28,'DADOS BRUTOS'!O$3:O$500)))</f>
        <v/>
      </c>
      <c r="CP28" s="56">
        <f>IF(OR(CP$4="",$B28=""),0,SUMIF('DADOS BRUTOS'!$A$3:$A$500,$B28,'DADOS BRUTOS'!P$3:P$500)+IF($C28="",0,SUMIF('DADOS BRUTOS'!$A$3:$A$500,$C28,'DADOS BRUTOS'!P$3:P$500)))</f>
        <v/>
      </c>
      <c r="CQ28" s="56">
        <f>IF(OR(CQ$4="",$B28=""),0,SUMIF('DADOS BRUTOS'!$A$3:$A$500,$B28,'DADOS BRUTOS'!Q$3:Q$500)+IF($C28="",0,SUMIF('DADOS BRUTOS'!$A$3:$A$500,$C28,'DADOS BRUTOS'!Q$3:Q$500)))</f>
        <v/>
      </c>
      <c r="CR28" s="56">
        <f>IF(OR(CR$4="",$B28=""),0,SUMIF('DADOS BRUTOS'!$A$3:$A$500,$B28,'DADOS BRUTOS'!R$3:R$500)+IF($C28="",0,SUMIF('DADOS BRUTOS'!$A$3:$A$500,$C28,'DADOS BRUTOS'!R$3:R$500)))</f>
        <v/>
      </c>
      <c r="CS28" s="56">
        <f>IF(OR(CS$4="",$B28=""),0,SUMIF('DADOS BRUTOS'!$A$3:$A$500,$B28,'DADOS BRUTOS'!S$3:S$500)+IF($C28="",0,SUMIF('DADOS BRUTOS'!$A$3:$A$500,$C28,'DADOS BRUTOS'!S$3:S$500)))</f>
        <v/>
      </c>
      <c r="CT28" s="56">
        <f>IF(OR(CT$4="",$B28=""),0,SUMIF('DADOS BRUTOS'!$A$3:$A$500,$B28,'DADOS BRUTOS'!T$3:T$500)+IF($C28="",0,SUMIF('DADOS BRUTOS'!$A$3:$A$500,$C28,'DADOS BRUTOS'!T$3:T$500)))</f>
        <v/>
      </c>
      <c r="CU28" s="56">
        <f>IF(OR(CU$4="",$B28=""),0,SUMIF('DADOS BRUTOS'!$A$3:$A$500,$B28,'DADOS BRUTOS'!U$3:U$500)+IF($C28="",0,SUMIF('DADOS BRUTOS'!$A$3:$A$500,$C28,'DADOS BRUTOS'!U$3:U$500)))</f>
        <v/>
      </c>
      <c r="CV28" s="56">
        <f>IF(OR(CV$4="",$B28=""),0,SUMIF('DADOS BRUTOS'!$A$3:$A$500,$B28,'DADOS BRUTOS'!V$3:V$500)+IF($C28="",0,SUMIF('DADOS BRUTOS'!$A$3:$A$500,$C28,'DADOS BRUTOS'!V$3:V$500)))</f>
        <v/>
      </c>
      <c r="CW28" s="56">
        <f>IF(OR(CW$4="",$B28=""),0,SUMIF('DADOS BRUTOS'!$A$3:$A$500,$B28,'DADOS BRUTOS'!W$3:W$500)+IF($C28="",0,SUMIF('DADOS BRUTOS'!$A$3:$A$500,$C28,'DADOS BRUTOS'!W$3:W$500)))</f>
        <v/>
      </c>
      <c r="CX28" s="56">
        <f>IF(OR(CX$4="",$B28=""),0,SUMIF('DADOS BRUTOS'!$A$3:$A$500,$B28,'DADOS BRUTOS'!X$3:X$500)+IF($C28="",0,SUMIF('DADOS BRUTOS'!$A$3:$A$500,$C28,'DADOS BRUTOS'!X$3:X$500)))</f>
        <v/>
      </c>
      <c r="CY28" s="56">
        <f>IF(OR(CY$4="",$B28=""),0,SUMIF('DADOS BRUTOS'!$A$3:$A$500,$B28,'DADOS BRUTOS'!Y$3:Y$500)+IF($C28="",0,SUMIF('DADOS BRUTOS'!$A$3:$A$500,$C28,'DADOS BRUTOS'!Y$3:Y$500)))</f>
        <v/>
      </c>
      <c r="CZ28" s="56">
        <f>IF(OR(CZ$4="",$B28=""),0,SUMIF('DADOS BRUTOS'!$A$3:$A$500,$B28,'DADOS BRUTOS'!Z$3:Z$500)+IF($C28="",0,SUMIF('DADOS BRUTOS'!$A$3:$A$500,$C28,'DADOS BRUTOS'!Z$3:Z$500)))</f>
        <v/>
      </c>
      <c r="DA28" s="56">
        <f>IF(OR(DA$4="",$B28=""),0,SUMIF('DADOS BRUTOS'!$A$3:$A$500,$B28,'DADOS BRUTOS'!AA$3:AA$500)+IF($C28="",0,SUMIF('DADOS BRUTOS'!$A$3:$A$500,$C28,'DADOS BRUTOS'!AA$3:AA$500)))</f>
        <v/>
      </c>
      <c r="DB28" s="56">
        <f>IF(OR(DB$4="",$B28=""),0,SUMIF('DADOS BRUTOS'!$A$3:$A$500,$B28,'DADOS BRUTOS'!AB$3:AB$500)+IF($C28="",0,SUMIF('DADOS BRUTOS'!$A$3:$A$500,$C28,'DADOS BRUTOS'!AB$3:AB$500)))</f>
        <v/>
      </c>
      <c r="DC28" s="56">
        <f>IF(OR(DC$4="",$B28=""),0,SUMIF('DADOS BRUTOS'!$A$3:$A$500,$B28,'DADOS BRUTOS'!AC$3:AC$500)+IF($C28="",0,SUMIF('DADOS BRUTOS'!$A$3:$A$500,$C28,'DADOS BRUTOS'!AC$3:AC$500)))</f>
        <v/>
      </c>
      <c r="DD28" s="56">
        <f>IF(OR(DD$4="",$B28=""),0,SUMIF('DADOS BRUTOS'!$A$3:$A$500,$B28,'DADOS BRUTOS'!AD$3:AD$500)+IF($C28="",0,SUMIF('DADOS BRUTOS'!$A$3:$A$500,$C28,'DADOS BRUTOS'!AD$3:AD$500)))</f>
        <v/>
      </c>
      <c r="DE28" s="56">
        <f>IF(OR(DE$4="",$B28=""),0,SUMIF('DADOS BRUTOS'!$A$3:$A$500,$B28,'DADOS BRUTOS'!AE$3:AE$500)+IF($C28="",0,SUMIF('DADOS BRUTOS'!$A$3:$A$500,$C28,'DADOS BRUTOS'!AE$3:AE$500)))</f>
        <v/>
      </c>
      <c r="DF28" s="56">
        <f>IF(OR(DF$4="",$B28=""),0,SUMIF('DADOS BRUTOS'!$A$3:$A$500,$B28,'DADOS BRUTOS'!AF$3:AF$500)+IF($C28="",0,SUMIF('DADOS BRUTOS'!$A$3:$A$500,$C28,'DADOS BRUTOS'!AF$3:AF$500)))</f>
        <v/>
      </c>
      <c r="DG28" s="56">
        <f>IF(OR(DG$4="",$B28=""),0,SUMIF('DADOS BRUTOS'!$A$3:$A$500,$B28,'DADOS BRUTOS'!AG$3:AG$500)+IF($C28="",0,SUMIF('DADOS BRUTOS'!$A$3:$A$500,$C28,'DADOS BRUTOS'!AG$3:AG$500)))</f>
        <v/>
      </c>
      <c r="DH28" s="56">
        <f>IF(OR(DH$4="",$B28=""),0,SUMIF('DADOS BRUTOS'!$A$3:$A$500,$B28,'DADOS BRUTOS'!AH$3:AH$500)+IF($C28="",0,SUMIF('DADOS BRUTOS'!$A$3:$A$500,$C28,'DADOS BRUTOS'!AH$3:AH$500)))</f>
        <v/>
      </c>
      <c r="DI28" s="56">
        <f>IF(OR(DI$4="",$B28=""),0,SUMIF('DADOS BRUTOS'!$A$3:$A$500,$B28,'DADOS BRUTOS'!AI$3:AI$500)+IF($C28="",0,SUMIF('DADOS BRUTOS'!$A$3:$A$500,$C28,'DADOS BRUTOS'!AI$3:AI$500)))</f>
        <v/>
      </c>
      <c r="DJ28" s="56">
        <f>IF(OR(DJ$4="",$B28=""),0,SUMIF('DADOS BRUTOS'!$A$3:$A$500,$B28,'DADOS BRUTOS'!AJ$3:AJ$500)+IF($C28="",0,SUMIF('DADOS BRUTOS'!$A$3:$A$500,$C28,'DADOS BRUTOS'!AJ$3:AJ$500)))</f>
        <v/>
      </c>
      <c r="DK28" s="56">
        <f>IF(OR(DK$4="",$B28=""),0,SUMIF('DADOS BRUTOS'!$A$3:$A$500,$B28,'DADOS BRUTOS'!AK$3:AK$500)+IF($C28="",0,SUMIF('DADOS BRUTOS'!$A$3:$A$500,$C28,'DADOS BRUTOS'!AK$3:AK$500)))</f>
        <v/>
      </c>
      <c r="DL28" s="56">
        <f>IF(OR(DL$4="",$B28=""),0,SUMIF('DADOS BRUTOS'!$A$3:$A$500,$B28,'DADOS BRUTOS'!AL$3:AL$500)+IF($C28="",0,SUMIF('DADOS BRUTOS'!$A$3:$A$500,$C28,'DADOS BRUTOS'!AL$3:AL$500)))</f>
        <v/>
      </c>
      <c r="DM28" s="56">
        <f>IF(OR(DM$4="",$B28=""),0,SUMIF('DADOS BRUTOS'!$A$3:$A$500,$B28,'DADOS BRUTOS'!AM$3:AM$500)+IF($C28="",0,SUMIF('DADOS BRUTOS'!$A$3:$A$500,$C28,'DADOS BRUTOS'!AM$3:AM$500)))</f>
        <v/>
      </c>
      <c r="DN28" s="56">
        <f>IF(OR(DN$4="",$B28=""),0,SUMIF('DADOS BRUTOS'!$A$3:$A$500,$B28,'DADOS BRUTOS'!AN$3:AN$500)+IF($C28="",0,SUMIF('DADOS BRUTOS'!$A$3:$A$500,$C28,'DADOS BRUTOS'!AN$3:AN$500)))</f>
        <v/>
      </c>
      <c r="DO28" s="56">
        <f>IF(OR(DO$4="",$B28=""),0,SUMIF('DADOS BRUTOS'!$A$3:$A$500,$B28,'DADOS BRUTOS'!AO$3:AO$500)+IF($C28="",0,SUMIF('DADOS BRUTOS'!$A$3:$A$500,$C28,'DADOS BRUTOS'!AO$3:AO$500)))</f>
        <v/>
      </c>
      <c r="DP28" s="56">
        <f>IF(OR(DP$4="",$B28=""),0,SUMIF('DADOS BRUTOS'!$A$3:$A$500,$B28,'DADOS BRUTOS'!AP$3:AP$500)+IF($C28="",0,SUMIF('DADOS BRUTOS'!$A$3:$A$500,$C28,'DADOS BRUTOS'!AP$3:AP$500)))</f>
        <v/>
      </c>
      <c r="DQ28" s="56">
        <f>IF(OR(DQ$4="",$B28=""),0,SUMIF('DADOS BRUTOS'!$A$3:$A$500,$B28,'DADOS BRUTOS'!AQ$3:AQ$500)+IF($C28="",0,SUMIF('DADOS BRUTOS'!$A$3:$A$500,$C28,'DADOS BRUTOS'!AQ$3:AQ$500)))</f>
        <v/>
      </c>
      <c r="DR28" s="56">
        <f>IF(OR(DR$4="",$B28=""),0,SUMIF('DADOS BRUTOS'!$A$3:$A$500,$B28,'DADOS BRUTOS'!AR$3:AR$500)+IF($C28="",0,SUMIF('DADOS BRUTOS'!$A$3:$A$500,$C28,'DADOS BRUTOS'!AR$3:AR$500)))</f>
        <v/>
      </c>
      <c r="DS28" s="56">
        <f>IF(OR(DS$4="",$B28=""),0,SUMIF('DADOS BRUTOS'!$A$3:$A$500,$B28,'DADOS BRUTOS'!AS$3:AS$500)+IF($C28="",0,SUMIF('DADOS BRUTOS'!$A$3:$A$500,$C28,'DADOS BRUTOS'!AS$3:AS$500)))</f>
        <v/>
      </c>
      <c r="DT28" s="56">
        <f>IF(OR(DT$4="",$B28=""),0,SUMIF('DADOS BRUTOS'!$A$3:$A$500,$B28,'DADOS BRUTOS'!AT$3:AT$500)+IF($C28="",0,SUMIF('DADOS BRUTOS'!$A$3:$A$500,$C28,'DADOS BRUTOS'!AT$3:AT$500)))</f>
        <v/>
      </c>
      <c r="DU28" s="56">
        <f>IF(OR(DU$4="",$B28=""),0,SUMIF('DADOS BRUTOS'!$A$3:$A$500,$B28,'DADOS BRUTOS'!AU$3:AU$500)+IF($C28="",0,SUMIF('DADOS BRUTOS'!$A$3:$A$500,$C28,'DADOS BRUTOS'!AU$3:AU$500)))</f>
        <v/>
      </c>
      <c r="DV28" s="56">
        <f>IF(OR(DV$4="",$B28=""),0,SUMIF('DADOS BRUTOS'!$A$3:$A$500,$B28,'DADOS BRUTOS'!AV$3:AV$500)+IF($C28="",0,SUMIF('DADOS BRUTOS'!$A$3:$A$500,$C28,'DADOS BRUTOS'!AV$3:AV$500)))</f>
        <v/>
      </c>
      <c r="DW28" s="56">
        <f>IF(OR(DW$4="",$B28=""),0,SUMIF('DADOS BRUTOS'!$A$3:$A$500,$B28,'DADOS BRUTOS'!AW$3:AW$500)+IF($C28="",0,SUMIF('DADOS BRUTOS'!$A$3:$A$500,$C28,'DADOS BRUTOS'!AW$3:AW$500)))</f>
        <v/>
      </c>
      <c r="DX28" s="56">
        <f>IF(OR(DX$4="",$B28=""),0,SUMIF('DADOS BRUTOS'!$A$3:$A$500,$B28,'DADOS BRUTOS'!AX$3:AX$500)+IF($C28="",0,SUMIF('DADOS BRUTOS'!$A$3:$A$500,$C28,'DADOS BRUTOS'!AX$3:AX$500)))</f>
        <v/>
      </c>
      <c r="DY28" s="56">
        <f>IF(OR(DY$4="",$B28=""),0,SUMIF('DADOS BRUTOS'!$A$3:$A$500,$B28,'DADOS BRUTOS'!AY$3:AY$500)+IF($C28="",0,SUMIF('DADOS BRUTOS'!$A$3:$A$500,$C28,'DADOS BRUTOS'!AY$3:AY$500)))</f>
        <v/>
      </c>
      <c r="DZ28" s="56">
        <f>IF(OR(DZ$4="",$B28=""),0,SUMIF('DADOS BRUTOS'!$A$3:$A$500,$B28,'DADOS BRUTOS'!AZ$3:AZ$500)+IF($C28="",0,SUMIF('DADOS BRUTOS'!$A$3:$A$500,$C28,'DADOS BRUTOS'!AZ$3:AZ$500)))</f>
        <v/>
      </c>
      <c r="EA28" s="56">
        <f>IF(OR(EA$4="",$B28=""),0,SUMIF('DADOS BRUTOS'!$A$3:$A$500,$B28,'DADOS BRUTOS'!BA$3:BA$500)+IF($C28="",0,SUMIF('DADOS BRUTOS'!$A$3:$A$500,$C28,'DADOS BRUTOS'!BA$3:BA$500)))</f>
        <v/>
      </c>
      <c r="EB28" s="56">
        <f>IF(OR(EB$4="",$B28=""),0,SUMIF('DADOS BRUTOS'!$A$3:$A$500,$B28,'DADOS BRUTOS'!BB$3:BB$500)+IF($C28="",0,SUMIF('DADOS BRUTOS'!$A$3:$A$500,$C28,'DADOS BRUTOS'!BB$3:BB$500)))</f>
        <v/>
      </c>
      <c r="EC28" s="56">
        <f>IF(OR(EC$4="",$B28=""),0,SUMIF('DADOS BRUTOS'!$A$3:$A$500,$B28,'DADOS BRUTOS'!BC$3:BC$500)+IF($C28="",0,SUMIF('DADOS BRUTOS'!$A$3:$A$500,$C28,'DADOS BRUTOS'!BC$3:BC$500)))</f>
        <v/>
      </c>
      <c r="ED28" s="56">
        <f>IF(OR(ED$4="",$B28=""),0,SUMIF('DADOS BRUTOS'!$A$3:$A$500,$B28,'DADOS BRUTOS'!BD$3:BD$500)+IF($C28="",0,SUMIF('DADOS BRUTOS'!$A$3:$A$500,$C28,'DADOS BRUTOS'!BD$3:BD$500)))</f>
        <v/>
      </c>
      <c r="EE28" s="56">
        <f>IF(OR(EE$4="",$B28=""),0,SUMIF('DADOS BRUTOS'!$A$3:$A$500,$B28,'DADOS BRUTOS'!BE$3:BE$500)+IF($C28="",0,SUMIF('DADOS BRUTOS'!$A$3:$A$500,$C28,'DADOS BRUTOS'!BE$3:BE$500)))</f>
        <v/>
      </c>
      <c r="EF28" s="56">
        <f>IF(OR(EF$4="",$B28=""),0,SUMIF('DADOS BRUTOS'!$A$3:$A$500,$B28,'DADOS BRUTOS'!BF$3:BF$500)+IF($C28="",0,SUMIF('DADOS BRUTOS'!$A$3:$A$500,$C28,'DADOS BRUTOS'!BF$3:BF$500)))</f>
        <v/>
      </c>
      <c r="EG28" s="56">
        <f>IF(OR(EG$4="",$B28=""),0,SUMIF('DADOS BRUTOS'!$A$3:$A$500,$B28,'DADOS BRUTOS'!BG$3:BG$500)+IF($C28="",0,SUMIF('DADOS BRUTOS'!$A$3:$A$500,$C28,'DADOS BRUTOS'!BG$3:BG$500)))</f>
        <v/>
      </c>
      <c r="EH28" s="56">
        <f>IF(OR(EH$4="",$B28=""),0,SUMIF('DADOS BRUTOS'!$A$3:$A$500,$B28,'DADOS BRUTOS'!BH$3:BH$500)+IF($C28="",0,SUMIF('DADOS BRUTOS'!$A$3:$A$500,$C28,'DADOS BRUTOS'!BH$3:BH$500)))</f>
        <v/>
      </c>
      <c r="EI28" s="56">
        <f>IF(OR(EI$4="",$B28=""),0,SUMIF('DADOS BRUTOS'!$A$3:$A$500,$B28,'DADOS BRUTOS'!BI$3:BI$500)+IF($C28="",0,SUMIF('DADOS BRUTOS'!$A$3:$A$500,$C28,'DADOS BRUTOS'!BI$3:BI$500)))</f>
        <v/>
      </c>
      <c r="EJ28" s="56">
        <f>IF(OR(EJ$4="",$B28=""),0,SUMIF('DADOS BRUTOS'!$A$3:$A$500,$B28,'DADOS BRUTOS'!BJ$3:BJ$500)+IF($C28="",0,SUMIF('DADOS BRUTOS'!$A$3:$A$500,$C28,'DADOS BRUTOS'!BJ$3:BJ$500)))</f>
        <v/>
      </c>
      <c r="EK28" s="56">
        <f>IF(OR(EK$4="",$B28=""),0,SUMIF('DADOS BRUTOS'!$A$3:$A$500,$B28,'DADOS BRUTOS'!BK$3:BK$500)+IF($C28="",0,SUMIF('DADOS BRUTOS'!$A$3:$A$500,$C28,'DADOS BRUTOS'!BK$3:BK$500)))</f>
        <v/>
      </c>
      <c r="EL28" s="56">
        <f>IF(OR(EL$4="",$B28=""),0,SUMIF('DADOS BRUTOS'!$A$3:$A$500,$B28,'DADOS BRUTOS'!BL$3:BL$500)+IF($C28="",0,SUMIF('DADOS BRUTOS'!$A$3:$A$500,$C28,'DADOS BRUTOS'!BL$3:BL$500)))</f>
        <v/>
      </c>
      <c r="EM28" s="56">
        <f>IF(OR(EM$4="",$B28=""),0,SUMIF('DADOS BRUTOS'!$A$3:$A$500,$B28,'DADOS BRUTOS'!BM$3:BM$500)+IF($C28="",0,SUMIF('DADOS BRUTOS'!$A$3:$A$500,$C28,'DADOS BRUTOS'!BM$3:BM$500)))</f>
        <v/>
      </c>
      <c r="EN28" s="56">
        <f>IF(OR(EN$4="",$B28=""),0,SUMIF('DADOS BRUTOS'!$A$3:$A$500,$B28,'DADOS BRUTOS'!BN$3:BN$500)+IF($C28="",0,SUMIF('DADOS BRUTOS'!$A$3:$A$500,$C28,'DADOS BRUTOS'!BN$3:BN$500)))</f>
        <v/>
      </c>
      <c r="EO28" s="56">
        <f>IF(OR(EO$4="",$B28=""),0,SUMIF('DADOS BRUTOS'!$A$3:$A$500,$B28,'DADOS BRUTOS'!BO$3:BO$500)+IF($C28="",0,SUMIF('DADOS BRUTOS'!$A$3:$A$500,$C28,'DADOS BRUTOS'!BO$3:BO$500)))</f>
        <v/>
      </c>
      <c r="EP28" s="56">
        <f>IF(OR(EP$4="",$B28=""),0,SUMIF('DADOS BRUTOS'!$A$3:$A$500,$B28,'DADOS BRUTOS'!BP$3:BP$500)+IF($C28="",0,SUMIF('DADOS BRUTOS'!$A$3:$A$500,$C28,'DADOS BRUTOS'!BP$3:BP$500)))</f>
        <v/>
      </c>
      <c r="EQ28" s="56">
        <f>IF(OR(EQ$4="",$B28=""),0,SUMIF('DADOS BRUTOS'!$A$3:$A$500,$B28,'DADOS BRUTOS'!BQ$3:BQ$500)+IF($C28="",0,SUMIF('DADOS BRUTOS'!$A$3:$A$500,$C28,'DADOS BRUTOS'!BQ$3:BQ$500)))</f>
        <v/>
      </c>
      <c r="ER28" s="56">
        <f>IF(OR(ER$4="",$B28=""),0,SUMIF('DADOS BRUTOS'!$A$3:$A$500,$B28,'DADOS BRUTOS'!BR$3:BR$500)+IF($C28="",0,SUMIF('DADOS BRUTOS'!$A$3:$A$500,$C28,'DADOS BRUTOS'!BR$3:BR$500)))</f>
        <v/>
      </c>
      <c r="ES28" s="56">
        <f>IF(OR(ES$4="",$B28=""),0,SUMIF('DADOS BRUTOS'!$A$3:$A$500,$B28,'DADOS BRUTOS'!BS$3:BS$500)+IF($C28="",0,SUMIF('DADOS BRUTOS'!$A$3:$A$500,$C28,'DADOS BRUTOS'!BS$3:BS$500)))</f>
        <v/>
      </c>
      <c r="ET28" s="56">
        <f>IF(OR(ET$4="",$B28=""),0,SUMIF('DADOS BRUTOS'!$A$3:$A$500,$B28,'DADOS BRUTOS'!BT$3:BT$500)+IF($C28="",0,SUMIF('DADOS BRUTOS'!$A$3:$A$500,$C28,'DADOS BRUTOS'!BT$3:BT$500)))</f>
        <v/>
      </c>
      <c r="EU28" s="56">
        <f>IF(OR(EU$4="",$B28=""),0,SUMIF('DADOS BRUTOS'!$A$3:$A$500,$B28,'DADOS BRUTOS'!BU$3:BU$500)+IF($C28="",0,SUMIF('DADOS BRUTOS'!$A$3:$A$500,$C28,'DADOS BRUTOS'!BU$3:BU$500)))</f>
        <v/>
      </c>
      <c r="EV28" s="56">
        <f>IF(OR(EV$4="",$B28=""),0,SUMIF('DADOS BRUTOS'!$A$3:$A$500,$B28,'DADOS BRUTOS'!BV$3:BV$500)+IF($C28="",0,SUMIF('DADOS BRUTOS'!$A$3:$A$500,$C28,'DADOS BRUTOS'!BV$3:BV$500)))</f>
        <v/>
      </c>
      <c r="EW28" s="56">
        <f>IF(OR(EW$4="",$B28=""),0,SUMIF('DADOS BRUTOS'!$A$3:$A$500,$B28,'DADOS BRUTOS'!BW$3:BW$500)+IF($C28="",0,SUMIF('DADOS BRUTOS'!$A$3:$A$500,$C28,'DADOS BRUTOS'!BW$3:BW$500)))</f>
        <v/>
      </c>
      <c r="EX28" s="56">
        <f>IF(OR(EX$4="",$B28=""),0,SUMIF('DADOS BRUTOS'!$A$3:$A$500,$B28,'DADOS BRUTOS'!BX$3:BX$500)+IF($C28="",0,SUMIF('DADOS BRUTOS'!$A$3:$A$500,$C28,'DADOS BRUTOS'!BX$3:BX$500)))</f>
        <v/>
      </c>
      <c r="EY28" s="56">
        <f>IF(OR(EY$4="",$B28=""),0,SUMIF('DADOS BRUTOS'!$A$3:$A$500,$B28,'DADOS BRUTOS'!BY$3:BY$500)+IF($C28="",0,SUMIF('DADOS BRUTOS'!$A$3:$A$500,$C28,'DADOS BRUTOS'!BY$3:BY$500)))</f>
        <v/>
      </c>
      <c r="EZ28" s="56">
        <f>IF(OR(EZ$4="",$B28=""),0,SUMIF('DADOS BRUTOS'!$A$3:$A$500,$B28,'DADOS BRUTOS'!BZ$3:BZ$500)+IF($C28="",0,SUMIF('DADOS BRUTOS'!$A$3:$A$500,$C28,'DADOS BRUTOS'!BZ$3:BZ$500)))</f>
        <v/>
      </c>
      <c r="FA28" s="56">
        <f>IF(OR(FA$4="",$B28=""),0,SUMIF('DADOS BRUTOS'!$A$3:$A$500,$B28,'DADOS BRUTOS'!CA$3:CA$500)+IF($C28="",0,SUMIF('DADOS BRUTOS'!$A$3:$A$500,$C28,'DADOS BRUTOS'!CA$3:CA$500)))</f>
        <v/>
      </c>
      <c r="FB28" s="56">
        <f>IF(OR(FB$4="",$B28=""),0,SUMIF('DADOS BRUTOS'!$A$3:$A$500,$B28,'DADOS BRUTOS'!CB$3:CB$500)+IF($C28="",0,SUMIF('DADOS BRUTOS'!$A$3:$A$500,$C28,'DADOS BRUTOS'!CB$3:CB$500)))</f>
        <v/>
      </c>
      <c r="FC28" s="56">
        <f>IF(OR(FC$4="",$B28=""),0,SUMIF('DADOS BRUTOS'!$A$3:$A$500,$B28,'DADOS BRUTOS'!CC$3:CC$500)+IF($C28="",0,SUMIF('DADOS BRUTOS'!$A$3:$A$500,$C28,'DADOS BRUTOS'!CC$3:CC$500)))</f>
        <v/>
      </c>
      <c r="FD28" s="56">
        <f>IF(OR(FD$4="",$B28=""),0,SUMIF('DADOS BRUTOS'!$A$3:$A$500,$B28,'DADOS BRUTOS'!CD$3:CD$500)+IF($C28="",0,SUMIF('DADOS BRUTOS'!$A$3:$A$500,$C28,'DADOS BRUTOS'!CD$3:CD$500)))</f>
        <v/>
      </c>
      <c r="FE28" s="56">
        <f>IF(OR(FE$4="",$B28=""),0,SUMIF('DADOS BRUTOS'!$A$3:$A$500,$B28,'DADOS BRUTOS'!CE$3:CE$500)+IF($C28="",0,SUMIF('DADOS BRUTOS'!$A$3:$A$500,$C28,'DADOS BRUTOS'!CE$3:CE$500)))</f>
        <v/>
      </c>
      <c r="FF28" s="56">
        <f>IF(OR(FF$4="",$B28=""),0,SUMIF('DADOS BRUTOS'!$A$3:$A$500,$B28,'DADOS BRUTOS'!CF$3:CF$500)+IF($C28="",0,SUMIF('DADOS BRUTOS'!$A$3:$A$500,$C28,'DADOS BRUTOS'!CF$3:CF$500)))</f>
        <v/>
      </c>
      <c r="FG28" s="56">
        <f>IF(OR(FG$4="",$B28=""),0,SUMIF('DADOS BRUTOS'!$A$3:$A$500,$B28,'DADOS BRUTOS'!CG$3:CG$500)+IF($C28="",0,SUMIF('DADOS BRUTOS'!$A$3:$A$500,$C28,'DADOS BRUTOS'!CG$3:CG$500)))</f>
        <v/>
      </c>
      <c r="FH28" s="56">
        <f>IF(OR(FH$4="",$B28=""),0,SUMIF('DADOS BRUTOS'!$A$3:$A$500,$B28,'DADOS BRUTOS'!CH$3:CH$500)+IF($C28="",0,SUMIF('DADOS BRUTOS'!$A$3:$A$500,$C28,'DADOS BRUTOS'!CH$3:CH$500)))</f>
        <v/>
      </c>
      <c r="FI28" s="56">
        <f>IF(OR(FI$4="",$B28=""),0,SUMIF('DADOS BRUTOS'!$A$3:$A$500,$B28,'DADOS BRUTOS'!CI$3:CI$500)+IF($C28="",0,SUMIF('DADOS BRUTOS'!$A$3:$A$500,$C28,'DADOS BRUTOS'!CI$3:CI$500)))</f>
        <v/>
      </c>
      <c r="FJ28" s="56">
        <f>IF(OR(FJ$4="",$B28=""),0,SUMIF('DADOS BRUTOS'!$A$3:$A$500,$B28,'DADOS BRUTOS'!CJ$3:CJ$500)+IF($C28="",0,SUMIF('DADOS BRUTOS'!$A$3:$A$500,$C28,'DADOS BRUTOS'!CJ$3:CJ$500)))</f>
        <v/>
      </c>
      <c r="FK28" s="56">
        <f>IF(OR(FK$4="",$B28=""),0,SUMIF('DADOS BRUTOS'!$A$3:$A$500,$B28,'DADOS BRUTOS'!CK$3:CK$500)+IF($C28="",0,SUMIF('DADOS BRUTOS'!$A$3:$A$500,$C28,'DADOS BRUTOS'!CK$3:CK$500)))</f>
        <v/>
      </c>
      <c r="FL28" s="56">
        <f>IF(OR(FL$4="",$B28=""),0,SUMIF('DADOS BRUTOS'!$A$3:$A$500,$B28,'DADOS BRUTOS'!CL$3:CL$500)+IF($C28="",0,SUMIF('DADOS BRUTOS'!$A$3:$A$500,$C28,'DADOS BRUTOS'!CL$3:CL$500)))</f>
        <v/>
      </c>
      <c r="FM28" s="56">
        <f>IF(OR(FM$4="",$B28=""),0,SUMIF('DADOS BRUTOS'!$A$3:$A$500,$B28,'DADOS BRUTOS'!CM$3:CM$500)+IF($C28="",0,SUMIF('DADOS BRUTOS'!$A$3:$A$500,$C28,'DADOS BRUTOS'!CM$3:CM$500)))</f>
        <v/>
      </c>
      <c r="FN28" s="56">
        <f>IF(OR(FN$4="",$B28=""),0,SUMIF('DADOS BRUTOS'!$A$3:$A$500,$B28,'DADOS BRUTOS'!CN$3:CN$500)+IF($C28="",0,SUMIF('DADOS BRUTOS'!$A$3:$A$500,$C28,'DADOS BRUTOS'!CN$3:CN$500)))</f>
        <v/>
      </c>
      <c r="FO28" s="56">
        <f>IF(OR(FO$4="",$B28=""),0,SUMIF('DADOS BRUTOS'!$A$3:$A$500,$B28,'DADOS BRUTOS'!CO$3:CO$500)+IF($C28="",0,SUMIF('DADOS BRUTOS'!$A$3:$A$500,$C28,'DADOS BRUTOS'!CO$3:CO$500)))</f>
        <v/>
      </c>
      <c r="FP28" s="56">
        <f>IF(OR(FP$4="",$B28=""),0,SUMIF('DADOS BRUTOS'!$A$3:$A$500,$B28,'DADOS BRUTOS'!CP$3:CP$500)+IF($C28="",0,SUMIF('DADOS BRUTOS'!$A$3:$A$500,$C28,'DADOS BRUTOS'!CP$3:CP$500)))</f>
        <v/>
      </c>
      <c r="FQ28" s="56">
        <f>IF(OR(FQ$4="",$B28=""),0,SUMIF('DADOS BRUTOS'!$A$3:$A$500,$B28,'DADOS BRUTOS'!CQ$3:CQ$500)+IF($C28="",0,SUMIF('DADOS BRUTOS'!$A$3:$A$500,$C28,'DADOS BRUTOS'!CQ$3:CQ$500)))</f>
        <v/>
      </c>
      <c r="FR28" s="56">
        <f>IF(OR(FR$4="",$B28=""),0,SUMIF('DADOS BRUTOS'!$A$3:$A$500,$B28,'DADOS BRUTOS'!CR$3:CR$500)+IF($C28="",0,SUMIF('DADOS BRUTOS'!$A$3:$A$500,$C28,'DADOS BRUTOS'!CR$3:CR$500)))</f>
        <v/>
      </c>
      <c r="FS28" s="56">
        <f>IF(OR(FS$4="",$B28=""),0,SUMIF('DADOS BRUTOS'!$A$3:$A$500,$B28,'DADOS BRUTOS'!CS$3:CS$500)+IF($C28="",0,SUMIF('DADOS BRUTOS'!$A$3:$A$500,$C28,'DADOS BRUTOS'!CS$3:CS$500)))</f>
        <v/>
      </c>
      <c r="FT28" s="56">
        <f>IF(OR(FT$4="",$B28=""),0,SUMIF('DADOS BRUTOS'!$A$3:$A$500,$B28,'DADOS BRUTOS'!CT$3:CT$500)+IF($C28="",0,SUMIF('DADOS BRUTOS'!$A$3:$A$500,$C28,'DADOS BRUTOS'!CT$3:CT$500)))</f>
        <v/>
      </c>
      <c r="FU28" s="56">
        <f>IF(OR(FU$4="",$B28=""),0,SUMIF('DADOS BRUTOS'!$A$3:$A$500,$B28,'DADOS BRUTOS'!CU$3:CU$500)+IF($C28="",0,SUMIF('DADOS BRUTOS'!$A$3:$A$500,$C28,'DADOS BRUTOS'!CU$3:CU$500)))</f>
        <v/>
      </c>
      <c r="FV28" s="56">
        <f>IF(OR(FV$4="",$B28=""),0,SUMIF('DADOS BRUTOS'!$A$3:$A$500,$B28,'DADOS BRUTOS'!CV$3:CV$500)+IF($C28="",0,SUMIF('DADOS BRUTOS'!$A$3:$A$500,$C28,'DADOS BRUTOS'!CV$3:CV$500)))</f>
        <v/>
      </c>
      <c r="FW28" s="56">
        <f>IF(OR(FW$4="",$B28=""),0,SUMIF('DADOS BRUTOS'!$A$3:$A$500,$B28,'DADOS BRUTOS'!CW$3:CW$500)+IF($C28="",0,SUMIF('DADOS BRUTOS'!$A$3:$A$500,$C28,'DADOS BRUTOS'!CW$3:CW$500)))</f>
        <v/>
      </c>
      <c r="FX28" s="56">
        <f>IF(OR(FX$4="",$B28=""),0,SUMIF('DADOS BRUTOS'!$A$3:$A$500,$B28,'DADOS BRUTOS'!CX$3:CX$500)+IF($C28="",0,SUMIF('DADOS BRUTOS'!$A$3:$A$500,$C28,'DADOS BRUTOS'!CX$3:CX$500)))</f>
        <v/>
      </c>
      <c r="FY28" s="56">
        <f>IF(OR(FY$4="",$B28=""),0,SUMIF('DADOS BRUTOS'!$A$3:$A$500,$B28,'DADOS BRUTOS'!CY$3:CY$500)+IF($C28="",0,SUMIF('DADOS BRUTOS'!$A$3:$A$500,$C28,'DADOS BRUTOS'!CY$3:CY$500)))</f>
        <v/>
      </c>
      <c r="FZ28" s="56">
        <f>IF(OR(FZ$4="",$B28=""),0,SUMIF('DADOS BRUTOS'!$A$3:$A$500,$B28,'DADOS BRUTOS'!CZ$3:CZ$500)+IF($C28="",0,SUMIF('DADOS BRUTOS'!$A$3:$A$500,$C28,'DADOS BRUTOS'!CZ$3:CZ$500)))</f>
        <v/>
      </c>
      <c r="GA28" s="56">
        <f>IF(OR(GA$4="",$B28=""),0,SUMIF('DADOS BRUTOS'!$A$3:$A$500,$B28,'DADOS BRUTOS'!DA$3:DA$500)+IF($C28="",0,SUMIF('DADOS BRUTOS'!$A$3:$A$500,$C28,'DADOS BRUTOS'!DA$3:DA$500)))</f>
        <v/>
      </c>
      <c r="GB28" s="56">
        <f>IF(OR(GB$4="",$B28=""),0,SUMIF('DADOS BRUTOS'!$A$3:$A$500,$B28,'DADOS BRUTOS'!DB$3:DB$500)+IF($C28="",0,SUMIF('DADOS BRUTOS'!$A$3:$A$500,$C28,'DADOS BRUTOS'!DB$3:DB$500)))</f>
        <v/>
      </c>
      <c r="GC28" s="56">
        <f>IF(OR(GC$4="",$B28=""),0,SUMIF('DADOS BRUTOS'!$A$3:$A$500,$B28,'DADOS BRUTOS'!DC$3:DC$500)+IF($C28="",0,SUMIF('DADOS BRUTOS'!$A$3:$A$500,$C28,'DADOS BRUTOS'!DC$3:DC$500)))</f>
        <v/>
      </c>
      <c r="GD28" s="56">
        <f>IF(OR(GD$4="",$B28=""),0,SUMIF('DADOS BRUTOS'!$A$3:$A$500,$B28,'DADOS BRUTOS'!DD$3:DD$500)+IF($C28="",0,SUMIF('DADOS BRUTOS'!$A$3:$A$500,$C28,'DADOS BRUTOS'!DD$3:DD$500)))</f>
        <v/>
      </c>
      <c r="GE28" s="56">
        <f>IF(OR(GE$4="",$B28=""),0,SUMIF('DADOS BRUTOS'!$A$3:$A$500,$B28,'DADOS BRUTOS'!DE$3:DE$500)+IF($C28="",0,SUMIF('DADOS BRUTOS'!$A$3:$A$500,$C28,'DADOS BRUTOS'!DE$3:DE$500)))</f>
        <v/>
      </c>
      <c r="GF28" s="56">
        <f>IF(OR(GF$4="",$B28=""),0,SUMIF('DADOS BRUTOS'!$A$3:$A$500,$B28,'DADOS BRUTOS'!DF$3:DF$500)+IF($C28="",0,SUMIF('DADOS BRUTOS'!$A$3:$A$500,$C28,'DADOS BRUTOS'!DF$3:DF$500)))</f>
        <v/>
      </c>
      <c r="GG28" s="56">
        <f>IF(OR(GG$4="",$B28=""),0,SUMIF('DADOS BRUTOS'!$A$3:$A$500,$B28,'DADOS BRUTOS'!DG$3:DG$500)+IF($C28="",0,SUMIF('DADOS BRUTOS'!$A$3:$A$500,$C28,'DADOS BRUTOS'!DG$3:DG$500)))</f>
        <v/>
      </c>
      <c r="GH28" s="56">
        <f>IF(OR(GH$4="",$B28=""),0,SUMIF('DADOS BRUTOS'!$A$3:$A$500,$B28,'DADOS BRUTOS'!DH$3:DH$500)+IF($C28="",0,SUMIF('DADOS BRUTOS'!$A$3:$A$500,$C28,'DADOS BRUTOS'!DH$3:DH$500)))</f>
        <v/>
      </c>
      <c r="GI28" s="56">
        <f>IF(OR(GI$4="",$B28=""),0,SUMIF('DADOS BRUTOS'!$A$3:$A$500,$B28,'DADOS BRUTOS'!DI$3:DI$500)+IF($C28="",0,SUMIF('DADOS BRUTOS'!$A$3:$A$500,$C28,'DADOS BRUTOS'!DI$3:DI$500)))</f>
        <v/>
      </c>
      <c r="GJ28" s="56">
        <f>IF(OR(GJ$4="",$B28=""),0,SUMIF('DADOS BRUTOS'!$A$3:$A$500,$B28,'DADOS BRUTOS'!DJ$3:DJ$500)+IF($C28="",0,SUMIF('DADOS BRUTOS'!$A$3:$A$500,$C28,'DADOS BRUTOS'!DJ$3:DJ$500)))</f>
        <v/>
      </c>
      <c r="GK28" s="56">
        <f>IF(OR(GK$4="",$B28=""),0,SUMIF('DADOS BRUTOS'!$A$3:$A$500,$B28,'DADOS BRUTOS'!DK$3:DK$500)+IF($C28="",0,SUMIF('DADOS BRUTOS'!$A$3:$A$500,$C28,'DADOS BRUTOS'!DK$3:DK$500)))</f>
        <v/>
      </c>
      <c r="GL28" s="56">
        <f>IF(OR(GL$4="",$B28=""),0,SUMIF('DADOS BRUTOS'!$A$3:$A$500,$B28,'DADOS BRUTOS'!DL$3:DL$500)+IF($C28="",0,SUMIF('DADOS BRUTOS'!$A$3:$A$500,$C28,'DADOS BRUTOS'!DL$3:DL$500)))</f>
        <v/>
      </c>
      <c r="GM28" s="56">
        <f>IF(OR(GM$4="",$B28=""),0,SUMIF('DADOS BRUTOS'!$A$3:$A$500,$B28,'DADOS BRUTOS'!DM$3:DM$500)+IF($C28="",0,SUMIF('DADOS BRUTOS'!$A$3:$A$500,$C28,'DADOS BRUTOS'!DM$3:DM$500)))</f>
        <v/>
      </c>
      <c r="GN28" s="56">
        <f>IF(OR(GN$4="",$B28=""),0,SUMIF('DADOS BRUTOS'!$A$3:$A$500,$B28,'DADOS BRUTOS'!DN$3:DN$500)+IF($C28="",0,SUMIF('DADOS BRUTOS'!$A$3:$A$500,$C28,'DADOS BRUTOS'!DN$3:DN$500)))</f>
        <v/>
      </c>
      <c r="GO28" s="56">
        <f>IF(OR(GO$4="",$B28=""),0,SUMIF('DADOS BRUTOS'!$A$3:$A$500,$B28,'DADOS BRUTOS'!DO$3:DO$500)+IF($C28="",0,SUMIF('DADOS BRUTOS'!$A$3:$A$500,$C28,'DADOS BRUTOS'!DO$3:DO$500)))</f>
        <v/>
      </c>
      <c r="GP28" s="56">
        <f>IF(OR(GP$4="",$B28=""),0,SUMIF('DADOS BRUTOS'!$A$3:$A$500,$B28,'DADOS BRUTOS'!DP$3:DP$500)+IF($C28="",0,SUMIF('DADOS BRUTOS'!$A$3:$A$500,$C28,'DADOS BRUTOS'!DP$3:DP$500)))</f>
        <v/>
      </c>
      <c r="GQ28" s="56">
        <f>IF(OR(GQ$4="",$B28=""),0,SUMIF('DADOS BRUTOS'!$A$3:$A$500,$B28,'DADOS BRUTOS'!DQ$3:DQ$500)+IF($C28="",0,SUMIF('DADOS BRUTOS'!$A$3:$A$500,$C28,'DADOS BRUTOS'!DQ$3:DQ$500)))</f>
        <v/>
      </c>
      <c r="GR28" s="56">
        <f>IF(OR(GR$4="",$B28=""),0,SUMIF('DADOS BRUTOS'!$A$3:$A$500,$B28,'DADOS BRUTOS'!DR$3:DR$500)+IF($C28="",0,SUMIF('DADOS BRUTOS'!$A$3:$A$500,$C28,'DADOS BRUTOS'!DR$3:DR$500)))</f>
        <v/>
      </c>
      <c r="GS28" s="56">
        <f>IF(OR(GS$4="",$B28=""),0,SUMIF('DADOS BRUTOS'!$A$3:$A$500,$B28,'DADOS BRUTOS'!DS$3:DS$500)+IF($C28="",0,SUMIF('DADOS BRUTOS'!$A$3:$A$500,$C28,'DADOS BRUTOS'!DS$3:DS$500)))</f>
        <v/>
      </c>
      <c r="GT28" s="56">
        <f>IF(OR(GT$4="",$B28=""),0,SUMIF('DADOS BRUTOS'!$A$3:$A$500,$B28,'DADOS BRUTOS'!DT$3:DT$500)+IF($C28="",0,SUMIF('DADOS BRUTOS'!$A$3:$A$500,$C28,'DADOS BRUTOS'!DT$3:DT$500)))</f>
        <v/>
      </c>
      <c r="GU28" s="56">
        <f>IF(OR(GU$4="",$B28=""),0,SUMIF('DADOS BRUTOS'!$A$3:$A$500,$B28,'DADOS BRUTOS'!DU$3:DU$500)+IF($C28="",0,SUMIF('DADOS BRUTOS'!$A$3:$A$500,$C28,'DADOS BRUTOS'!DU$3:DU$500)))</f>
        <v/>
      </c>
      <c r="GV28" s="56">
        <f>IF(OR(GV$4="",$B28=""),0,SUMIF('DADOS BRUTOS'!$A$3:$A$500,$B28,'DADOS BRUTOS'!DV$3:DV$500)+IF($C28="",0,SUMIF('DADOS BRUTOS'!$A$3:$A$500,$C28,'DADOS BRUTOS'!DV$3:DV$500)))</f>
        <v/>
      </c>
      <c r="GW28" s="56">
        <f>IF(OR(GW$4="",$B28=""),0,SUMIF('DADOS BRUTOS'!$A$3:$A$500,$B28,'DADOS BRUTOS'!DW$3:DW$500)+IF($C28="",0,SUMIF('DADOS BRUTOS'!$A$3:$A$500,$C28,'DADOS BRUTOS'!DW$3:DW$500)))</f>
        <v/>
      </c>
      <c r="GX28" s="56">
        <f>IF(OR(GX$4="",$B28=""),0,SUMIF('DADOS BRUTOS'!$A$3:$A$500,$B28,'DADOS BRUTOS'!DX$3:DX$500)+IF($C28="",0,SUMIF('DADOS BRUTOS'!$A$3:$A$500,$C28,'DADOS BRUTOS'!DX$3:DX$500)))</f>
        <v/>
      </c>
      <c r="GY28" s="56">
        <f>IF(OR(GY$4="",$B28=""),0,SUMIF('DADOS BRUTOS'!$A$3:$A$500,$B28,'DADOS BRUTOS'!DY$3:DY$500)+IF($C28="",0,SUMIF('DADOS BRUTOS'!$A$3:$A$500,$C28,'DADOS BRUTOS'!DY$3:DY$500)))</f>
        <v/>
      </c>
      <c r="GZ28" s="56">
        <f>IF(OR(GZ$4="",$B28=""),0,SUMIF('DADOS BRUTOS'!$A$3:$A$500,$B28,'DADOS BRUTOS'!DZ$3:DZ$500)+IF($C28="",0,SUMIF('DADOS BRUTOS'!$A$3:$A$500,$C28,'DADOS BRUTOS'!DZ$3:DZ$500)))</f>
        <v/>
      </c>
      <c r="HA28" s="56">
        <f>IF(OR(HA$4="",$B28=""),0,SUMIF('DADOS BRUTOS'!$A$3:$A$500,$B28,'DADOS BRUTOS'!EA$3:EA$500)+IF($C28="",0,SUMIF('DADOS BRUTOS'!$A$3:$A$500,$C28,'DADOS BRUTOS'!EA$3:EA$500)))</f>
        <v/>
      </c>
      <c r="HB28" s="56">
        <f>IF(OR(HB$4="",$B28=""),0,SUMIF('DADOS BRUTOS'!$A$3:$A$500,$B28,'DADOS BRUTOS'!EB$3:EB$500)+IF($C28="",0,SUMIF('DADOS BRUTOS'!$A$3:$A$500,$C28,'DADOS BRUTOS'!EB$3:EB$500)))</f>
        <v/>
      </c>
      <c r="HC28" s="56">
        <f>IF(OR(HC$4="",$B28=""),0,SUMIF('DADOS BRUTOS'!$A$3:$A$500,$B28,'DADOS BRUTOS'!EC$3:EC$500)+IF($C28="",0,SUMIF('DADOS BRUTOS'!$A$3:$A$500,$C28,'DADOS BRUTOS'!EC$3:EC$500)))</f>
        <v/>
      </c>
      <c r="HD28" s="56">
        <f>IF(OR(HD$4="",$B28=""),0,SUMIF('DADOS BRUTOS'!$A$3:$A$500,$B28,'DADOS BRUTOS'!ED$3:ED$500)+IF($C28="",0,SUMIF('DADOS BRUTOS'!$A$3:$A$500,$C28,'DADOS BRUTOS'!ED$3:ED$500)))</f>
        <v/>
      </c>
      <c r="HE28" s="56">
        <f>IF(OR(HE$4="",$B28=""),0,SUMIF('DADOS BRUTOS'!$A$3:$A$500,$B28,'DADOS BRUTOS'!EE$3:EE$500)+IF($C28="",0,SUMIF('DADOS BRUTOS'!$A$3:$A$500,$C28,'DADOS BRUTOS'!EE$3:EE$500)))</f>
        <v/>
      </c>
      <c r="HF28" s="56">
        <f>IF(OR(HF$4="",$B28=""),0,SUMIF('DADOS BRUTOS'!$A$3:$A$500,$B28,'DADOS BRUTOS'!EF$3:EF$500)+IF($C28="",0,SUMIF('DADOS BRUTOS'!$A$3:$A$500,$C28,'DADOS BRUTOS'!EF$3:EF$500)))</f>
        <v/>
      </c>
      <c r="HG28" s="56">
        <f>IF(OR(HG$4="",$B28=""),0,SUMIF('DADOS BRUTOS'!$A$3:$A$500,$B28,'DADOS BRUTOS'!EG$3:EG$500)+IF($C28="",0,SUMIF('DADOS BRUTOS'!$A$3:$A$500,$C28,'DADOS BRUTOS'!EG$3:EG$500)))</f>
        <v/>
      </c>
      <c r="HH28" s="56">
        <f>IF(OR(HH$4="",$B28=""),0,SUMIF('DADOS BRUTOS'!$A$3:$A$500,$B28,'DADOS BRUTOS'!EH$3:EH$500)+IF($C28="",0,SUMIF('DADOS BRUTOS'!$A$3:$A$500,$C28,'DADOS BRUTOS'!EH$3:EH$500)))</f>
        <v/>
      </c>
      <c r="HI28" s="56">
        <f>IF(OR(HI$4="",$B28=""),0,SUMIF('DADOS BRUTOS'!$A$3:$A$500,$B28,'DADOS BRUTOS'!EI$3:EI$500)+IF($C28="",0,SUMIF('DADOS BRUTOS'!$A$3:$A$500,$C28,'DADOS BRUTOS'!EI$3:EI$500)))</f>
        <v/>
      </c>
      <c r="HJ28" s="56">
        <f>IF(OR(HJ$4="",$B28=""),0,SUMIF('DADOS BRUTOS'!$A$3:$A$500,$B28,'DADOS BRUTOS'!EJ$3:EJ$500)+IF($C28="",0,SUMIF('DADOS BRUTOS'!$A$3:$A$500,$C28,'DADOS BRUTOS'!EJ$3:EJ$500)))</f>
        <v/>
      </c>
      <c r="HK28" s="56">
        <f>IF(OR(HK$4="",$B28=""),0,SUMIF('DADOS BRUTOS'!$A$3:$A$500,$B28,'DADOS BRUTOS'!EK$3:EK$500)+IF($C28="",0,SUMIF('DADOS BRUTOS'!$A$3:$A$500,$C28,'DADOS BRUTOS'!EK$3:EK$500)))</f>
        <v/>
      </c>
      <c r="HL28" s="56">
        <f>IF(OR(HL$4="",$B28=""),0,SUMIF('DADOS BRUTOS'!$A$3:$A$500,$B28,'DADOS BRUTOS'!EL$3:EL$500)+IF($C28="",0,SUMIF('DADOS BRUTOS'!$A$3:$A$500,$C28,'DADOS BRUTOS'!EL$3:EL$500)))</f>
        <v/>
      </c>
      <c r="HM28" s="56">
        <f>IF(OR(HM$4="",$B28=""),0,SUMIF('DADOS BRUTOS'!$A$3:$A$500,$B28,'DADOS BRUTOS'!EM$3:EM$500)+IF($C28="",0,SUMIF('DADOS BRUTOS'!$A$3:$A$500,$C28,'DADOS BRUTOS'!EM$3:EM$500)))</f>
        <v/>
      </c>
      <c r="HN28" s="56">
        <f>IF(OR(HN$4="",$B28=""),0,SUMIF('DADOS BRUTOS'!$A$3:$A$500,$B28,'DADOS BRUTOS'!EN$3:EN$500)+IF($C28="",0,SUMIF('DADOS BRUTOS'!$A$3:$A$500,$C28,'DADOS BRUTOS'!EN$3:EN$500)))</f>
        <v/>
      </c>
      <c r="HO28" s="56">
        <f>IF(OR(HO$4="",$B28=""),0,SUMIF('DADOS BRUTOS'!$A$3:$A$500,$B28,'DADOS BRUTOS'!EO$3:EO$500)+IF($C28="",0,SUMIF('DADOS BRUTOS'!$A$3:$A$500,$C28,'DADOS BRUTOS'!EO$3:EO$500)))</f>
        <v/>
      </c>
      <c r="HP28" s="56">
        <f>IF(OR(HP$4="",$B28=""),0,SUMIF('DADOS BRUTOS'!$A$3:$A$500,$B28,'DADOS BRUTOS'!EP$3:EP$500)+IF($C28="",0,SUMIF('DADOS BRUTOS'!$A$3:$A$500,$C28,'DADOS BRUTOS'!EP$3:EP$500)))</f>
        <v/>
      </c>
      <c r="HQ28" s="56">
        <f>IF(OR(HQ$4="",$B28=""),0,SUMIF('DADOS BRUTOS'!$A$3:$A$500,$B28,'DADOS BRUTOS'!EQ$3:EQ$500)+IF($C28="",0,SUMIF('DADOS BRUTOS'!$A$3:$A$500,$C28,'DADOS BRUTOS'!EQ$3:EQ$500)))</f>
        <v/>
      </c>
      <c r="HR28" s="56">
        <f>IF(OR(HR$4="",$B28=""),0,SUMIF('DADOS BRUTOS'!$A$3:$A$500,$B28,'DADOS BRUTOS'!ER$3:ER$500)+IF($C28="",0,SUMIF('DADOS BRUTOS'!$A$3:$A$500,$C28,'DADOS BRUTOS'!ER$3:ER$500)))</f>
        <v/>
      </c>
      <c r="HS28" s="56">
        <f>IF(OR(HS$4="",$B28=""),0,SUMIF('DADOS BRUTOS'!$A$3:$A$500,$B28,'DADOS BRUTOS'!ES$3:ES$500)+IF($C28="",0,SUMIF('DADOS BRUTOS'!$A$3:$A$500,$C28,'DADOS BRUTOS'!ES$3:ES$500)))</f>
        <v/>
      </c>
      <c r="HT28" s="56">
        <f>IF(OR(HT$4="",$B28=""),0,SUMIF('DADOS BRUTOS'!$A$3:$A$500,$B28,'DADOS BRUTOS'!ET$3:ET$500)+IF($C28="",0,SUMIF('DADOS BRUTOS'!$A$3:$A$500,$C28,'DADOS BRUTOS'!ET$3:ET$500)))</f>
        <v/>
      </c>
      <c r="HU28" s="56">
        <f>IF(OR(HU$4="",$B28=""),0,SUMIF('DADOS BRUTOS'!$A$3:$A$500,$B28,'DADOS BRUTOS'!EU$3:EU$500)+IF($C28="",0,SUMIF('DADOS BRUTOS'!$A$3:$A$500,$C28,'DADOS BRUTOS'!EU$3:EU$500)))</f>
        <v/>
      </c>
      <c r="HV28" s="56">
        <f>IF(OR(HV$4="",$B28=""),0,SUMIF('DADOS BRUTOS'!$A$3:$A$500,$B28,'DADOS BRUTOS'!EV$3:EV$500)+IF($C28="",0,SUMIF('DADOS BRUTOS'!$A$3:$A$500,$C28,'DADOS BRUTOS'!EV$3:EV$500)))</f>
        <v/>
      </c>
      <c r="HW28" s="56">
        <f>IF(OR(HW$4="",$B28=""),0,SUMIF('DADOS BRUTOS'!$A$3:$A$500,$B28,'DADOS BRUTOS'!EW$3:EW$500)+IF($C28="",0,SUMIF('DADOS BRUTOS'!$A$3:$A$500,$C28,'DADOS BRUTOS'!EW$3:EW$500)))</f>
        <v/>
      </c>
      <c r="HX28" s="56">
        <f>IF(OR(HX$4="",$B28=""),0,SUMIF('DADOS BRUTOS'!$A$3:$A$500,$B28,'DADOS BRUTOS'!EX$3:EX$500)+IF($C28="",0,SUMIF('DADOS BRUTOS'!$A$3:$A$500,$C28,'DADOS BRUTOS'!EX$3:EX$500)))</f>
        <v/>
      </c>
      <c r="HY28" s="56">
        <f>IF(OR(HY$4="",$B28=""),0,SUMIF('DADOS BRUTOS'!$A$3:$A$500,$B28,'DADOS BRUTOS'!EY$3:EY$500)+IF($C28="",0,SUMIF('DADOS BRUTOS'!$A$3:$A$500,$C28,'DADOS BRUTOS'!EY$3:EY$500)))</f>
        <v/>
      </c>
      <c r="HZ28" s="56">
        <f>IF(OR(HZ$4="",$B28=""),0,SUMIF('DADOS BRUTOS'!$A$3:$A$500,$B28,'DADOS BRUTOS'!EZ$3:EZ$500)+IF($C28="",0,SUMIF('DADOS BRUTOS'!$A$3:$A$500,$C28,'DADOS BRUTOS'!EZ$3:EZ$500)))</f>
        <v/>
      </c>
      <c r="IA28" s="56">
        <f>IF(OR(IA$4="",$B28=""),0,SUMIF('DADOS BRUTOS'!$A$3:$A$500,$B28,'DADOS BRUTOS'!FA$3:FA$500)+IF($C28="",0,SUMIF('DADOS BRUTOS'!$A$3:$A$500,$C28,'DADOS BRUTOS'!FA$3:FA$500)))</f>
        <v/>
      </c>
      <c r="IB28" s="56">
        <f>IF(OR(IB$4="",$B28=""),0,SUMIF('DADOS BRUTOS'!$A$3:$A$500,$B28,'DADOS BRUTOS'!FB$3:FB$500)+IF($C28="",0,SUMIF('DADOS BRUTOS'!$A$3:$A$500,$C28,'DADOS BRUTOS'!FB$3:FB$500)))</f>
        <v/>
      </c>
      <c r="IC28" s="56">
        <f>IF(OR(IC$4="",$B28=""),0,SUMIF('DADOS BRUTOS'!$A$3:$A$500,$B28,'DADOS BRUTOS'!FC$3:FC$500)+IF($C28="",0,SUMIF('DADOS BRUTOS'!$A$3:$A$500,$C28,'DADOS BRUTOS'!FC$3:FC$500)))</f>
        <v/>
      </c>
      <c r="ID28" s="56">
        <f>IF(OR(ID$4="",$B28=""),0,SUMIF('DADOS BRUTOS'!$A$3:$A$500,$B28,'DADOS BRUTOS'!FD$3:FD$500)+IF($C28="",0,SUMIF('DADOS BRUTOS'!$A$3:$A$500,$C28,'DADOS BRUTOS'!FD$3:FD$500)))</f>
        <v/>
      </c>
      <c r="IE28" s="56">
        <f>IF(OR(IE$4="",$B28=""),0,SUMIF('DADOS BRUTOS'!$A$3:$A$500,$B28,'DADOS BRUTOS'!FE$3:FE$500)+IF($C28="",0,SUMIF('DADOS BRUTOS'!$A$3:$A$500,$C28,'DADOS BRUTOS'!FE$3:FE$500)))</f>
        <v/>
      </c>
      <c r="IF28" s="56">
        <f>IF(OR(IF$4="",$B28=""),0,SUMIF('DADOS BRUTOS'!$A$3:$A$500,$B28,'DADOS BRUTOS'!FF$3:FF$500)+IF($C28="",0,SUMIF('DADOS BRUTOS'!$A$3:$A$500,$C28,'DADOS BRUTOS'!FF$3:FF$500)))</f>
        <v/>
      </c>
      <c r="IG28" s="56">
        <f>IF(OR(IG$4="",$B28=""),0,SUMIF('DADOS BRUTOS'!$A$3:$A$500,$B28,'DADOS BRUTOS'!FG$3:FG$500)+IF($C28="",0,SUMIF('DADOS BRUTOS'!$A$3:$A$500,$C28,'DADOS BRUTOS'!FG$3:FG$500)))</f>
        <v/>
      </c>
      <c r="IH28" s="56">
        <f>IF(OR(IH$4="",$B28=""),0,SUMIF('DADOS BRUTOS'!$A$3:$A$500,$B28,'DADOS BRUTOS'!FH$3:FH$500)+IF($C28="",0,SUMIF('DADOS BRUTOS'!$A$3:$A$500,$C28,'DADOS BRUTOS'!FH$3:FH$500)))</f>
        <v/>
      </c>
      <c r="II28" s="56">
        <f>IF(OR(II$4="",$B28=""),0,SUMIF('DADOS BRUTOS'!$A$3:$A$500,$B28,'DADOS BRUTOS'!FI$3:FI$500)+IF($C28="",0,SUMIF('DADOS BRUTOS'!$A$3:$A$500,$C28,'DADOS BRUTOS'!FI$3:FI$500)))</f>
        <v/>
      </c>
      <c r="IJ28" s="56">
        <f>IF(OR(IJ$4="",$B28=""),0,SUMIF('DADOS BRUTOS'!$A$3:$A$500,$B28,'DADOS BRUTOS'!FJ$3:FJ$500)+IF($C28="",0,SUMIF('DADOS BRUTOS'!$A$3:$A$500,$C28,'DADOS BRUTOS'!FJ$3:FJ$500)))</f>
        <v/>
      </c>
      <c r="IK28" s="56">
        <f>IF(OR(IK$4="",$B28=""),0,SUMIF('DADOS BRUTOS'!$A$3:$A$500,$B28,'DADOS BRUTOS'!FK$3:FK$500)+IF($C28="",0,SUMIF('DADOS BRUTOS'!$A$3:$A$500,$C28,'DADOS BRUTOS'!FK$3:FK$500)))</f>
        <v/>
      </c>
      <c r="IL28" s="56">
        <f>IF(OR(IL$4="",$B28=""),0,SUMIF('DADOS BRUTOS'!$A$3:$A$500,$B28,'DADOS BRUTOS'!FL$3:FL$500)+IF($C28="",0,SUMIF('DADOS BRUTOS'!$A$3:$A$500,$C28,'DADOS BRUTOS'!FL$3:FL$500)))</f>
        <v/>
      </c>
      <c r="IM28" s="56">
        <f>IF(OR(IM$4="",$B28=""),0,SUMIF('DADOS BRUTOS'!$A$3:$A$500,$B28,'DADOS BRUTOS'!FM$3:FM$500)+IF($C28="",0,SUMIF('DADOS BRUTOS'!$A$3:$A$500,$C28,'DADOS BRUTOS'!FM$3:FM$500)))</f>
        <v/>
      </c>
      <c r="IN28" s="56">
        <f>IF(OR(IN$4="",$B28=""),0,SUMIF('DADOS BRUTOS'!$A$3:$A$500,$B28,'DADOS BRUTOS'!FN$3:FN$500)+IF($C28="",0,SUMIF('DADOS BRUTOS'!$A$3:$A$500,$C28,'DADOS BRUTOS'!FN$3:FN$500)))</f>
        <v/>
      </c>
      <c r="IO28" s="56">
        <f>IF(OR(IO$4="",$B28=""),0,SUMIF('DADOS BRUTOS'!$A$3:$A$500,$B28,'DADOS BRUTOS'!FO$3:FO$500)+IF($C28="",0,SUMIF('DADOS BRUTOS'!$A$3:$A$500,$C28,'DADOS BRUTOS'!FO$3:FO$500)))</f>
        <v/>
      </c>
      <c r="IP28" s="56">
        <f>IF(OR(IP$4="",$B28=""),0,SUMIF('DADOS BRUTOS'!$A$3:$A$500,$B28,'DADOS BRUTOS'!FP$3:FP$500)+IF($C28="",0,SUMIF('DADOS BRUTOS'!$A$3:$A$500,$C28,'DADOS BRUTOS'!FP$3:FP$500)))</f>
        <v/>
      </c>
      <c r="IQ28" s="56">
        <f>IF(OR(IQ$4="",$B28=""),0,SUMIF('DADOS BRUTOS'!$A$3:$A$500,$B28,'DADOS BRUTOS'!FQ$3:FQ$500)+IF($C28="",0,SUMIF('DADOS BRUTOS'!$A$3:$A$500,$C28,'DADOS BRUTOS'!FQ$3:FQ$500)))</f>
        <v/>
      </c>
      <c r="IR28" s="56">
        <f>IF(OR(IR$4="",$B28=""),0,SUMIF('DADOS BRUTOS'!$A$3:$A$500,$B28,'DADOS BRUTOS'!FR$3:FR$500)+IF($C28="",0,SUMIF('DADOS BRUTOS'!$A$3:$A$500,$C28,'DADOS BRUTOS'!FR$3:FR$500)))</f>
        <v/>
      </c>
      <c r="IS28" s="56">
        <f>IF(OR(IS$4="",$B28=""),0,SUMIF('DADOS BRUTOS'!$A$3:$A$500,$B28,'DADOS BRUTOS'!FS$3:FS$500)+IF($C28="",0,SUMIF('DADOS BRUTOS'!$A$3:$A$500,$C28,'DADOS BRUTOS'!FS$3:FS$500)))</f>
        <v/>
      </c>
      <c r="IT28" s="56">
        <f>IF(OR(IT$4="",$B28=""),0,SUMIF('DADOS BRUTOS'!$A$3:$A$500,$B28,'DADOS BRUTOS'!FT$3:FT$500)+IF($C28="",0,SUMIF('DADOS BRUTOS'!$A$3:$A$500,$C28,'DADOS BRUTOS'!FT$3:FT$500)))</f>
        <v/>
      </c>
      <c r="IU28" s="56">
        <f>IF(OR(IU$4="",$B28=""),0,SUMIF('DADOS BRUTOS'!$A$3:$A$500,$B28,'DADOS BRUTOS'!FU$3:FU$500)+IF($C28="",0,SUMIF('DADOS BRUTOS'!$A$3:$A$500,$C28,'DADOS BRUTOS'!FU$3:FU$500)))</f>
        <v/>
      </c>
      <c r="IV28" s="56">
        <f>IF(OR(IV$4="",$B28=""),0,SUMIF('DADOS BRUTOS'!$A$3:$A$500,$B28,'DADOS BRUTOS'!FV$3:FV$500)+IF($C28="",0,SUMIF('DADOS BRUTOS'!$A$3:$A$500,$C28,'DADOS BRUTOS'!FV$3:FV$500)))</f>
        <v/>
      </c>
      <c r="IW28" s="56">
        <f>IF(OR(IW$4="",$B28=""),0,SUMIF('DADOS BRUTOS'!$A$3:$A$500,$B28,'DADOS BRUTOS'!FW$3:FW$500)+IF($C28="",0,SUMIF('DADOS BRUTOS'!$A$3:$A$500,$C28,'DADOS BRUTOS'!FW$3:FW$500)))</f>
        <v/>
      </c>
      <c r="IX28" s="56">
        <f>IF(OR(IX$4="",$B28=""),0,SUMIF('DADOS BRUTOS'!$A$3:$A$500,$B28,'DADOS BRUTOS'!FX$3:FX$500)+IF($C28="",0,SUMIF('DADOS BRUTOS'!$A$3:$A$500,$C28,'DADOS BRUTOS'!FX$3:FX$500)))</f>
        <v/>
      </c>
      <c r="IY28" s="56">
        <f>IF(OR(IY$4="",$B28=""),0,SUMIF('DADOS BRUTOS'!$A$3:$A$500,$B28,'DADOS BRUTOS'!FY$3:FY$500)+IF($C28="",0,SUMIF('DADOS BRUTOS'!$A$3:$A$500,$C28,'DADOS BRUTOS'!FY$3:FY$500)))</f>
        <v/>
      </c>
      <c r="IZ28" s="56">
        <f>IF(OR(IZ$4="",$B28=""),0,SUMIF('DADOS BRUTOS'!$A$3:$A$500,$B28,'DADOS BRUTOS'!FZ$3:FZ$500)+IF($C28="",0,SUMIF('DADOS BRUTOS'!$A$3:$A$500,$C28,'DADOS BRUTOS'!FZ$3:FZ$500)))</f>
        <v/>
      </c>
      <c r="JA28" s="56">
        <f>IF(OR(JA$4="",$B28=""),0,SUMIF('DADOS BRUTOS'!$A$3:$A$500,$B28,'DADOS BRUTOS'!GA$3:GA$500)+IF($C28="",0,SUMIF('DADOS BRUTOS'!$A$3:$A$500,$C28,'DADOS BRUTOS'!GA$3:GA$500)))</f>
        <v/>
      </c>
      <c r="JB28" s="56">
        <f>IF(OR(JB$4="",$B28=""),0,SUMIF('DADOS BRUTOS'!$A$3:$A$500,$B28,'DADOS BRUTOS'!GB$3:GB$500)+IF($C28="",0,SUMIF('DADOS BRUTOS'!$A$3:$A$500,$C28,'DADOS BRUTOS'!GB$3:GB$500)))</f>
        <v/>
      </c>
      <c r="JC28" s="56">
        <f>IF(OR(JC$4="",$B28=""),0,SUMIF('DADOS BRUTOS'!$A$3:$A$500,$B28,'DADOS BRUTOS'!GC$3:GC$500)+IF($C28="",0,SUMIF('DADOS BRUTOS'!$A$3:$A$500,$C28,'DADOS BRUTOS'!GC$3:GC$500)))</f>
        <v/>
      </c>
      <c r="JD28" s="56">
        <f>IF(OR(JD$4="",$B28=""),0,SUMIF('DADOS BRUTOS'!$A$3:$A$500,$B28,'DADOS BRUTOS'!GD$3:GD$500)+IF($C28="",0,SUMIF('DADOS BRUTOS'!$A$3:$A$500,$C28,'DADOS BRUTOS'!GD$3:GD$500)))</f>
        <v/>
      </c>
      <c r="JE28" s="56">
        <f>IF(OR(JE$4="",$B28=""),0,SUMIF('DADOS BRUTOS'!$A$3:$A$500,$B28,'DADOS BRUTOS'!GE$3:GE$500)+IF($C28="",0,SUMIF('DADOS BRUTOS'!$A$3:$A$500,$C28,'DADOS BRUTOS'!GE$3:GE$500)))</f>
        <v/>
      </c>
      <c r="JF28" s="56">
        <f>IF(OR(JF$4="",$B28=""),0,SUMIF('DADOS BRUTOS'!$A$3:$A$500,$B28,'DADOS BRUTOS'!GF$3:GF$500)+IF($C28="",0,SUMIF('DADOS BRUTOS'!$A$3:$A$500,$C28,'DADOS BRUTOS'!GF$3:GF$500)))</f>
        <v/>
      </c>
      <c r="JG28" s="56">
        <f>IF(OR(JG$4="",$B28=""),0,SUMIF('DADOS BRUTOS'!$A$3:$A$500,$B28,'DADOS BRUTOS'!GG$3:GG$500)+IF($C28="",0,SUMIF('DADOS BRUTOS'!$A$3:$A$500,$C28,'DADOS BRUTOS'!GG$3:GG$500)))</f>
        <v/>
      </c>
      <c r="JH28" s="56">
        <f>IF(OR(JH$4="",$B28=""),0,SUMIF('DADOS BRUTOS'!$A$3:$A$500,$B28,'DADOS BRUTOS'!GH$3:GH$500)+IF($C28="",0,SUMIF('DADOS BRUTOS'!$A$3:$A$500,$C28,'DADOS BRUTOS'!GH$3:GH$500)))</f>
        <v/>
      </c>
      <c r="JI28" s="56">
        <f>IF(OR(JI$4="",$B28=""),0,SUMIF('DADOS BRUTOS'!$A$3:$A$500,$B28,'DADOS BRUTOS'!GI$3:GI$500)+IF($C28="",0,SUMIF('DADOS BRUTOS'!$A$3:$A$500,$C28,'DADOS BRUTOS'!GI$3:GI$500)))</f>
        <v/>
      </c>
      <c r="JJ28" s="56">
        <f>IF(OR(JJ$4="",$B28=""),0,SUMIF('DADOS BRUTOS'!$A$3:$A$500,$B28,'DADOS BRUTOS'!GJ$3:GJ$500)+IF($C28="",0,SUMIF('DADOS BRUTOS'!$A$3:$A$500,$C28,'DADOS BRUTOS'!GJ$3:GJ$500)))</f>
        <v/>
      </c>
      <c r="JK28" s="56">
        <f>IF(OR(JK$4="",$B28=""),0,SUMIF('DADOS BRUTOS'!$A$3:$A$500,$B28,'DADOS BRUTOS'!GK$3:GK$500)+IF($C28="",0,SUMIF('DADOS BRUTOS'!$A$3:$A$500,$C28,'DADOS BRUTOS'!GK$3:GK$500)))</f>
        <v/>
      </c>
      <c r="JL28" s="56">
        <f>IF(OR(JL$4="",$B28=""),0,SUMIF('DADOS BRUTOS'!$A$3:$A$500,$B28,'DADOS BRUTOS'!GL$3:GL$500)+IF($C28="",0,SUMIF('DADOS BRUTOS'!$A$3:$A$500,$C28,'DADOS BRUTOS'!GL$3:GL$500)))</f>
        <v/>
      </c>
      <c r="JM28" s="56">
        <f>IF(OR(JM$4="",$B28=""),0,SUMIF('DADOS BRUTOS'!$A$3:$A$500,$B28,'DADOS BRUTOS'!GM$3:GM$500)+IF($C28="",0,SUMIF('DADOS BRUTOS'!$A$3:$A$500,$C28,'DADOS BRUTOS'!GM$3:GM$500)))</f>
        <v/>
      </c>
      <c r="JN28" s="56">
        <f>IF(OR(JN$4="",$B28=""),0,SUMIF('DADOS BRUTOS'!$A$3:$A$500,$B28,'DADOS BRUTOS'!GN$3:GN$500)+IF($C28="",0,SUMIF('DADOS BRUTOS'!$A$3:$A$500,$C28,'DADOS BRUTOS'!GN$3:GN$500)))</f>
        <v/>
      </c>
      <c r="JO28" s="56">
        <f>IF(OR(JO$4="",$B28=""),0,SUMIF('DADOS BRUTOS'!$A$3:$A$500,$B28,'DADOS BRUTOS'!GO$3:GO$500)+IF($C28="",0,SUMIF('DADOS BRUTOS'!$A$3:$A$500,$C28,'DADOS BRUTOS'!GO$3:GO$500)))</f>
        <v/>
      </c>
      <c r="JP28" s="56">
        <f>IF(OR(JP$4="",$B28=""),0,SUMIF('DADOS BRUTOS'!$A$3:$A$500,$B28,'DADOS BRUTOS'!GP$3:GP$500)+IF($C28="",0,SUMIF('DADOS BRUTOS'!$A$3:$A$500,$C28,'DADOS BRUTOS'!GP$3:GP$500)))</f>
        <v/>
      </c>
      <c r="JQ28" s="56">
        <f>IF(OR(JQ$4="",$B28=""),0,SUMIF('DADOS BRUTOS'!$A$3:$A$500,$B28,'DADOS BRUTOS'!GQ$3:GQ$500)+IF($C28="",0,SUMIF('DADOS BRUTOS'!$A$3:$A$500,$C28,'DADOS BRUTOS'!GQ$3:GQ$500)))</f>
        <v/>
      </c>
      <c r="JR28" s="56">
        <f>IF(OR(JR$4="",$B28=""),0,SUMIF('DADOS BRUTOS'!$A$3:$A$500,$B28,'DADOS BRUTOS'!GR$3:GR$500)+IF($C28="",0,SUMIF('DADOS BRUTOS'!$A$3:$A$500,$C28,'DADOS BRUTOS'!GR$3:GR$500)))</f>
        <v/>
      </c>
      <c r="JS28" s="56">
        <f>IF(OR(JS$4="",$B28=""),0,SUMIF('DADOS BRUTOS'!$A$3:$A$500,$B28,'DADOS BRUTOS'!GS$3:GS$500)+IF($C28="",0,SUMIF('DADOS BRUTOS'!$A$3:$A$500,$C28,'DADOS BRUTOS'!GS$3:GS$500)))</f>
        <v/>
      </c>
    </row>
    <row r="29">
      <c r="A29" s="34">
        <f>'VALOR POR PL'!D35</f>
        <v/>
      </c>
      <c r="B29" s="21" t="inlineStr">
        <is>
          <t>ESQUADRIAS</t>
        </is>
      </c>
      <c r="C29" s="21" t="n"/>
      <c r="D29" s="17">
        <f>SUMIF($CB$4:$JS$4,"&lt;="&amp;D$4,$CB29:$JS29)</f>
        <v/>
      </c>
      <c r="E29" s="17">
        <f>SUMIF($CB$4:$JS$4,E$4,$CB29:$JS29)</f>
        <v/>
      </c>
      <c r="F29" s="17">
        <f>SUMIF($CB$4:$JS$4,F$4,$CB29:$JS29)</f>
        <v/>
      </c>
      <c r="G29" s="17">
        <f>SUMIF($CB$4:$JS$4,G$4,$CB29:$JS29)</f>
        <v/>
      </c>
      <c r="H29" s="17">
        <f>SUMIF($CB$4:$JS$4,H$4,$CB29:$JS29)</f>
        <v/>
      </c>
      <c r="I29" s="17">
        <f>SUMIF($CB$4:$JS$4,I$4,$CB29:$JS29)</f>
        <v/>
      </c>
      <c r="J29" s="17">
        <f>SUMIF($CB$4:$JS$4,J$4,$CB29:$JS29)</f>
        <v/>
      </c>
      <c r="K29" s="17">
        <f>SUMIF($CB$4:$JS$4,K$4,$CB29:$JS29)</f>
        <v/>
      </c>
      <c r="L29" s="17">
        <f>SUMIF($CB$4:$JS$4,L$4,$CB29:$JS29)</f>
        <v/>
      </c>
      <c r="M29" s="17">
        <f>SUMIF($CB$4:$JS$4,M$4,$CB29:$JS29)</f>
        <v/>
      </c>
      <c r="N29" s="17">
        <f>SUMIF($CB$4:$JS$4,N$4,$CB29:$JS29)</f>
        <v/>
      </c>
      <c r="O29" s="17">
        <f>SUMIF($CB$4:$JS$4,O$4,$CB29:$JS29)</f>
        <v/>
      </c>
      <c r="P29" s="17">
        <f>SUMIF($CB$4:$JS$4,P$4,$CB29:$JS29)</f>
        <v/>
      </c>
      <c r="Q29" s="17">
        <f>SUMIF($CB$4:$JS$4,Q$4,$CB29:$JS29)</f>
        <v/>
      </c>
      <c r="R29" s="17">
        <f>SUMIF($CB$4:$JS$4,R$4,$CB29:$JS29)</f>
        <v/>
      </c>
      <c r="S29" s="17">
        <f>SUMIF($CB$4:$JS$4,S$4,$CB29:$JS29)</f>
        <v/>
      </c>
      <c r="T29" s="17">
        <f>SUMIF($CB$4:$JS$4,T$4,$CB29:$JS29)</f>
        <v/>
      </c>
      <c r="U29" s="17">
        <f>SUMIF($CB$4:$JS$4,U$4,$CB29:$JS29)</f>
        <v/>
      </c>
      <c r="V29" s="17">
        <f>SUMIF($CB$4:$JS$4,V$4,$CB29:$JS29)</f>
        <v/>
      </c>
      <c r="W29" s="17">
        <f>SUMIF($CB$4:$JS$4,W$4,$CB29:$JS29)</f>
        <v/>
      </c>
      <c r="X29" s="17">
        <f>SUMIF($CB$4:$JS$4,X$4,$CB29:$JS29)</f>
        <v/>
      </c>
      <c r="Y29" s="17">
        <f>SUMIF($CB$4:$JS$4,Y$4,$CB29:$JS29)</f>
        <v/>
      </c>
      <c r="Z29" s="17">
        <f>SUMIF($CB$4:$JS$4,Z$4,$CB29:$JS29)</f>
        <v/>
      </c>
      <c r="AA29" s="17">
        <f>SUMIF($CB$4:$JS$4,AA$4,$CB29:$JS29)</f>
        <v/>
      </c>
      <c r="AB29" s="17">
        <f>SUMIF($CB$4:$JS$4,AB$4,$CB29:$JS29)</f>
        <v/>
      </c>
      <c r="AC29" s="17">
        <f>SUMIF($CB$4:$JS$4,AC$4,$CB29:$JS29)</f>
        <v/>
      </c>
      <c r="AD29" s="17">
        <f>SUMIF($CB$4:$JS$4,AD$4,$CB29:$JS29)</f>
        <v/>
      </c>
      <c r="AE29" s="17">
        <f>SUMIF($CB$4:$JS$4,AE$4,$CB29:$JS29)</f>
        <v/>
      </c>
      <c r="AF29" s="17">
        <f>SUMIF($CB$4:$JS$4,AF$4,$CB29:$JS29)</f>
        <v/>
      </c>
      <c r="AG29" s="17">
        <f>SUMIF($CB$4:$JS$4,AG$4,$CB29:$JS29)</f>
        <v/>
      </c>
      <c r="AH29" s="17">
        <f>SUMIF($CB$4:$JS$4,AH$4,$CB29:$JS29)</f>
        <v/>
      </c>
      <c r="AI29" s="17">
        <f>SUMIF($CB$4:$JS$4,AI$4,$CB29:$JS29)</f>
        <v/>
      </c>
      <c r="AJ29" s="17">
        <f>SUMIF($CB$4:$JS$4,AJ$4,$CB29:$JS29)</f>
        <v/>
      </c>
      <c r="AK29" s="17">
        <f>SUMIF($CB$4:$JS$4,AK$4,$CB29:$JS29)</f>
        <v/>
      </c>
      <c r="AL29" s="17">
        <f>SUMIF($CB$4:$JS$4,AL$4,$CB29:$JS29)</f>
        <v/>
      </c>
      <c r="AM29" s="17">
        <f>SUMIF($CB$4:$JS$4,AM$4,$CB29:$JS29)</f>
        <v/>
      </c>
      <c r="AN29" s="17">
        <f>SUMIF($CB$4:$JS$4,AN$4,$CB29:$JS29)</f>
        <v/>
      </c>
      <c r="AO29" s="17">
        <f>SUMIF($CB$4:$JS$4,AO$4,$CB29:$JS29)</f>
        <v/>
      </c>
      <c r="AP29" s="17">
        <f>SUMIF($CB$4:$JS$4,AP$4,$CB29:$JS29)</f>
        <v/>
      </c>
      <c r="AQ29" s="17">
        <f>SUMIF($CB$4:$JS$4,AQ$4,$CB29:$JS29)</f>
        <v/>
      </c>
      <c r="AR29" s="17">
        <f>SUMIF($CB$4:$JS$4,AR$4,$CB29:$JS29)</f>
        <v/>
      </c>
      <c r="AS29" s="17">
        <f>SUMIF($CB$4:$JS$4,AS$4,$CB29:$JS29)</f>
        <v/>
      </c>
      <c r="AT29" s="17">
        <f>SUMIF($CB$4:$JS$4,AT$4,$CB29:$JS29)</f>
        <v/>
      </c>
      <c r="AU29" s="17">
        <f>SUMIF($CB$4:$JS$4,AU$4,$CB29:$JS29)</f>
        <v/>
      </c>
      <c r="AV29" s="17">
        <f>SUMIF($CB$4:$JS$4,AV$4,$CB29:$JS29)</f>
        <v/>
      </c>
      <c r="AW29" s="17">
        <f>SUMIF($CB$4:$JS$4,AW$4,$CB29:$JS29)</f>
        <v/>
      </c>
      <c r="AX29" s="17">
        <f>SUMIF($CB$4:$JS$4,AX$4,$CB29:$JS29)</f>
        <v/>
      </c>
      <c r="AY29" s="17">
        <f>SUMIF($CB$4:$JS$4,AY$4,$CB29:$JS29)</f>
        <v/>
      </c>
      <c r="AZ29" s="17">
        <f>SUMIF($CB$4:$JS$4,AZ$4,$CB29:$JS29)</f>
        <v/>
      </c>
      <c r="BA29" s="17">
        <f>SUMIF($CB$4:$JS$4,BA$4,$CB29:$JS29)</f>
        <v/>
      </c>
      <c r="BB29" s="17">
        <f>SUMIF($CB$4:$JS$4,BB$4,$CB29:$JS29)</f>
        <v/>
      </c>
      <c r="BC29" s="17">
        <f>SUMIF($CB$4:$JS$4,BC$4,$CB29:$JS29)</f>
        <v/>
      </c>
      <c r="BD29" s="17">
        <f>SUMIF($CB$4:$JS$4,BD$4,$CB29:$JS29)</f>
        <v/>
      </c>
      <c r="BE29" s="17">
        <f>SUMIF($CB$4:$JS$4,BE$4,$CB29:$JS29)</f>
        <v/>
      </c>
      <c r="BF29" s="17">
        <f>SUMIF($CB$4:$JS$4,BF$4,$CB29:$JS29)</f>
        <v/>
      </c>
      <c r="BG29" s="17">
        <f>SUMIF($CB$4:$JS$4,BG$4,$CB29:$JS29)</f>
        <v/>
      </c>
      <c r="BH29" s="17">
        <f>SUMIF($CB$4:$JS$4,BH$4,$CB29:$JS29)</f>
        <v/>
      </c>
      <c r="BI29" s="17">
        <f>SUMIF($CB$4:$JS$4,BI$4,$CB29:$JS29)</f>
        <v/>
      </c>
      <c r="BJ29" s="17">
        <f>SUMIF($CB$4:$JS$4,BJ$4,$CB29:$JS29)</f>
        <v/>
      </c>
      <c r="BK29" s="17">
        <f>SUMIF($CB$4:$JS$4,BK$4,$CB29:$JS29)</f>
        <v/>
      </c>
      <c r="BL29" s="17">
        <f>SUMIF($CB$4:$JS$4,BL$4,$CB29:$JS29)</f>
        <v/>
      </c>
      <c r="BM29" s="17">
        <f>SUMIF($CB$4:$JS$4,BM$4,$CB29:$JS29)</f>
        <v/>
      </c>
      <c r="BN29" s="17">
        <f>SUMIF($CB$4:$JS$4,BN$4,$CB29:$JS29)</f>
        <v/>
      </c>
      <c r="BO29" s="17">
        <f>SUMIF($CB$4:$JS$4,BO$4,$CB29:$JS29)</f>
        <v/>
      </c>
      <c r="BP29" s="17">
        <f>SUMIF($CB$4:$JS$4,BP$4,$CB29:$JS29)</f>
        <v/>
      </c>
      <c r="BQ29" s="17">
        <f>SUMIF($CB$4:$JS$4,BQ$4,$CB29:$JS29)</f>
        <v/>
      </c>
      <c r="BR29" s="17">
        <f>SUMIF($CB$4:$JS$4,BR$4,$CB29:$JS29)</f>
        <v/>
      </c>
      <c r="BS29" s="17">
        <f>SUMIF($CB$4:$JS$4,BS$4,$CB29:$JS29)</f>
        <v/>
      </c>
      <c r="BT29" s="17">
        <f>SUMIF($CB$4:$JS$4,BT$4,$CB29:$JS29)</f>
        <v/>
      </c>
      <c r="BU29" s="17">
        <f>SUMIF($CB$4:$JS$4,BU$4,$CB29:$JS29)</f>
        <v/>
      </c>
      <c r="BV29" s="17">
        <f>SUMIF($CB$4:$JS$4,BV$4,$CB29:$JS29)</f>
        <v/>
      </c>
      <c r="BW29" s="17">
        <f>SUMIF($CB$4:$JS$4,BW$4,$CB29:$JS29)</f>
        <v/>
      </c>
      <c r="BX29" s="17">
        <f>SUMIF($CB$4:$JS$4,"&gt;"&amp;'VALOR POR PL'!$P$8,$CB29:$JS29)</f>
        <v/>
      </c>
      <c r="BY29" s="17">
        <f>SUM($CB29:$JS29)</f>
        <v/>
      </c>
      <c r="CB29" s="56">
        <f>IF(OR(CB$4="",$B29=""),0,SUMIF('DADOS BRUTOS'!$A$3:$A$500,$B29,'DADOS BRUTOS'!B$3:B$500)+IF($C29="",0,SUMIF('DADOS BRUTOS'!$A$3:$A$500,$C29,'DADOS BRUTOS'!B$3:B$500)))</f>
        <v/>
      </c>
      <c r="CC29" s="56">
        <f>IF(OR(CC$4="",$B29=""),0,SUMIF('DADOS BRUTOS'!$A$3:$A$500,$B29,'DADOS BRUTOS'!C$3:C$500)+IF($C29="",0,SUMIF('DADOS BRUTOS'!$A$3:$A$500,$C29,'DADOS BRUTOS'!C$3:C$500)))</f>
        <v/>
      </c>
      <c r="CD29" s="56">
        <f>IF(OR(CD$4="",$B29=""),0,SUMIF('DADOS BRUTOS'!$A$3:$A$500,$B29,'DADOS BRUTOS'!D$3:D$500)+IF($C29="",0,SUMIF('DADOS BRUTOS'!$A$3:$A$500,$C29,'DADOS BRUTOS'!D$3:D$500)))</f>
        <v/>
      </c>
      <c r="CE29" s="56">
        <f>IF(OR(CE$4="",$B29=""),0,SUMIF('DADOS BRUTOS'!$A$3:$A$500,$B29,'DADOS BRUTOS'!E$3:E$500)+IF($C29="",0,SUMIF('DADOS BRUTOS'!$A$3:$A$500,$C29,'DADOS BRUTOS'!E$3:E$500)))</f>
        <v/>
      </c>
      <c r="CF29" s="56">
        <f>IF(OR(CF$4="",$B29=""),0,SUMIF('DADOS BRUTOS'!$A$3:$A$500,$B29,'DADOS BRUTOS'!F$3:F$500)+IF($C29="",0,SUMIF('DADOS BRUTOS'!$A$3:$A$500,$C29,'DADOS BRUTOS'!F$3:F$500)))</f>
        <v/>
      </c>
      <c r="CG29" s="56">
        <f>IF(OR(CG$4="",$B29=""),0,SUMIF('DADOS BRUTOS'!$A$3:$A$500,$B29,'DADOS BRUTOS'!G$3:G$500)+IF($C29="",0,SUMIF('DADOS BRUTOS'!$A$3:$A$500,$C29,'DADOS BRUTOS'!G$3:G$500)))</f>
        <v/>
      </c>
      <c r="CH29" s="56">
        <f>IF(OR(CH$4="",$B29=""),0,SUMIF('DADOS BRUTOS'!$A$3:$A$500,$B29,'DADOS BRUTOS'!H$3:H$500)+IF($C29="",0,SUMIF('DADOS BRUTOS'!$A$3:$A$500,$C29,'DADOS BRUTOS'!H$3:H$500)))</f>
        <v/>
      </c>
      <c r="CI29" s="56">
        <f>IF(OR(CI$4="",$B29=""),0,SUMIF('DADOS BRUTOS'!$A$3:$A$500,$B29,'DADOS BRUTOS'!I$3:I$500)+IF($C29="",0,SUMIF('DADOS BRUTOS'!$A$3:$A$500,$C29,'DADOS BRUTOS'!I$3:I$500)))</f>
        <v/>
      </c>
      <c r="CJ29" s="56">
        <f>IF(OR(CJ$4="",$B29=""),0,SUMIF('DADOS BRUTOS'!$A$3:$A$500,$B29,'DADOS BRUTOS'!J$3:J$500)+IF($C29="",0,SUMIF('DADOS BRUTOS'!$A$3:$A$500,$C29,'DADOS BRUTOS'!J$3:J$500)))</f>
        <v/>
      </c>
      <c r="CK29" s="56">
        <f>IF(OR(CK$4="",$B29=""),0,SUMIF('DADOS BRUTOS'!$A$3:$A$500,$B29,'DADOS BRUTOS'!K$3:K$500)+IF($C29="",0,SUMIF('DADOS BRUTOS'!$A$3:$A$500,$C29,'DADOS BRUTOS'!K$3:K$500)))</f>
        <v/>
      </c>
      <c r="CL29" s="56">
        <f>IF(OR(CL$4="",$B29=""),0,SUMIF('DADOS BRUTOS'!$A$3:$A$500,$B29,'DADOS BRUTOS'!L$3:L$500)+IF($C29="",0,SUMIF('DADOS BRUTOS'!$A$3:$A$500,$C29,'DADOS BRUTOS'!L$3:L$500)))</f>
        <v/>
      </c>
      <c r="CM29" s="56">
        <f>IF(OR(CM$4="",$B29=""),0,SUMIF('DADOS BRUTOS'!$A$3:$A$500,$B29,'DADOS BRUTOS'!M$3:M$500)+IF($C29="",0,SUMIF('DADOS BRUTOS'!$A$3:$A$500,$C29,'DADOS BRUTOS'!M$3:M$500)))</f>
        <v/>
      </c>
      <c r="CN29" s="56">
        <f>IF(OR(CN$4="",$B29=""),0,SUMIF('DADOS BRUTOS'!$A$3:$A$500,$B29,'DADOS BRUTOS'!N$3:N$500)+IF($C29="",0,SUMIF('DADOS BRUTOS'!$A$3:$A$500,$C29,'DADOS BRUTOS'!N$3:N$500)))</f>
        <v/>
      </c>
      <c r="CO29" s="56">
        <f>IF(OR(CO$4="",$B29=""),0,SUMIF('DADOS BRUTOS'!$A$3:$A$500,$B29,'DADOS BRUTOS'!O$3:O$500)+IF($C29="",0,SUMIF('DADOS BRUTOS'!$A$3:$A$500,$C29,'DADOS BRUTOS'!O$3:O$500)))</f>
        <v/>
      </c>
      <c r="CP29" s="56">
        <f>IF(OR(CP$4="",$B29=""),0,SUMIF('DADOS BRUTOS'!$A$3:$A$500,$B29,'DADOS BRUTOS'!P$3:P$500)+IF($C29="",0,SUMIF('DADOS BRUTOS'!$A$3:$A$500,$C29,'DADOS BRUTOS'!P$3:P$500)))</f>
        <v/>
      </c>
      <c r="CQ29" s="56">
        <f>IF(OR(CQ$4="",$B29=""),0,SUMIF('DADOS BRUTOS'!$A$3:$A$500,$B29,'DADOS BRUTOS'!Q$3:Q$500)+IF($C29="",0,SUMIF('DADOS BRUTOS'!$A$3:$A$500,$C29,'DADOS BRUTOS'!Q$3:Q$500)))</f>
        <v/>
      </c>
      <c r="CR29" s="56">
        <f>IF(OR(CR$4="",$B29=""),0,SUMIF('DADOS BRUTOS'!$A$3:$A$500,$B29,'DADOS BRUTOS'!R$3:R$500)+IF($C29="",0,SUMIF('DADOS BRUTOS'!$A$3:$A$500,$C29,'DADOS BRUTOS'!R$3:R$500)))</f>
        <v/>
      </c>
      <c r="CS29" s="56">
        <f>IF(OR(CS$4="",$B29=""),0,SUMIF('DADOS BRUTOS'!$A$3:$A$500,$B29,'DADOS BRUTOS'!S$3:S$500)+IF($C29="",0,SUMIF('DADOS BRUTOS'!$A$3:$A$500,$C29,'DADOS BRUTOS'!S$3:S$500)))</f>
        <v/>
      </c>
      <c r="CT29" s="56">
        <f>IF(OR(CT$4="",$B29=""),0,SUMIF('DADOS BRUTOS'!$A$3:$A$500,$B29,'DADOS BRUTOS'!T$3:T$500)+IF($C29="",0,SUMIF('DADOS BRUTOS'!$A$3:$A$500,$C29,'DADOS BRUTOS'!T$3:T$500)))</f>
        <v/>
      </c>
      <c r="CU29" s="56">
        <f>IF(OR(CU$4="",$B29=""),0,SUMIF('DADOS BRUTOS'!$A$3:$A$500,$B29,'DADOS BRUTOS'!U$3:U$500)+IF($C29="",0,SUMIF('DADOS BRUTOS'!$A$3:$A$500,$C29,'DADOS BRUTOS'!U$3:U$500)))</f>
        <v/>
      </c>
      <c r="CV29" s="56">
        <f>IF(OR(CV$4="",$B29=""),0,SUMIF('DADOS BRUTOS'!$A$3:$A$500,$B29,'DADOS BRUTOS'!V$3:V$500)+IF($C29="",0,SUMIF('DADOS BRUTOS'!$A$3:$A$500,$C29,'DADOS BRUTOS'!V$3:V$500)))</f>
        <v/>
      </c>
      <c r="CW29" s="56">
        <f>IF(OR(CW$4="",$B29=""),0,SUMIF('DADOS BRUTOS'!$A$3:$A$500,$B29,'DADOS BRUTOS'!W$3:W$500)+IF($C29="",0,SUMIF('DADOS BRUTOS'!$A$3:$A$500,$C29,'DADOS BRUTOS'!W$3:W$500)))</f>
        <v/>
      </c>
      <c r="CX29" s="56">
        <f>IF(OR(CX$4="",$B29=""),0,SUMIF('DADOS BRUTOS'!$A$3:$A$500,$B29,'DADOS BRUTOS'!X$3:X$500)+IF($C29="",0,SUMIF('DADOS BRUTOS'!$A$3:$A$500,$C29,'DADOS BRUTOS'!X$3:X$500)))</f>
        <v/>
      </c>
      <c r="CY29" s="56">
        <f>IF(OR(CY$4="",$B29=""),0,SUMIF('DADOS BRUTOS'!$A$3:$A$500,$B29,'DADOS BRUTOS'!Y$3:Y$500)+IF($C29="",0,SUMIF('DADOS BRUTOS'!$A$3:$A$500,$C29,'DADOS BRUTOS'!Y$3:Y$500)))</f>
        <v/>
      </c>
      <c r="CZ29" s="56">
        <f>IF(OR(CZ$4="",$B29=""),0,SUMIF('DADOS BRUTOS'!$A$3:$A$500,$B29,'DADOS BRUTOS'!Z$3:Z$500)+IF($C29="",0,SUMIF('DADOS BRUTOS'!$A$3:$A$500,$C29,'DADOS BRUTOS'!Z$3:Z$500)))</f>
        <v/>
      </c>
      <c r="DA29" s="56">
        <f>IF(OR(DA$4="",$B29=""),0,SUMIF('DADOS BRUTOS'!$A$3:$A$500,$B29,'DADOS BRUTOS'!AA$3:AA$500)+IF($C29="",0,SUMIF('DADOS BRUTOS'!$A$3:$A$500,$C29,'DADOS BRUTOS'!AA$3:AA$500)))</f>
        <v/>
      </c>
      <c r="DB29" s="56">
        <f>IF(OR(DB$4="",$B29=""),0,SUMIF('DADOS BRUTOS'!$A$3:$A$500,$B29,'DADOS BRUTOS'!AB$3:AB$500)+IF($C29="",0,SUMIF('DADOS BRUTOS'!$A$3:$A$500,$C29,'DADOS BRUTOS'!AB$3:AB$500)))</f>
        <v/>
      </c>
      <c r="DC29" s="56">
        <f>IF(OR(DC$4="",$B29=""),0,SUMIF('DADOS BRUTOS'!$A$3:$A$500,$B29,'DADOS BRUTOS'!AC$3:AC$500)+IF($C29="",0,SUMIF('DADOS BRUTOS'!$A$3:$A$500,$C29,'DADOS BRUTOS'!AC$3:AC$500)))</f>
        <v/>
      </c>
      <c r="DD29" s="56">
        <f>IF(OR(DD$4="",$B29=""),0,SUMIF('DADOS BRUTOS'!$A$3:$A$500,$B29,'DADOS BRUTOS'!AD$3:AD$500)+IF($C29="",0,SUMIF('DADOS BRUTOS'!$A$3:$A$500,$C29,'DADOS BRUTOS'!AD$3:AD$500)))</f>
        <v/>
      </c>
      <c r="DE29" s="56">
        <f>IF(OR(DE$4="",$B29=""),0,SUMIF('DADOS BRUTOS'!$A$3:$A$500,$B29,'DADOS BRUTOS'!AE$3:AE$500)+IF($C29="",0,SUMIF('DADOS BRUTOS'!$A$3:$A$500,$C29,'DADOS BRUTOS'!AE$3:AE$500)))</f>
        <v/>
      </c>
      <c r="DF29" s="56">
        <f>IF(OR(DF$4="",$B29=""),0,SUMIF('DADOS BRUTOS'!$A$3:$A$500,$B29,'DADOS BRUTOS'!AF$3:AF$500)+IF($C29="",0,SUMIF('DADOS BRUTOS'!$A$3:$A$500,$C29,'DADOS BRUTOS'!AF$3:AF$500)))</f>
        <v/>
      </c>
      <c r="DG29" s="56">
        <f>IF(OR(DG$4="",$B29=""),0,SUMIF('DADOS BRUTOS'!$A$3:$A$500,$B29,'DADOS BRUTOS'!AG$3:AG$500)+IF($C29="",0,SUMIF('DADOS BRUTOS'!$A$3:$A$500,$C29,'DADOS BRUTOS'!AG$3:AG$500)))</f>
        <v/>
      </c>
      <c r="DH29" s="56">
        <f>IF(OR(DH$4="",$B29=""),0,SUMIF('DADOS BRUTOS'!$A$3:$A$500,$B29,'DADOS BRUTOS'!AH$3:AH$500)+IF($C29="",0,SUMIF('DADOS BRUTOS'!$A$3:$A$500,$C29,'DADOS BRUTOS'!AH$3:AH$500)))</f>
        <v/>
      </c>
      <c r="DI29" s="56">
        <f>IF(OR(DI$4="",$B29=""),0,SUMIF('DADOS BRUTOS'!$A$3:$A$500,$B29,'DADOS BRUTOS'!AI$3:AI$500)+IF($C29="",0,SUMIF('DADOS BRUTOS'!$A$3:$A$500,$C29,'DADOS BRUTOS'!AI$3:AI$500)))</f>
        <v/>
      </c>
      <c r="DJ29" s="56">
        <f>IF(OR(DJ$4="",$B29=""),0,SUMIF('DADOS BRUTOS'!$A$3:$A$500,$B29,'DADOS BRUTOS'!AJ$3:AJ$500)+IF($C29="",0,SUMIF('DADOS BRUTOS'!$A$3:$A$500,$C29,'DADOS BRUTOS'!AJ$3:AJ$500)))</f>
        <v/>
      </c>
      <c r="DK29" s="56">
        <f>IF(OR(DK$4="",$B29=""),0,SUMIF('DADOS BRUTOS'!$A$3:$A$500,$B29,'DADOS BRUTOS'!AK$3:AK$500)+IF($C29="",0,SUMIF('DADOS BRUTOS'!$A$3:$A$500,$C29,'DADOS BRUTOS'!AK$3:AK$500)))</f>
        <v/>
      </c>
      <c r="DL29" s="56">
        <f>IF(OR(DL$4="",$B29=""),0,SUMIF('DADOS BRUTOS'!$A$3:$A$500,$B29,'DADOS BRUTOS'!AL$3:AL$500)+IF($C29="",0,SUMIF('DADOS BRUTOS'!$A$3:$A$500,$C29,'DADOS BRUTOS'!AL$3:AL$500)))</f>
        <v/>
      </c>
      <c r="DM29" s="56">
        <f>IF(OR(DM$4="",$B29=""),0,SUMIF('DADOS BRUTOS'!$A$3:$A$500,$B29,'DADOS BRUTOS'!AM$3:AM$500)+IF($C29="",0,SUMIF('DADOS BRUTOS'!$A$3:$A$500,$C29,'DADOS BRUTOS'!AM$3:AM$500)))</f>
        <v/>
      </c>
      <c r="DN29" s="56">
        <f>IF(OR(DN$4="",$B29=""),0,SUMIF('DADOS BRUTOS'!$A$3:$A$500,$B29,'DADOS BRUTOS'!AN$3:AN$500)+IF($C29="",0,SUMIF('DADOS BRUTOS'!$A$3:$A$500,$C29,'DADOS BRUTOS'!AN$3:AN$500)))</f>
        <v/>
      </c>
      <c r="DO29" s="56">
        <f>IF(OR(DO$4="",$B29=""),0,SUMIF('DADOS BRUTOS'!$A$3:$A$500,$B29,'DADOS BRUTOS'!AO$3:AO$500)+IF($C29="",0,SUMIF('DADOS BRUTOS'!$A$3:$A$500,$C29,'DADOS BRUTOS'!AO$3:AO$500)))</f>
        <v/>
      </c>
      <c r="DP29" s="56">
        <f>IF(OR(DP$4="",$B29=""),0,SUMIF('DADOS BRUTOS'!$A$3:$A$500,$B29,'DADOS BRUTOS'!AP$3:AP$500)+IF($C29="",0,SUMIF('DADOS BRUTOS'!$A$3:$A$500,$C29,'DADOS BRUTOS'!AP$3:AP$500)))</f>
        <v/>
      </c>
      <c r="DQ29" s="56">
        <f>IF(OR(DQ$4="",$B29=""),0,SUMIF('DADOS BRUTOS'!$A$3:$A$500,$B29,'DADOS BRUTOS'!AQ$3:AQ$500)+IF($C29="",0,SUMIF('DADOS BRUTOS'!$A$3:$A$500,$C29,'DADOS BRUTOS'!AQ$3:AQ$500)))</f>
        <v/>
      </c>
      <c r="DR29" s="56">
        <f>IF(OR(DR$4="",$B29=""),0,SUMIF('DADOS BRUTOS'!$A$3:$A$500,$B29,'DADOS BRUTOS'!AR$3:AR$500)+IF($C29="",0,SUMIF('DADOS BRUTOS'!$A$3:$A$500,$C29,'DADOS BRUTOS'!AR$3:AR$500)))</f>
        <v/>
      </c>
      <c r="DS29" s="56">
        <f>IF(OR(DS$4="",$B29=""),0,SUMIF('DADOS BRUTOS'!$A$3:$A$500,$B29,'DADOS BRUTOS'!AS$3:AS$500)+IF($C29="",0,SUMIF('DADOS BRUTOS'!$A$3:$A$500,$C29,'DADOS BRUTOS'!AS$3:AS$500)))</f>
        <v/>
      </c>
      <c r="DT29" s="56">
        <f>IF(OR(DT$4="",$B29=""),0,SUMIF('DADOS BRUTOS'!$A$3:$A$500,$B29,'DADOS BRUTOS'!AT$3:AT$500)+IF($C29="",0,SUMIF('DADOS BRUTOS'!$A$3:$A$500,$C29,'DADOS BRUTOS'!AT$3:AT$500)))</f>
        <v/>
      </c>
      <c r="DU29" s="56">
        <f>IF(OR(DU$4="",$B29=""),0,SUMIF('DADOS BRUTOS'!$A$3:$A$500,$B29,'DADOS BRUTOS'!AU$3:AU$500)+IF($C29="",0,SUMIF('DADOS BRUTOS'!$A$3:$A$500,$C29,'DADOS BRUTOS'!AU$3:AU$500)))</f>
        <v/>
      </c>
      <c r="DV29" s="56">
        <f>IF(OR(DV$4="",$B29=""),0,SUMIF('DADOS BRUTOS'!$A$3:$A$500,$B29,'DADOS BRUTOS'!AV$3:AV$500)+IF($C29="",0,SUMIF('DADOS BRUTOS'!$A$3:$A$500,$C29,'DADOS BRUTOS'!AV$3:AV$500)))</f>
        <v/>
      </c>
      <c r="DW29" s="56">
        <f>IF(OR(DW$4="",$B29=""),0,SUMIF('DADOS BRUTOS'!$A$3:$A$500,$B29,'DADOS BRUTOS'!AW$3:AW$500)+IF($C29="",0,SUMIF('DADOS BRUTOS'!$A$3:$A$500,$C29,'DADOS BRUTOS'!AW$3:AW$500)))</f>
        <v/>
      </c>
      <c r="DX29" s="56">
        <f>IF(OR(DX$4="",$B29=""),0,SUMIF('DADOS BRUTOS'!$A$3:$A$500,$B29,'DADOS BRUTOS'!AX$3:AX$500)+IF($C29="",0,SUMIF('DADOS BRUTOS'!$A$3:$A$500,$C29,'DADOS BRUTOS'!AX$3:AX$500)))</f>
        <v/>
      </c>
      <c r="DY29" s="56">
        <f>IF(OR(DY$4="",$B29=""),0,SUMIF('DADOS BRUTOS'!$A$3:$A$500,$B29,'DADOS BRUTOS'!AY$3:AY$500)+IF($C29="",0,SUMIF('DADOS BRUTOS'!$A$3:$A$500,$C29,'DADOS BRUTOS'!AY$3:AY$500)))</f>
        <v/>
      </c>
      <c r="DZ29" s="56">
        <f>IF(OR(DZ$4="",$B29=""),0,SUMIF('DADOS BRUTOS'!$A$3:$A$500,$B29,'DADOS BRUTOS'!AZ$3:AZ$500)+IF($C29="",0,SUMIF('DADOS BRUTOS'!$A$3:$A$500,$C29,'DADOS BRUTOS'!AZ$3:AZ$500)))</f>
        <v/>
      </c>
      <c r="EA29" s="56">
        <f>IF(OR(EA$4="",$B29=""),0,SUMIF('DADOS BRUTOS'!$A$3:$A$500,$B29,'DADOS BRUTOS'!BA$3:BA$500)+IF($C29="",0,SUMIF('DADOS BRUTOS'!$A$3:$A$500,$C29,'DADOS BRUTOS'!BA$3:BA$500)))</f>
        <v/>
      </c>
      <c r="EB29" s="56">
        <f>IF(OR(EB$4="",$B29=""),0,SUMIF('DADOS BRUTOS'!$A$3:$A$500,$B29,'DADOS BRUTOS'!BB$3:BB$500)+IF($C29="",0,SUMIF('DADOS BRUTOS'!$A$3:$A$500,$C29,'DADOS BRUTOS'!BB$3:BB$500)))</f>
        <v/>
      </c>
      <c r="EC29" s="56">
        <f>IF(OR(EC$4="",$B29=""),0,SUMIF('DADOS BRUTOS'!$A$3:$A$500,$B29,'DADOS BRUTOS'!BC$3:BC$500)+IF($C29="",0,SUMIF('DADOS BRUTOS'!$A$3:$A$500,$C29,'DADOS BRUTOS'!BC$3:BC$500)))</f>
        <v/>
      </c>
      <c r="ED29" s="56">
        <f>IF(OR(ED$4="",$B29=""),0,SUMIF('DADOS BRUTOS'!$A$3:$A$500,$B29,'DADOS BRUTOS'!BD$3:BD$500)+IF($C29="",0,SUMIF('DADOS BRUTOS'!$A$3:$A$500,$C29,'DADOS BRUTOS'!BD$3:BD$500)))</f>
        <v/>
      </c>
      <c r="EE29" s="56">
        <f>IF(OR(EE$4="",$B29=""),0,SUMIF('DADOS BRUTOS'!$A$3:$A$500,$B29,'DADOS BRUTOS'!BE$3:BE$500)+IF($C29="",0,SUMIF('DADOS BRUTOS'!$A$3:$A$500,$C29,'DADOS BRUTOS'!BE$3:BE$500)))</f>
        <v/>
      </c>
      <c r="EF29" s="56">
        <f>IF(OR(EF$4="",$B29=""),0,SUMIF('DADOS BRUTOS'!$A$3:$A$500,$B29,'DADOS BRUTOS'!BF$3:BF$500)+IF($C29="",0,SUMIF('DADOS BRUTOS'!$A$3:$A$500,$C29,'DADOS BRUTOS'!BF$3:BF$500)))</f>
        <v/>
      </c>
      <c r="EG29" s="56">
        <f>IF(OR(EG$4="",$B29=""),0,SUMIF('DADOS BRUTOS'!$A$3:$A$500,$B29,'DADOS BRUTOS'!BG$3:BG$500)+IF($C29="",0,SUMIF('DADOS BRUTOS'!$A$3:$A$500,$C29,'DADOS BRUTOS'!BG$3:BG$500)))</f>
        <v/>
      </c>
      <c r="EH29" s="56">
        <f>IF(OR(EH$4="",$B29=""),0,SUMIF('DADOS BRUTOS'!$A$3:$A$500,$B29,'DADOS BRUTOS'!BH$3:BH$500)+IF($C29="",0,SUMIF('DADOS BRUTOS'!$A$3:$A$500,$C29,'DADOS BRUTOS'!BH$3:BH$500)))</f>
        <v/>
      </c>
      <c r="EI29" s="56">
        <f>IF(OR(EI$4="",$B29=""),0,SUMIF('DADOS BRUTOS'!$A$3:$A$500,$B29,'DADOS BRUTOS'!BI$3:BI$500)+IF($C29="",0,SUMIF('DADOS BRUTOS'!$A$3:$A$500,$C29,'DADOS BRUTOS'!BI$3:BI$500)))</f>
        <v/>
      </c>
      <c r="EJ29" s="56">
        <f>IF(OR(EJ$4="",$B29=""),0,SUMIF('DADOS BRUTOS'!$A$3:$A$500,$B29,'DADOS BRUTOS'!BJ$3:BJ$500)+IF($C29="",0,SUMIF('DADOS BRUTOS'!$A$3:$A$500,$C29,'DADOS BRUTOS'!BJ$3:BJ$500)))</f>
        <v/>
      </c>
      <c r="EK29" s="56">
        <f>IF(OR(EK$4="",$B29=""),0,SUMIF('DADOS BRUTOS'!$A$3:$A$500,$B29,'DADOS BRUTOS'!BK$3:BK$500)+IF($C29="",0,SUMIF('DADOS BRUTOS'!$A$3:$A$500,$C29,'DADOS BRUTOS'!BK$3:BK$500)))</f>
        <v/>
      </c>
      <c r="EL29" s="56">
        <f>IF(OR(EL$4="",$B29=""),0,SUMIF('DADOS BRUTOS'!$A$3:$A$500,$B29,'DADOS BRUTOS'!BL$3:BL$500)+IF($C29="",0,SUMIF('DADOS BRUTOS'!$A$3:$A$500,$C29,'DADOS BRUTOS'!BL$3:BL$500)))</f>
        <v/>
      </c>
      <c r="EM29" s="56">
        <f>IF(OR(EM$4="",$B29=""),0,SUMIF('DADOS BRUTOS'!$A$3:$A$500,$B29,'DADOS BRUTOS'!BM$3:BM$500)+IF($C29="",0,SUMIF('DADOS BRUTOS'!$A$3:$A$500,$C29,'DADOS BRUTOS'!BM$3:BM$500)))</f>
        <v/>
      </c>
      <c r="EN29" s="56">
        <f>IF(OR(EN$4="",$B29=""),0,SUMIF('DADOS BRUTOS'!$A$3:$A$500,$B29,'DADOS BRUTOS'!BN$3:BN$500)+IF($C29="",0,SUMIF('DADOS BRUTOS'!$A$3:$A$500,$C29,'DADOS BRUTOS'!BN$3:BN$500)))</f>
        <v/>
      </c>
      <c r="EO29" s="56">
        <f>IF(OR(EO$4="",$B29=""),0,SUMIF('DADOS BRUTOS'!$A$3:$A$500,$B29,'DADOS BRUTOS'!BO$3:BO$500)+IF($C29="",0,SUMIF('DADOS BRUTOS'!$A$3:$A$500,$C29,'DADOS BRUTOS'!BO$3:BO$500)))</f>
        <v/>
      </c>
      <c r="EP29" s="56">
        <f>IF(OR(EP$4="",$B29=""),0,SUMIF('DADOS BRUTOS'!$A$3:$A$500,$B29,'DADOS BRUTOS'!BP$3:BP$500)+IF($C29="",0,SUMIF('DADOS BRUTOS'!$A$3:$A$500,$C29,'DADOS BRUTOS'!BP$3:BP$500)))</f>
        <v/>
      </c>
      <c r="EQ29" s="56">
        <f>IF(OR(EQ$4="",$B29=""),0,SUMIF('DADOS BRUTOS'!$A$3:$A$500,$B29,'DADOS BRUTOS'!BQ$3:BQ$500)+IF($C29="",0,SUMIF('DADOS BRUTOS'!$A$3:$A$500,$C29,'DADOS BRUTOS'!BQ$3:BQ$500)))</f>
        <v/>
      </c>
      <c r="ER29" s="56">
        <f>IF(OR(ER$4="",$B29=""),0,SUMIF('DADOS BRUTOS'!$A$3:$A$500,$B29,'DADOS BRUTOS'!BR$3:BR$500)+IF($C29="",0,SUMIF('DADOS BRUTOS'!$A$3:$A$500,$C29,'DADOS BRUTOS'!BR$3:BR$500)))</f>
        <v/>
      </c>
      <c r="ES29" s="56">
        <f>IF(OR(ES$4="",$B29=""),0,SUMIF('DADOS BRUTOS'!$A$3:$A$500,$B29,'DADOS BRUTOS'!BS$3:BS$500)+IF($C29="",0,SUMIF('DADOS BRUTOS'!$A$3:$A$500,$C29,'DADOS BRUTOS'!BS$3:BS$500)))</f>
        <v/>
      </c>
      <c r="ET29" s="56">
        <f>IF(OR(ET$4="",$B29=""),0,SUMIF('DADOS BRUTOS'!$A$3:$A$500,$B29,'DADOS BRUTOS'!BT$3:BT$500)+IF($C29="",0,SUMIF('DADOS BRUTOS'!$A$3:$A$500,$C29,'DADOS BRUTOS'!BT$3:BT$500)))</f>
        <v/>
      </c>
      <c r="EU29" s="56">
        <f>IF(OR(EU$4="",$B29=""),0,SUMIF('DADOS BRUTOS'!$A$3:$A$500,$B29,'DADOS BRUTOS'!BU$3:BU$500)+IF($C29="",0,SUMIF('DADOS BRUTOS'!$A$3:$A$500,$C29,'DADOS BRUTOS'!BU$3:BU$500)))</f>
        <v/>
      </c>
      <c r="EV29" s="56">
        <f>IF(OR(EV$4="",$B29=""),0,SUMIF('DADOS BRUTOS'!$A$3:$A$500,$B29,'DADOS BRUTOS'!BV$3:BV$500)+IF($C29="",0,SUMIF('DADOS BRUTOS'!$A$3:$A$500,$C29,'DADOS BRUTOS'!BV$3:BV$500)))</f>
        <v/>
      </c>
      <c r="EW29" s="56">
        <f>IF(OR(EW$4="",$B29=""),0,SUMIF('DADOS BRUTOS'!$A$3:$A$500,$B29,'DADOS BRUTOS'!BW$3:BW$500)+IF($C29="",0,SUMIF('DADOS BRUTOS'!$A$3:$A$500,$C29,'DADOS BRUTOS'!BW$3:BW$500)))</f>
        <v/>
      </c>
      <c r="EX29" s="56">
        <f>IF(OR(EX$4="",$B29=""),0,SUMIF('DADOS BRUTOS'!$A$3:$A$500,$B29,'DADOS BRUTOS'!BX$3:BX$500)+IF($C29="",0,SUMIF('DADOS BRUTOS'!$A$3:$A$500,$C29,'DADOS BRUTOS'!BX$3:BX$500)))</f>
        <v/>
      </c>
      <c r="EY29" s="56">
        <f>IF(OR(EY$4="",$B29=""),0,SUMIF('DADOS BRUTOS'!$A$3:$A$500,$B29,'DADOS BRUTOS'!BY$3:BY$500)+IF($C29="",0,SUMIF('DADOS BRUTOS'!$A$3:$A$500,$C29,'DADOS BRUTOS'!BY$3:BY$500)))</f>
        <v/>
      </c>
      <c r="EZ29" s="56">
        <f>IF(OR(EZ$4="",$B29=""),0,SUMIF('DADOS BRUTOS'!$A$3:$A$500,$B29,'DADOS BRUTOS'!BZ$3:BZ$500)+IF($C29="",0,SUMIF('DADOS BRUTOS'!$A$3:$A$500,$C29,'DADOS BRUTOS'!BZ$3:BZ$500)))</f>
        <v/>
      </c>
      <c r="FA29" s="56">
        <f>IF(OR(FA$4="",$B29=""),0,SUMIF('DADOS BRUTOS'!$A$3:$A$500,$B29,'DADOS BRUTOS'!CA$3:CA$500)+IF($C29="",0,SUMIF('DADOS BRUTOS'!$A$3:$A$500,$C29,'DADOS BRUTOS'!CA$3:CA$500)))</f>
        <v/>
      </c>
      <c r="FB29" s="56">
        <f>IF(OR(FB$4="",$B29=""),0,SUMIF('DADOS BRUTOS'!$A$3:$A$500,$B29,'DADOS BRUTOS'!CB$3:CB$500)+IF($C29="",0,SUMIF('DADOS BRUTOS'!$A$3:$A$500,$C29,'DADOS BRUTOS'!CB$3:CB$500)))</f>
        <v/>
      </c>
      <c r="FC29" s="56">
        <f>IF(OR(FC$4="",$B29=""),0,SUMIF('DADOS BRUTOS'!$A$3:$A$500,$B29,'DADOS BRUTOS'!CC$3:CC$500)+IF($C29="",0,SUMIF('DADOS BRUTOS'!$A$3:$A$500,$C29,'DADOS BRUTOS'!CC$3:CC$500)))</f>
        <v/>
      </c>
      <c r="FD29" s="56">
        <f>IF(OR(FD$4="",$B29=""),0,SUMIF('DADOS BRUTOS'!$A$3:$A$500,$B29,'DADOS BRUTOS'!CD$3:CD$500)+IF($C29="",0,SUMIF('DADOS BRUTOS'!$A$3:$A$500,$C29,'DADOS BRUTOS'!CD$3:CD$500)))</f>
        <v/>
      </c>
      <c r="FE29" s="56">
        <f>IF(OR(FE$4="",$B29=""),0,SUMIF('DADOS BRUTOS'!$A$3:$A$500,$B29,'DADOS BRUTOS'!CE$3:CE$500)+IF($C29="",0,SUMIF('DADOS BRUTOS'!$A$3:$A$500,$C29,'DADOS BRUTOS'!CE$3:CE$500)))</f>
        <v/>
      </c>
      <c r="FF29" s="56">
        <f>IF(OR(FF$4="",$B29=""),0,SUMIF('DADOS BRUTOS'!$A$3:$A$500,$B29,'DADOS BRUTOS'!CF$3:CF$500)+IF($C29="",0,SUMIF('DADOS BRUTOS'!$A$3:$A$500,$C29,'DADOS BRUTOS'!CF$3:CF$500)))</f>
        <v/>
      </c>
      <c r="FG29" s="56">
        <f>IF(OR(FG$4="",$B29=""),0,SUMIF('DADOS BRUTOS'!$A$3:$A$500,$B29,'DADOS BRUTOS'!CG$3:CG$500)+IF($C29="",0,SUMIF('DADOS BRUTOS'!$A$3:$A$500,$C29,'DADOS BRUTOS'!CG$3:CG$500)))</f>
        <v/>
      </c>
      <c r="FH29" s="56">
        <f>IF(OR(FH$4="",$B29=""),0,SUMIF('DADOS BRUTOS'!$A$3:$A$500,$B29,'DADOS BRUTOS'!CH$3:CH$500)+IF($C29="",0,SUMIF('DADOS BRUTOS'!$A$3:$A$500,$C29,'DADOS BRUTOS'!CH$3:CH$500)))</f>
        <v/>
      </c>
      <c r="FI29" s="56">
        <f>IF(OR(FI$4="",$B29=""),0,SUMIF('DADOS BRUTOS'!$A$3:$A$500,$B29,'DADOS BRUTOS'!CI$3:CI$500)+IF($C29="",0,SUMIF('DADOS BRUTOS'!$A$3:$A$500,$C29,'DADOS BRUTOS'!CI$3:CI$500)))</f>
        <v/>
      </c>
      <c r="FJ29" s="56">
        <f>IF(OR(FJ$4="",$B29=""),0,SUMIF('DADOS BRUTOS'!$A$3:$A$500,$B29,'DADOS BRUTOS'!CJ$3:CJ$500)+IF($C29="",0,SUMIF('DADOS BRUTOS'!$A$3:$A$500,$C29,'DADOS BRUTOS'!CJ$3:CJ$500)))</f>
        <v/>
      </c>
      <c r="FK29" s="56">
        <f>IF(OR(FK$4="",$B29=""),0,SUMIF('DADOS BRUTOS'!$A$3:$A$500,$B29,'DADOS BRUTOS'!CK$3:CK$500)+IF($C29="",0,SUMIF('DADOS BRUTOS'!$A$3:$A$500,$C29,'DADOS BRUTOS'!CK$3:CK$500)))</f>
        <v/>
      </c>
      <c r="FL29" s="56">
        <f>IF(OR(FL$4="",$B29=""),0,SUMIF('DADOS BRUTOS'!$A$3:$A$500,$B29,'DADOS BRUTOS'!CL$3:CL$500)+IF($C29="",0,SUMIF('DADOS BRUTOS'!$A$3:$A$500,$C29,'DADOS BRUTOS'!CL$3:CL$500)))</f>
        <v/>
      </c>
      <c r="FM29" s="56">
        <f>IF(OR(FM$4="",$B29=""),0,SUMIF('DADOS BRUTOS'!$A$3:$A$500,$B29,'DADOS BRUTOS'!CM$3:CM$500)+IF($C29="",0,SUMIF('DADOS BRUTOS'!$A$3:$A$500,$C29,'DADOS BRUTOS'!CM$3:CM$500)))</f>
        <v/>
      </c>
      <c r="FN29" s="56">
        <f>IF(OR(FN$4="",$B29=""),0,SUMIF('DADOS BRUTOS'!$A$3:$A$500,$B29,'DADOS BRUTOS'!CN$3:CN$500)+IF($C29="",0,SUMIF('DADOS BRUTOS'!$A$3:$A$500,$C29,'DADOS BRUTOS'!CN$3:CN$500)))</f>
        <v/>
      </c>
      <c r="FO29" s="56">
        <f>IF(OR(FO$4="",$B29=""),0,SUMIF('DADOS BRUTOS'!$A$3:$A$500,$B29,'DADOS BRUTOS'!CO$3:CO$500)+IF($C29="",0,SUMIF('DADOS BRUTOS'!$A$3:$A$500,$C29,'DADOS BRUTOS'!CO$3:CO$500)))</f>
        <v/>
      </c>
      <c r="FP29" s="56">
        <f>IF(OR(FP$4="",$B29=""),0,SUMIF('DADOS BRUTOS'!$A$3:$A$500,$B29,'DADOS BRUTOS'!CP$3:CP$500)+IF($C29="",0,SUMIF('DADOS BRUTOS'!$A$3:$A$500,$C29,'DADOS BRUTOS'!CP$3:CP$500)))</f>
        <v/>
      </c>
      <c r="FQ29" s="56">
        <f>IF(OR(FQ$4="",$B29=""),0,SUMIF('DADOS BRUTOS'!$A$3:$A$500,$B29,'DADOS BRUTOS'!CQ$3:CQ$500)+IF($C29="",0,SUMIF('DADOS BRUTOS'!$A$3:$A$500,$C29,'DADOS BRUTOS'!CQ$3:CQ$500)))</f>
        <v/>
      </c>
      <c r="FR29" s="56">
        <f>IF(OR(FR$4="",$B29=""),0,SUMIF('DADOS BRUTOS'!$A$3:$A$500,$B29,'DADOS BRUTOS'!CR$3:CR$500)+IF($C29="",0,SUMIF('DADOS BRUTOS'!$A$3:$A$500,$C29,'DADOS BRUTOS'!CR$3:CR$500)))</f>
        <v/>
      </c>
      <c r="FS29" s="56">
        <f>IF(OR(FS$4="",$B29=""),0,SUMIF('DADOS BRUTOS'!$A$3:$A$500,$B29,'DADOS BRUTOS'!CS$3:CS$500)+IF($C29="",0,SUMIF('DADOS BRUTOS'!$A$3:$A$500,$C29,'DADOS BRUTOS'!CS$3:CS$500)))</f>
        <v/>
      </c>
      <c r="FT29" s="56">
        <f>IF(OR(FT$4="",$B29=""),0,SUMIF('DADOS BRUTOS'!$A$3:$A$500,$B29,'DADOS BRUTOS'!CT$3:CT$500)+IF($C29="",0,SUMIF('DADOS BRUTOS'!$A$3:$A$500,$C29,'DADOS BRUTOS'!CT$3:CT$500)))</f>
        <v/>
      </c>
      <c r="FU29" s="56">
        <f>IF(OR(FU$4="",$B29=""),0,SUMIF('DADOS BRUTOS'!$A$3:$A$500,$B29,'DADOS BRUTOS'!CU$3:CU$500)+IF($C29="",0,SUMIF('DADOS BRUTOS'!$A$3:$A$500,$C29,'DADOS BRUTOS'!CU$3:CU$500)))</f>
        <v/>
      </c>
      <c r="FV29" s="56">
        <f>IF(OR(FV$4="",$B29=""),0,SUMIF('DADOS BRUTOS'!$A$3:$A$500,$B29,'DADOS BRUTOS'!CV$3:CV$500)+IF($C29="",0,SUMIF('DADOS BRUTOS'!$A$3:$A$500,$C29,'DADOS BRUTOS'!CV$3:CV$500)))</f>
        <v/>
      </c>
      <c r="FW29" s="56">
        <f>IF(OR(FW$4="",$B29=""),0,SUMIF('DADOS BRUTOS'!$A$3:$A$500,$B29,'DADOS BRUTOS'!CW$3:CW$500)+IF($C29="",0,SUMIF('DADOS BRUTOS'!$A$3:$A$500,$C29,'DADOS BRUTOS'!CW$3:CW$500)))</f>
        <v/>
      </c>
      <c r="FX29" s="56">
        <f>IF(OR(FX$4="",$B29=""),0,SUMIF('DADOS BRUTOS'!$A$3:$A$500,$B29,'DADOS BRUTOS'!CX$3:CX$500)+IF($C29="",0,SUMIF('DADOS BRUTOS'!$A$3:$A$500,$C29,'DADOS BRUTOS'!CX$3:CX$500)))</f>
        <v/>
      </c>
      <c r="FY29" s="56">
        <f>IF(OR(FY$4="",$B29=""),0,SUMIF('DADOS BRUTOS'!$A$3:$A$500,$B29,'DADOS BRUTOS'!CY$3:CY$500)+IF($C29="",0,SUMIF('DADOS BRUTOS'!$A$3:$A$500,$C29,'DADOS BRUTOS'!CY$3:CY$500)))</f>
        <v/>
      </c>
      <c r="FZ29" s="56">
        <f>IF(OR(FZ$4="",$B29=""),0,SUMIF('DADOS BRUTOS'!$A$3:$A$500,$B29,'DADOS BRUTOS'!CZ$3:CZ$500)+IF($C29="",0,SUMIF('DADOS BRUTOS'!$A$3:$A$500,$C29,'DADOS BRUTOS'!CZ$3:CZ$500)))</f>
        <v/>
      </c>
      <c r="GA29" s="56">
        <f>IF(OR(GA$4="",$B29=""),0,SUMIF('DADOS BRUTOS'!$A$3:$A$500,$B29,'DADOS BRUTOS'!DA$3:DA$500)+IF($C29="",0,SUMIF('DADOS BRUTOS'!$A$3:$A$500,$C29,'DADOS BRUTOS'!DA$3:DA$500)))</f>
        <v/>
      </c>
      <c r="GB29" s="56">
        <f>IF(OR(GB$4="",$B29=""),0,SUMIF('DADOS BRUTOS'!$A$3:$A$500,$B29,'DADOS BRUTOS'!DB$3:DB$500)+IF($C29="",0,SUMIF('DADOS BRUTOS'!$A$3:$A$500,$C29,'DADOS BRUTOS'!DB$3:DB$500)))</f>
        <v/>
      </c>
      <c r="GC29" s="56">
        <f>IF(OR(GC$4="",$B29=""),0,SUMIF('DADOS BRUTOS'!$A$3:$A$500,$B29,'DADOS BRUTOS'!DC$3:DC$500)+IF($C29="",0,SUMIF('DADOS BRUTOS'!$A$3:$A$500,$C29,'DADOS BRUTOS'!DC$3:DC$500)))</f>
        <v/>
      </c>
      <c r="GD29" s="56">
        <f>IF(OR(GD$4="",$B29=""),0,SUMIF('DADOS BRUTOS'!$A$3:$A$500,$B29,'DADOS BRUTOS'!DD$3:DD$500)+IF($C29="",0,SUMIF('DADOS BRUTOS'!$A$3:$A$500,$C29,'DADOS BRUTOS'!DD$3:DD$500)))</f>
        <v/>
      </c>
      <c r="GE29" s="56">
        <f>IF(OR(GE$4="",$B29=""),0,SUMIF('DADOS BRUTOS'!$A$3:$A$500,$B29,'DADOS BRUTOS'!DE$3:DE$500)+IF($C29="",0,SUMIF('DADOS BRUTOS'!$A$3:$A$500,$C29,'DADOS BRUTOS'!DE$3:DE$500)))</f>
        <v/>
      </c>
      <c r="GF29" s="56">
        <f>IF(OR(GF$4="",$B29=""),0,SUMIF('DADOS BRUTOS'!$A$3:$A$500,$B29,'DADOS BRUTOS'!DF$3:DF$500)+IF($C29="",0,SUMIF('DADOS BRUTOS'!$A$3:$A$500,$C29,'DADOS BRUTOS'!DF$3:DF$500)))</f>
        <v/>
      </c>
      <c r="GG29" s="56">
        <f>IF(OR(GG$4="",$B29=""),0,SUMIF('DADOS BRUTOS'!$A$3:$A$500,$B29,'DADOS BRUTOS'!DG$3:DG$500)+IF($C29="",0,SUMIF('DADOS BRUTOS'!$A$3:$A$500,$C29,'DADOS BRUTOS'!DG$3:DG$500)))</f>
        <v/>
      </c>
      <c r="GH29" s="56">
        <f>IF(OR(GH$4="",$B29=""),0,SUMIF('DADOS BRUTOS'!$A$3:$A$500,$B29,'DADOS BRUTOS'!DH$3:DH$500)+IF($C29="",0,SUMIF('DADOS BRUTOS'!$A$3:$A$500,$C29,'DADOS BRUTOS'!DH$3:DH$500)))</f>
        <v/>
      </c>
      <c r="GI29" s="56">
        <f>IF(OR(GI$4="",$B29=""),0,SUMIF('DADOS BRUTOS'!$A$3:$A$500,$B29,'DADOS BRUTOS'!DI$3:DI$500)+IF($C29="",0,SUMIF('DADOS BRUTOS'!$A$3:$A$500,$C29,'DADOS BRUTOS'!DI$3:DI$500)))</f>
        <v/>
      </c>
      <c r="GJ29" s="56">
        <f>IF(OR(GJ$4="",$B29=""),0,SUMIF('DADOS BRUTOS'!$A$3:$A$500,$B29,'DADOS BRUTOS'!DJ$3:DJ$500)+IF($C29="",0,SUMIF('DADOS BRUTOS'!$A$3:$A$500,$C29,'DADOS BRUTOS'!DJ$3:DJ$500)))</f>
        <v/>
      </c>
      <c r="GK29" s="56">
        <f>IF(OR(GK$4="",$B29=""),0,SUMIF('DADOS BRUTOS'!$A$3:$A$500,$B29,'DADOS BRUTOS'!DK$3:DK$500)+IF($C29="",0,SUMIF('DADOS BRUTOS'!$A$3:$A$500,$C29,'DADOS BRUTOS'!DK$3:DK$500)))</f>
        <v/>
      </c>
      <c r="GL29" s="56">
        <f>IF(OR(GL$4="",$B29=""),0,SUMIF('DADOS BRUTOS'!$A$3:$A$500,$B29,'DADOS BRUTOS'!DL$3:DL$500)+IF($C29="",0,SUMIF('DADOS BRUTOS'!$A$3:$A$500,$C29,'DADOS BRUTOS'!DL$3:DL$500)))</f>
        <v/>
      </c>
      <c r="GM29" s="56">
        <f>IF(OR(GM$4="",$B29=""),0,SUMIF('DADOS BRUTOS'!$A$3:$A$500,$B29,'DADOS BRUTOS'!DM$3:DM$500)+IF($C29="",0,SUMIF('DADOS BRUTOS'!$A$3:$A$500,$C29,'DADOS BRUTOS'!DM$3:DM$500)))</f>
        <v/>
      </c>
      <c r="GN29" s="56">
        <f>IF(OR(GN$4="",$B29=""),0,SUMIF('DADOS BRUTOS'!$A$3:$A$500,$B29,'DADOS BRUTOS'!DN$3:DN$500)+IF($C29="",0,SUMIF('DADOS BRUTOS'!$A$3:$A$500,$C29,'DADOS BRUTOS'!DN$3:DN$500)))</f>
        <v/>
      </c>
      <c r="GO29" s="56">
        <f>IF(OR(GO$4="",$B29=""),0,SUMIF('DADOS BRUTOS'!$A$3:$A$500,$B29,'DADOS BRUTOS'!DO$3:DO$500)+IF($C29="",0,SUMIF('DADOS BRUTOS'!$A$3:$A$500,$C29,'DADOS BRUTOS'!DO$3:DO$500)))</f>
        <v/>
      </c>
      <c r="GP29" s="56">
        <f>IF(OR(GP$4="",$B29=""),0,SUMIF('DADOS BRUTOS'!$A$3:$A$500,$B29,'DADOS BRUTOS'!DP$3:DP$500)+IF($C29="",0,SUMIF('DADOS BRUTOS'!$A$3:$A$500,$C29,'DADOS BRUTOS'!DP$3:DP$500)))</f>
        <v/>
      </c>
      <c r="GQ29" s="56">
        <f>IF(OR(GQ$4="",$B29=""),0,SUMIF('DADOS BRUTOS'!$A$3:$A$500,$B29,'DADOS BRUTOS'!DQ$3:DQ$500)+IF($C29="",0,SUMIF('DADOS BRUTOS'!$A$3:$A$500,$C29,'DADOS BRUTOS'!DQ$3:DQ$500)))</f>
        <v/>
      </c>
      <c r="GR29" s="56">
        <f>IF(OR(GR$4="",$B29=""),0,SUMIF('DADOS BRUTOS'!$A$3:$A$500,$B29,'DADOS BRUTOS'!DR$3:DR$500)+IF($C29="",0,SUMIF('DADOS BRUTOS'!$A$3:$A$500,$C29,'DADOS BRUTOS'!DR$3:DR$500)))</f>
        <v/>
      </c>
      <c r="GS29" s="56">
        <f>IF(OR(GS$4="",$B29=""),0,SUMIF('DADOS BRUTOS'!$A$3:$A$500,$B29,'DADOS BRUTOS'!DS$3:DS$500)+IF($C29="",0,SUMIF('DADOS BRUTOS'!$A$3:$A$500,$C29,'DADOS BRUTOS'!DS$3:DS$500)))</f>
        <v/>
      </c>
      <c r="GT29" s="56">
        <f>IF(OR(GT$4="",$B29=""),0,SUMIF('DADOS BRUTOS'!$A$3:$A$500,$B29,'DADOS BRUTOS'!DT$3:DT$500)+IF($C29="",0,SUMIF('DADOS BRUTOS'!$A$3:$A$500,$C29,'DADOS BRUTOS'!DT$3:DT$500)))</f>
        <v/>
      </c>
      <c r="GU29" s="56">
        <f>IF(OR(GU$4="",$B29=""),0,SUMIF('DADOS BRUTOS'!$A$3:$A$500,$B29,'DADOS BRUTOS'!DU$3:DU$500)+IF($C29="",0,SUMIF('DADOS BRUTOS'!$A$3:$A$500,$C29,'DADOS BRUTOS'!DU$3:DU$500)))</f>
        <v/>
      </c>
      <c r="GV29" s="56">
        <f>IF(OR(GV$4="",$B29=""),0,SUMIF('DADOS BRUTOS'!$A$3:$A$500,$B29,'DADOS BRUTOS'!DV$3:DV$500)+IF($C29="",0,SUMIF('DADOS BRUTOS'!$A$3:$A$500,$C29,'DADOS BRUTOS'!DV$3:DV$500)))</f>
        <v/>
      </c>
      <c r="GW29" s="56">
        <f>IF(OR(GW$4="",$B29=""),0,SUMIF('DADOS BRUTOS'!$A$3:$A$500,$B29,'DADOS BRUTOS'!DW$3:DW$500)+IF($C29="",0,SUMIF('DADOS BRUTOS'!$A$3:$A$500,$C29,'DADOS BRUTOS'!DW$3:DW$500)))</f>
        <v/>
      </c>
      <c r="GX29" s="56">
        <f>IF(OR(GX$4="",$B29=""),0,SUMIF('DADOS BRUTOS'!$A$3:$A$500,$B29,'DADOS BRUTOS'!DX$3:DX$500)+IF($C29="",0,SUMIF('DADOS BRUTOS'!$A$3:$A$500,$C29,'DADOS BRUTOS'!DX$3:DX$500)))</f>
        <v/>
      </c>
      <c r="GY29" s="56">
        <f>IF(OR(GY$4="",$B29=""),0,SUMIF('DADOS BRUTOS'!$A$3:$A$500,$B29,'DADOS BRUTOS'!DY$3:DY$500)+IF($C29="",0,SUMIF('DADOS BRUTOS'!$A$3:$A$500,$C29,'DADOS BRUTOS'!DY$3:DY$500)))</f>
        <v/>
      </c>
      <c r="GZ29" s="56">
        <f>IF(OR(GZ$4="",$B29=""),0,SUMIF('DADOS BRUTOS'!$A$3:$A$500,$B29,'DADOS BRUTOS'!DZ$3:DZ$500)+IF($C29="",0,SUMIF('DADOS BRUTOS'!$A$3:$A$500,$C29,'DADOS BRUTOS'!DZ$3:DZ$500)))</f>
        <v/>
      </c>
      <c r="HA29" s="56">
        <f>IF(OR(HA$4="",$B29=""),0,SUMIF('DADOS BRUTOS'!$A$3:$A$500,$B29,'DADOS BRUTOS'!EA$3:EA$500)+IF($C29="",0,SUMIF('DADOS BRUTOS'!$A$3:$A$500,$C29,'DADOS BRUTOS'!EA$3:EA$500)))</f>
        <v/>
      </c>
      <c r="HB29" s="56">
        <f>IF(OR(HB$4="",$B29=""),0,SUMIF('DADOS BRUTOS'!$A$3:$A$500,$B29,'DADOS BRUTOS'!EB$3:EB$500)+IF($C29="",0,SUMIF('DADOS BRUTOS'!$A$3:$A$500,$C29,'DADOS BRUTOS'!EB$3:EB$500)))</f>
        <v/>
      </c>
      <c r="HC29" s="56">
        <f>IF(OR(HC$4="",$B29=""),0,SUMIF('DADOS BRUTOS'!$A$3:$A$500,$B29,'DADOS BRUTOS'!EC$3:EC$500)+IF($C29="",0,SUMIF('DADOS BRUTOS'!$A$3:$A$500,$C29,'DADOS BRUTOS'!EC$3:EC$500)))</f>
        <v/>
      </c>
      <c r="HD29" s="56">
        <f>IF(OR(HD$4="",$B29=""),0,SUMIF('DADOS BRUTOS'!$A$3:$A$500,$B29,'DADOS BRUTOS'!ED$3:ED$500)+IF($C29="",0,SUMIF('DADOS BRUTOS'!$A$3:$A$500,$C29,'DADOS BRUTOS'!ED$3:ED$500)))</f>
        <v/>
      </c>
      <c r="HE29" s="56">
        <f>IF(OR(HE$4="",$B29=""),0,SUMIF('DADOS BRUTOS'!$A$3:$A$500,$B29,'DADOS BRUTOS'!EE$3:EE$500)+IF($C29="",0,SUMIF('DADOS BRUTOS'!$A$3:$A$500,$C29,'DADOS BRUTOS'!EE$3:EE$500)))</f>
        <v/>
      </c>
      <c r="HF29" s="56">
        <f>IF(OR(HF$4="",$B29=""),0,SUMIF('DADOS BRUTOS'!$A$3:$A$500,$B29,'DADOS BRUTOS'!EF$3:EF$500)+IF($C29="",0,SUMIF('DADOS BRUTOS'!$A$3:$A$500,$C29,'DADOS BRUTOS'!EF$3:EF$500)))</f>
        <v/>
      </c>
      <c r="HG29" s="56">
        <f>IF(OR(HG$4="",$B29=""),0,SUMIF('DADOS BRUTOS'!$A$3:$A$500,$B29,'DADOS BRUTOS'!EG$3:EG$500)+IF($C29="",0,SUMIF('DADOS BRUTOS'!$A$3:$A$500,$C29,'DADOS BRUTOS'!EG$3:EG$500)))</f>
        <v/>
      </c>
      <c r="HH29" s="56">
        <f>IF(OR(HH$4="",$B29=""),0,SUMIF('DADOS BRUTOS'!$A$3:$A$500,$B29,'DADOS BRUTOS'!EH$3:EH$500)+IF($C29="",0,SUMIF('DADOS BRUTOS'!$A$3:$A$500,$C29,'DADOS BRUTOS'!EH$3:EH$500)))</f>
        <v/>
      </c>
      <c r="HI29" s="56">
        <f>IF(OR(HI$4="",$B29=""),0,SUMIF('DADOS BRUTOS'!$A$3:$A$500,$B29,'DADOS BRUTOS'!EI$3:EI$500)+IF($C29="",0,SUMIF('DADOS BRUTOS'!$A$3:$A$500,$C29,'DADOS BRUTOS'!EI$3:EI$500)))</f>
        <v/>
      </c>
      <c r="HJ29" s="56">
        <f>IF(OR(HJ$4="",$B29=""),0,SUMIF('DADOS BRUTOS'!$A$3:$A$500,$B29,'DADOS BRUTOS'!EJ$3:EJ$500)+IF($C29="",0,SUMIF('DADOS BRUTOS'!$A$3:$A$500,$C29,'DADOS BRUTOS'!EJ$3:EJ$500)))</f>
        <v/>
      </c>
      <c r="HK29" s="56">
        <f>IF(OR(HK$4="",$B29=""),0,SUMIF('DADOS BRUTOS'!$A$3:$A$500,$B29,'DADOS BRUTOS'!EK$3:EK$500)+IF($C29="",0,SUMIF('DADOS BRUTOS'!$A$3:$A$500,$C29,'DADOS BRUTOS'!EK$3:EK$500)))</f>
        <v/>
      </c>
      <c r="HL29" s="56">
        <f>IF(OR(HL$4="",$B29=""),0,SUMIF('DADOS BRUTOS'!$A$3:$A$500,$B29,'DADOS BRUTOS'!EL$3:EL$500)+IF($C29="",0,SUMIF('DADOS BRUTOS'!$A$3:$A$500,$C29,'DADOS BRUTOS'!EL$3:EL$500)))</f>
        <v/>
      </c>
      <c r="HM29" s="56">
        <f>IF(OR(HM$4="",$B29=""),0,SUMIF('DADOS BRUTOS'!$A$3:$A$500,$B29,'DADOS BRUTOS'!EM$3:EM$500)+IF($C29="",0,SUMIF('DADOS BRUTOS'!$A$3:$A$500,$C29,'DADOS BRUTOS'!EM$3:EM$500)))</f>
        <v/>
      </c>
      <c r="HN29" s="56">
        <f>IF(OR(HN$4="",$B29=""),0,SUMIF('DADOS BRUTOS'!$A$3:$A$500,$B29,'DADOS BRUTOS'!EN$3:EN$500)+IF($C29="",0,SUMIF('DADOS BRUTOS'!$A$3:$A$500,$C29,'DADOS BRUTOS'!EN$3:EN$500)))</f>
        <v/>
      </c>
      <c r="HO29" s="56">
        <f>IF(OR(HO$4="",$B29=""),0,SUMIF('DADOS BRUTOS'!$A$3:$A$500,$B29,'DADOS BRUTOS'!EO$3:EO$500)+IF($C29="",0,SUMIF('DADOS BRUTOS'!$A$3:$A$500,$C29,'DADOS BRUTOS'!EO$3:EO$500)))</f>
        <v/>
      </c>
      <c r="HP29" s="56">
        <f>IF(OR(HP$4="",$B29=""),0,SUMIF('DADOS BRUTOS'!$A$3:$A$500,$B29,'DADOS BRUTOS'!EP$3:EP$500)+IF($C29="",0,SUMIF('DADOS BRUTOS'!$A$3:$A$500,$C29,'DADOS BRUTOS'!EP$3:EP$500)))</f>
        <v/>
      </c>
      <c r="HQ29" s="56">
        <f>IF(OR(HQ$4="",$B29=""),0,SUMIF('DADOS BRUTOS'!$A$3:$A$500,$B29,'DADOS BRUTOS'!EQ$3:EQ$500)+IF($C29="",0,SUMIF('DADOS BRUTOS'!$A$3:$A$500,$C29,'DADOS BRUTOS'!EQ$3:EQ$500)))</f>
        <v/>
      </c>
      <c r="HR29" s="56">
        <f>IF(OR(HR$4="",$B29=""),0,SUMIF('DADOS BRUTOS'!$A$3:$A$500,$B29,'DADOS BRUTOS'!ER$3:ER$500)+IF($C29="",0,SUMIF('DADOS BRUTOS'!$A$3:$A$500,$C29,'DADOS BRUTOS'!ER$3:ER$500)))</f>
        <v/>
      </c>
      <c r="HS29" s="56">
        <f>IF(OR(HS$4="",$B29=""),0,SUMIF('DADOS BRUTOS'!$A$3:$A$500,$B29,'DADOS BRUTOS'!ES$3:ES$500)+IF($C29="",0,SUMIF('DADOS BRUTOS'!$A$3:$A$500,$C29,'DADOS BRUTOS'!ES$3:ES$500)))</f>
        <v/>
      </c>
      <c r="HT29" s="56">
        <f>IF(OR(HT$4="",$B29=""),0,SUMIF('DADOS BRUTOS'!$A$3:$A$500,$B29,'DADOS BRUTOS'!ET$3:ET$500)+IF($C29="",0,SUMIF('DADOS BRUTOS'!$A$3:$A$500,$C29,'DADOS BRUTOS'!ET$3:ET$500)))</f>
        <v/>
      </c>
      <c r="HU29" s="56">
        <f>IF(OR(HU$4="",$B29=""),0,SUMIF('DADOS BRUTOS'!$A$3:$A$500,$B29,'DADOS BRUTOS'!EU$3:EU$500)+IF($C29="",0,SUMIF('DADOS BRUTOS'!$A$3:$A$500,$C29,'DADOS BRUTOS'!EU$3:EU$500)))</f>
        <v/>
      </c>
      <c r="HV29" s="56">
        <f>IF(OR(HV$4="",$B29=""),0,SUMIF('DADOS BRUTOS'!$A$3:$A$500,$B29,'DADOS BRUTOS'!EV$3:EV$500)+IF($C29="",0,SUMIF('DADOS BRUTOS'!$A$3:$A$500,$C29,'DADOS BRUTOS'!EV$3:EV$500)))</f>
        <v/>
      </c>
      <c r="HW29" s="56">
        <f>IF(OR(HW$4="",$B29=""),0,SUMIF('DADOS BRUTOS'!$A$3:$A$500,$B29,'DADOS BRUTOS'!EW$3:EW$500)+IF($C29="",0,SUMIF('DADOS BRUTOS'!$A$3:$A$500,$C29,'DADOS BRUTOS'!EW$3:EW$500)))</f>
        <v/>
      </c>
      <c r="HX29" s="56">
        <f>IF(OR(HX$4="",$B29=""),0,SUMIF('DADOS BRUTOS'!$A$3:$A$500,$B29,'DADOS BRUTOS'!EX$3:EX$500)+IF($C29="",0,SUMIF('DADOS BRUTOS'!$A$3:$A$500,$C29,'DADOS BRUTOS'!EX$3:EX$500)))</f>
        <v/>
      </c>
      <c r="HY29" s="56">
        <f>IF(OR(HY$4="",$B29=""),0,SUMIF('DADOS BRUTOS'!$A$3:$A$500,$B29,'DADOS BRUTOS'!EY$3:EY$500)+IF($C29="",0,SUMIF('DADOS BRUTOS'!$A$3:$A$500,$C29,'DADOS BRUTOS'!EY$3:EY$500)))</f>
        <v/>
      </c>
      <c r="HZ29" s="56">
        <f>IF(OR(HZ$4="",$B29=""),0,SUMIF('DADOS BRUTOS'!$A$3:$A$500,$B29,'DADOS BRUTOS'!EZ$3:EZ$500)+IF($C29="",0,SUMIF('DADOS BRUTOS'!$A$3:$A$500,$C29,'DADOS BRUTOS'!EZ$3:EZ$500)))</f>
        <v/>
      </c>
      <c r="IA29" s="56">
        <f>IF(OR(IA$4="",$B29=""),0,SUMIF('DADOS BRUTOS'!$A$3:$A$500,$B29,'DADOS BRUTOS'!FA$3:FA$500)+IF($C29="",0,SUMIF('DADOS BRUTOS'!$A$3:$A$500,$C29,'DADOS BRUTOS'!FA$3:FA$500)))</f>
        <v/>
      </c>
      <c r="IB29" s="56">
        <f>IF(OR(IB$4="",$B29=""),0,SUMIF('DADOS BRUTOS'!$A$3:$A$500,$B29,'DADOS BRUTOS'!FB$3:FB$500)+IF($C29="",0,SUMIF('DADOS BRUTOS'!$A$3:$A$500,$C29,'DADOS BRUTOS'!FB$3:FB$500)))</f>
        <v/>
      </c>
      <c r="IC29" s="56">
        <f>IF(OR(IC$4="",$B29=""),0,SUMIF('DADOS BRUTOS'!$A$3:$A$500,$B29,'DADOS BRUTOS'!FC$3:FC$500)+IF($C29="",0,SUMIF('DADOS BRUTOS'!$A$3:$A$500,$C29,'DADOS BRUTOS'!FC$3:FC$500)))</f>
        <v/>
      </c>
      <c r="ID29" s="56">
        <f>IF(OR(ID$4="",$B29=""),0,SUMIF('DADOS BRUTOS'!$A$3:$A$500,$B29,'DADOS BRUTOS'!FD$3:FD$500)+IF($C29="",0,SUMIF('DADOS BRUTOS'!$A$3:$A$500,$C29,'DADOS BRUTOS'!FD$3:FD$500)))</f>
        <v/>
      </c>
      <c r="IE29" s="56">
        <f>IF(OR(IE$4="",$B29=""),0,SUMIF('DADOS BRUTOS'!$A$3:$A$500,$B29,'DADOS BRUTOS'!FE$3:FE$500)+IF($C29="",0,SUMIF('DADOS BRUTOS'!$A$3:$A$500,$C29,'DADOS BRUTOS'!FE$3:FE$500)))</f>
        <v/>
      </c>
      <c r="IF29" s="56">
        <f>IF(OR(IF$4="",$B29=""),0,SUMIF('DADOS BRUTOS'!$A$3:$A$500,$B29,'DADOS BRUTOS'!FF$3:FF$500)+IF($C29="",0,SUMIF('DADOS BRUTOS'!$A$3:$A$500,$C29,'DADOS BRUTOS'!FF$3:FF$500)))</f>
        <v/>
      </c>
      <c r="IG29" s="56">
        <f>IF(OR(IG$4="",$B29=""),0,SUMIF('DADOS BRUTOS'!$A$3:$A$500,$B29,'DADOS BRUTOS'!FG$3:FG$500)+IF($C29="",0,SUMIF('DADOS BRUTOS'!$A$3:$A$500,$C29,'DADOS BRUTOS'!FG$3:FG$500)))</f>
        <v/>
      </c>
      <c r="IH29" s="56">
        <f>IF(OR(IH$4="",$B29=""),0,SUMIF('DADOS BRUTOS'!$A$3:$A$500,$B29,'DADOS BRUTOS'!FH$3:FH$500)+IF($C29="",0,SUMIF('DADOS BRUTOS'!$A$3:$A$500,$C29,'DADOS BRUTOS'!FH$3:FH$500)))</f>
        <v/>
      </c>
      <c r="II29" s="56">
        <f>IF(OR(II$4="",$B29=""),0,SUMIF('DADOS BRUTOS'!$A$3:$A$500,$B29,'DADOS BRUTOS'!FI$3:FI$500)+IF($C29="",0,SUMIF('DADOS BRUTOS'!$A$3:$A$500,$C29,'DADOS BRUTOS'!FI$3:FI$500)))</f>
        <v/>
      </c>
      <c r="IJ29" s="56">
        <f>IF(OR(IJ$4="",$B29=""),0,SUMIF('DADOS BRUTOS'!$A$3:$A$500,$B29,'DADOS BRUTOS'!FJ$3:FJ$500)+IF($C29="",0,SUMIF('DADOS BRUTOS'!$A$3:$A$500,$C29,'DADOS BRUTOS'!FJ$3:FJ$500)))</f>
        <v/>
      </c>
      <c r="IK29" s="56">
        <f>IF(OR(IK$4="",$B29=""),0,SUMIF('DADOS BRUTOS'!$A$3:$A$500,$B29,'DADOS BRUTOS'!FK$3:FK$500)+IF($C29="",0,SUMIF('DADOS BRUTOS'!$A$3:$A$500,$C29,'DADOS BRUTOS'!FK$3:FK$500)))</f>
        <v/>
      </c>
      <c r="IL29" s="56">
        <f>IF(OR(IL$4="",$B29=""),0,SUMIF('DADOS BRUTOS'!$A$3:$A$500,$B29,'DADOS BRUTOS'!FL$3:FL$500)+IF($C29="",0,SUMIF('DADOS BRUTOS'!$A$3:$A$500,$C29,'DADOS BRUTOS'!FL$3:FL$500)))</f>
        <v/>
      </c>
      <c r="IM29" s="56">
        <f>IF(OR(IM$4="",$B29=""),0,SUMIF('DADOS BRUTOS'!$A$3:$A$500,$B29,'DADOS BRUTOS'!FM$3:FM$500)+IF($C29="",0,SUMIF('DADOS BRUTOS'!$A$3:$A$500,$C29,'DADOS BRUTOS'!FM$3:FM$500)))</f>
        <v/>
      </c>
      <c r="IN29" s="56">
        <f>IF(OR(IN$4="",$B29=""),0,SUMIF('DADOS BRUTOS'!$A$3:$A$500,$B29,'DADOS BRUTOS'!FN$3:FN$500)+IF($C29="",0,SUMIF('DADOS BRUTOS'!$A$3:$A$500,$C29,'DADOS BRUTOS'!FN$3:FN$500)))</f>
        <v/>
      </c>
      <c r="IO29" s="56">
        <f>IF(OR(IO$4="",$B29=""),0,SUMIF('DADOS BRUTOS'!$A$3:$A$500,$B29,'DADOS BRUTOS'!FO$3:FO$500)+IF($C29="",0,SUMIF('DADOS BRUTOS'!$A$3:$A$500,$C29,'DADOS BRUTOS'!FO$3:FO$500)))</f>
        <v/>
      </c>
      <c r="IP29" s="56">
        <f>IF(OR(IP$4="",$B29=""),0,SUMIF('DADOS BRUTOS'!$A$3:$A$500,$B29,'DADOS BRUTOS'!FP$3:FP$500)+IF($C29="",0,SUMIF('DADOS BRUTOS'!$A$3:$A$500,$C29,'DADOS BRUTOS'!FP$3:FP$500)))</f>
        <v/>
      </c>
      <c r="IQ29" s="56">
        <f>IF(OR(IQ$4="",$B29=""),0,SUMIF('DADOS BRUTOS'!$A$3:$A$500,$B29,'DADOS BRUTOS'!FQ$3:FQ$500)+IF($C29="",0,SUMIF('DADOS BRUTOS'!$A$3:$A$500,$C29,'DADOS BRUTOS'!FQ$3:FQ$500)))</f>
        <v/>
      </c>
      <c r="IR29" s="56">
        <f>IF(OR(IR$4="",$B29=""),0,SUMIF('DADOS BRUTOS'!$A$3:$A$500,$B29,'DADOS BRUTOS'!FR$3:FR$500)+IF($C29="",0,SUMIF('DADOS BRUTOS'!$A$3:$A$500,$C29,'DADOS BRUTOS'!FR$3:FR$500)))</f>
        <v/>
      </c>
      <c r="IS29" s="56">
        <f>IF(OR(IS$4="",$B29=""),0,SUMIF('DADOS BRUTOS'!$A$3:$A$500,$B29,'DADOS BRUTOS'!FS$3:FS$500)+IF($C29="",0,SUMIF('DADOS BRUTOS'!$A$3:$A$500,$C29,'DADOS BRUTOS'!FS$3:FS$500)))</f>
        <v/>
      </c>
      <c r="IT29" s="56">
        <f>IF(OR(IT$4="",$B29=""),0,SUMIF('DADOS BRUTOS'!$A$3:$A$500,$B29,'DADOS BRUTOS'!FT$3:FT$500)+IF($C29="",0,SUMIF('DADOS BRUTOS'!$A$3:$A$500,$C29,'DADOS BRUTOS'!FT$3:FT$500)))</f>
        <v/>
      </c>
      <c r="IU29" s="56">
        <f>IF(OR(IU$4="",$B29=""),0,SUMIF('DADOS BRUTOS'!$A$3:$A$500,$B29,'DADOS BRUTOS'!FU$3:FU$500)+IF($C29="",0,SUMIF('DADOS BRUTOS'!$A$3:$A$500,$C29,'DADOS BRUTOS'!FU$3:FU$500)))</f>
        <v/>
      </c>
      <c r="IV29" s="56">
        <f>IF(OR(IV$4="",$B29=""),0,SUMIF('DADOS BRUTOS'!$A$3:$A$500,$B29,'DADOS BRUTOS'!FV$3:FV$500)+IF($C29="",0,SUMIF('DADOS BRUTOS'!$A$3:$A$500,$C29,'DADOS BRUTOS'!FV$3:FV$500)))</f>
        <v/>
      </c>
      <c r="IW29" s="56">
        <f>IF(OR(IW$4="",$B29=""),0,SUMIF('DADOS BRUTOS'!$A$3:$A$500,$B29,'DADOS BRUTOS'!FW$3:FW$500)+IF($C29="",0,SUMIF('DADOS BRUTOS'!$A$3:$A$500,$C29,'DADOS BRUTOS'!FW$3:FW$500)))</f>
        <v/>
      </c>
      <c r="IX29" s="56">
        <f>IF(OR(IX$4="",$B29=""),0,SUMIF('DADOS BRUTOS'!$A$3:$A$500,$B29,'DADOS BRUTOS'!FX$3:FX$500)+IF($C29="",0,SUMIF('DADOS BRUTOS'!$A$3:$A$500,$C29,'DADOS BRUTOS'!FX$3:FX$500)))</f>
        <v/>
      </c>
      <c r="IY29" s="56">
        <f>IF(OR(IY$4="",$B29=""),0,SUMIF('DADOS BRUTOS'!$A$3:$A$500,$B29,'DADOS BRUTOS'!FY$3:FY$500)+IF($C29="",0,SUMIF('DADOS BRUTOS'!$A$3:$A$500,$C29,'DADOS BRUTOS'!FY$3:FY$500)))</f>
        <v/>
      </c>
      <c r="IZ29" s="56">
        <f>IF(OR(IZ$4="",$B29=""),0,SUMIF('DADOS BRUTOS'!$A$3:$A$500,$B29,'DADOS BRUTOS'!FZ$3:FZ$500)+IF($C29="",0,SUMIF('DADOS BRUTOS'!$A$3:$A$500,$C29,'DADOS BRUTOS'!FZ$3:FZ$500)))</f>
        <v/>
      </c>
      <c r="JA29" s="56">
        <f>IF(OR(JA$4="",$B29=""),0,SUMIF('DADOS BRUTOS'!$A$3:$A$500,$B29,'DADOS BRUTOS'!GA$3:GA$500)+IF($C29="",0,SUMIF('DADOS BRUTOS'!$A$3:$A$500,$C29,'DADOS BRUTOS'!GA$3:GA$500)))</f>
        <v/>
      </c>
      <c r="JB29" s="56">
        <f>IF(OR(JB$4="",$B29=""),0,SUMIF('DADOS BRUTOS'!$A$3:$A$500,$B29,'DADOS BRUTOS'!GB$3:GB$500)+IF($C29="",0,SUMIF('DADOS BRUTOS'!$A$3:$A$500,$C29,'DADOS BRUTOS'!GB$3:GB$500)))</f>
        <v/>
      </c>
      <c r="JC29" s="56">
        <f>IF(OR(JC$4="",$B29=""),0,SUMIF('DADOS BRUTOS'!$A$3:$A$500,$B29,'DADOS BRUTOS'!GC$3:GC$500)+IF($C29="",0,SUMIF('DADOS BRUTOS'!$A$3:$A$500,$C29,'DADOS BRUTOS'!GC$3:GC$500)))</f>
        <v/>
      </c>
      <c r="JD29" s="56">
        <f>IF(OR(JD$4="",$B29=""),0,SUMIF('DADOS BRUTOS'!$A$3:$A$500,$B29,'DADOS BRUTOS'!GD$3:GD$500)+IF($C29="",0,SUMIF('DADOS BRUTOS'!$A$3:$A$500,$C29,'DADOS BRUTOS'!GD$3:GD$500)))</f>
        <v/>
      </c>
      <c r="JE29" s="56">
        <f>IF(OR(JE$4="",$B29=""),0,SUMIF('DADOS BRUTOS'!$A$3:$A$500,$B29,'DADOS BRUTOS'!GE$3:GE$500)+IF($C29="",0,SUMIF('DADOS BRUTOS'!$A$3:$A$500,$C29,'DADOS BRUTOS'!GE$3:GE$500)))</f>
        <v/>
      </c>
      <c r="JF29" s="56">
        <f>IF(OR(JF$4="",$B29=""),0,SUMIF('DADOS BRUTOS'!$A$3:$A$500,$B29,'DADOS BRUTOS'!GF$3:GF$500)+IF($C29="",0,SUMIF('DADOS BRUTOS'!$A$3:$A$500,$C29,'DADOS BRUTOS'!GF$3:GF$500)))</f>
        <v/>
      </c>
      <c r="JG29" s="56">
        <f>IF(OR(JG$4="",$B29=""),0,SUMIF('DADOS BRUTOS'!$A$3:$A$500,$B29,'DADOS BRUTOS'!GG$3:GG$500)+IF($C29="",0,SUMIF('DADOS BRUTOS'!$A$3:$A$500,$C29,'DADOS BRUTOS'!GG$3:GG$500)))</f>
        <v/>
      </c>
      <c r="JH29" s="56">
        <f>IF(OR(JH$4="",$B29=""),0,SUMIF('DADOS BRUTOS'!$A$3:$A$500,$B29,'DADOS BRUTOS'!GH$3:GH$500)+IF($C29="",0,SUMIF('DADOS BRUTOS'!$A$3:$A$500,$C29,'DADOS BRUTOS'!GH$3:GH$500)))</f>
        <v/>
      </c>
      <c r="JI29" s="56">
        <f>IF(OR(JI$4="",$B29=""),0,SUMIF('DADOS BRUTOS'!$A$3:$A$500,$B29,'DADOS BRUTOS'!GI$3:GI$500)+IF($C29="",0,SUMIF('DADOS BRUTOS'!$A$3:$A$500,$C29,'DADOS BRUTOS'!GI$3:GI$500)))</f>
        <v/>
      </c>
      <c r="JJ29" s="56">
        <f>IF(OR(JJ$4="",$B29=""),0,SUMIF('DADOS BRUTOS'!$A$3:$A$500,$B29,'DADOS BRUTOS'!GJ$3:GJ$500)+IF($C29="",0,SUMIF('DADOS BRUTOS'!$A$3:$A$500,$C29,'DADOS BRUTOS'!GJ$3:GJ$500)))</f>
        <v/>
      </c>
      <c r="JK29" s="56">
        <f>IF(OR(JK$4="",$B29=""),0,SUMIF('DADOS BRUTOS'!$A$3:$A$500,$B29,'DADOS BRUTOS'!GK$3:GK$500)+IF($C29="",0,SUMIF('DADOS BRUTOS'!$A$3:$A$500,$C29,'DADOS BRUTOS'!GK$3:GK$500)))</f>
        <v/>
      </c>
      <c r="JL29" s="56">
        <f>IF(OR(JL$4="",$B29=""),0,SUMIF('DADOS BRUTOS'!$A$3:$A$500,$B29,'DADOS BRUTOS'!GL$3:GL$500)+IF($C29="",0,SUMIF('DADOS BRUTOS'!$A$3:$A$500,$C29,'DADOS BRUTOS'!GL$3:GL$500)))</f>
        <v/>
      </c>
      <c r="JM29" s="56">
        <f>IF(OR(JM$4="",$B29=""),0,SUMIF('DADOS BRUTOS'!$A$3:$A$500,$B29,'DADOS BRUTOS'!GM$3:GM$500)+IF($C29="",0,SUMIF('DADOS BRUTOS'!$A$3:$A$500,$C29,'DADOS BRUTOS'!GM$3:GM$500)))</f>
        <v/>
      </c>
      <c r="JN29" s="56">
        <f>IF(OR(JN$4="",$B29=""),0,SUMIF('DADOS BRUTOS'!$A$3:$A$500,$B29,'DADOS BRUTOS'!GN$3:GN$500)+IF($C29="",0,SUMIF('DADOS BRUTOS'!$A$3:$A$500,$C29,'DADOS BRUTOS'!GN$3:GN$500)))</f>
        <v/>
      </c>
      <c r="JO29" s="56">
        <f>IF(OR(JO$4="",$B29=""),0,SUMIF('DADOS BRUTOS'!$A$3:$A$500,$B29,'DADOS BRUTOS'!GO$3:GO$500)+IF($C29="",0,SUMIF('DADOS BRUTOS'!$A$3:$A$500,$C29,'DADOS BRUTOS'!GO$3:GO$500)))</f>
        <v/>
      </c>
      <c r="JP29" s="56">
        <f>IF(OR(JP$4="",$B29=""),0,SUMIF('DADOS BRUTOS'!$A$3:$A$500,$B29,'DADOS BRUTOS'!GP$3:GP$500)+IF($C29="",0,SUMIF('DADOS BRUTOS'!$A$3:$A$500,$C29,'DADOS BRUTOS'!GP$3:GP$500)))</f>
        <v/>
      </c>
      <c r="JQ29" s="56">
        <f>IF(OR(JQ$4="",$B29=""),0,SUMIF('DADOS BRUTOS'!$A$3:$A$500,$B29,'DADOS BRUTOS'!GQ$3:GQ$500)+IF($C29="",0,SUMIF('DADOS BRUTOS'!$A$3:$A$500,$C29,'DADOS BRUTOS'!GQ$3:GQ$500)))</f>
        <v/>
      </c>
      <c r="JR29" s="56">
        <f>IF(OR(JR$4="",$B29=""),0,SUMIF('DADOS BRUTOS'!$A$3:$A$500,$B29,'DADOS BRUTOS'!GR$3:GR$500)+IF($C29="",0,SUMIF('DADOS BRUTOS'!$A$3:$A$500,$C29,'DADOS BRUTOS'!GR$3:GR$500)))</f>
        <v/>
      </c>
      <c r="JS29" s="56">
        <f>IF(OR(JS$4="",$B29=""),0,SUMIF('DADOS BRUTOS'!$A$3:$A$500,$B29,'DADOS BRUTOS'!GS$3:GS$500)+IF($C29="",0,SUMIF('DADOS BRUTOS'!$A$3:$A$500,$C29,'DADOS BRUTOS'!GS$3:GS$500)))</f>
        <v/>
      </c>
    </row>
    <row r="30">
      <c r="A30" s="34">
        <f>'VALOR POR PL'!D36</f>
        <v/>
      </c>
      <c r="B30" s="21" t="inlineStr">
        <is>
          <t>SERRALHERIA</t>
        </is>
      </c>
      <c r="C30" s="21" t="n"/>
      <c r="D30" s="17">
        <f>SUMIF($CB$4:$JS$4,"&lt;="&amp;D$4,$CB30:$JS30)</f>
        <v/>
      </c>
      <c r="E30" s="17">
        <f>SUMIF($CB$4:$JS$4,E$4,$CB30:$JS30)</f>
        <v/>
      </c>
      <c r="F30" s="17">
        <f>SUMIF($CB$4:$JS$4,F$4,$CB30:$JS30)</f>
        <v/>
      </c>
      <c r="G30" s="17">
        <f>SUMIF($CB$4:$JS$4,G$4,$CB30:$JS30)</f>
        <v/>
      </c>
      <c r="H30" s="17">
        <f>SUMIF($CB$4:$JS$4,H$4,$CB30:$JS30)</f>
        <v/>
      </c>
      <c r="I30" s="17">
        <f>SUMIF($CB$4:$JS$4,I$4,$CB30:$JS30)</f>
        <v/>
      </c>
      <c r="J30" s="17">
        <f>SUMIF($CB$4:$JS$4,J$4,$CB30:$JS30)</f>
        <v/>
      </c>
      <c r="K30" s="17">
        <f>SUMIF($CB$4:$JS$4,K$4,$CB30:$JS30)</f>
        <v/>
      </c>
      <c r="L30" s="17">
        <f>SUMIF($CB$4:$JS$4,L$4,$CB30:$JS30)</f>
        <v/>
      </c>
      <c r="M30" s="17">
        <f>SUMIF($CB$4:$JS$4,M$4,$CB30:$JS30)</f>
        <v/>
      </c>
      <c r="N30" s="17">
        <f>SUMIF($CB$4:$JS$4,N$4,$CB30:$JS30)</f>
        <v/>
      </c>
      <c r="O30" s="17">
        <f>SUMIF($CB$4:$JS$4,O$4,$CB30:$JS30)</f>
        <v/>
      </c>
      <c r="P30" s="17">
        <f>SUMIF($CB$4:$JS$4,P$4,$CB30:$JS30)</f>
        <v/>
      </c>
      <c r="Q30" s="17">
        <f>SUMIF($CB$4:$JS$4,Q$4,$CB30:$JS30)</f>
        <v/>
      </c>
      <c r="R30" s="17">
        <f>SUMIF($CB$4:$JS$4,R$4,$CB30:$JS30)</f>
        <v/>
      </c>
      <c r="S30" s="17">
        <f>SUMIF($CB$4:$JS$4,S$4,$CB30:$JS30)</f>
        <v/>
      </c>
      <c r="T30" s="17">
        <f>SUMIF($CB$4:$JS$4,T$4,$CB30:$JS30)</f>
        <v/>
      </c>
      <c r="U30" s="17">
        <f>SUMIF($CB$4:$JS$4,U$4,$CB30:$JS30)</f>
        <v/>
      </c>
      <c r="V30" s="17">
        <f>SUMIF($CB$4:$JS$4,V$4,$CB30:$JS30)</f>
        <v/>
      </c>
      <c r="W30" s="17">
        <f>SUMIF($CB$4:$JS$4,W$4,$CB30:$JS30)</f>
        <v/>
      </c>
      <c r="X30" s="17">
        <f>SUMIF($CB$4:$JS$4,X$4,$CB30:$JS30)</f>
        <v/>
      </c>
      <c r="Y30" s="17">
        <f>SUMIF($CB$4:$JS$4,Y$4,$CB30:$JS30)</f>
        <v/>
      </c>
      <c r="Z30" s="17">
        <f>SUMIF($CB$4:$JS$4,Z$4,$CB30:$JS30)</f>
        <v/>
      </c>
      <c r="AA30" s="17">
        <f>SUMIF($CB$4:$JS$4,AA$4,$CB30:$JS30)</f>
        <v/>
      </c>
      <c r="AB30" s="17">
        <f>SUMIF($CB$4:$JS$4,AB$4,$CB30:$JS30)</f>
        <v/>
      </c>
      <c r="AC30" s="17">
        <f>SUMIF($CB$4:$JS$4,AC$4,$CB30:$JS30)</f>
        <v/>
      </c>
      <c r="AD30" s="17">
        <f>SUMIF($CB$4:$JS$4,AD$4,$CB30:$JS30)</f>
        <v/>
      </c>
      <c r="AE30" s="17">
        <f>SUMIF($CB$4:$JS$4,AE$4,$CB30:$JS30)</f>
        <v/>
      </c>
      <c r="AF30" s="17">
        <f>SUMIF($CB$4:$JS$4,AF$4,$CB30:$JS30)</f>
        <v/>
      </c>
      <c r="AG30" s="17">
        <f>SUMIF($CB$4:$JS$4,AG$4,$CB30:$JS30)</f>
        <v/>
      </c>
      <c r="AH30" s="17">
        <f>SUMIF($CB$4:$JS$4,AH$4,$CB30:$JS30)</f>
        <v/>
      </c>
      <c r="AI30" s="17">
        <f>SUMIF($CB$4:$JS$4,AI$4,$CB30:$JS30)</f>
        <v/>
      </c>
      <c r="AJ30" s="17">
        <f>SUMIF($CB$4:$JS$4,AJ$4,$CB30:$JS30)</f>
        <v/>
      </c>
      <c r="AK30" s="17">
        <f>SUMIF($CB$4:$JS$4,AK$4,$CB30:$JS30)</f>
        <v/>
      </c>
      <c r="AL30" s="17">
        <f>SUMIF($CB$4:$JS$4,AL$4,$CB30:$JS30)</f>
        <v/>
      </c>
      <c r="AM30" s="17">
        <f>SUMIF($CB$4:$JS$4,AM$4,$CB30:$JS30)</f>
        <v/>
      </c>
      <c r="AN30" s="17">
        <f>SUMIF($CB$4:$JS$4,AN$4,$CB30:$JS30)</f>
        <v/>
      </c>
      <c r="AO30" s="17">
        <f>SUMIF($CB$4:$JS$4,AO$4,$CB30:$JS30)</f>
        <v/>
      </c>
      <c r="AP30" s="17">
        <f>SUMIF($CB$4:$JS$4,AP$4,$CB30:$JS30)</f>
        <v/>
      </c>
      <c r="AQ30" s="17">
        <f>SUMIF($CB$4:$JS$4,AQ$4,$CB30:$JS30)</f>
        <v/>
      </c>
      <c r="AR30" s="17">
        <f>SUMIF($CB$4:$JS$4,AR$4,$CB30:$JS30)</f>
        <v/>
      </c>
      <c r="AS30" s="17">
        <f>SUMIF($CB$4:$JS$4,AS$4,$CB30:$JS30)</f>
        <v/>
      </c>
      <c r="AT30" s="17">
        <f>SUMIF($CB$4:$JS$4,AT$4,$CB30:$JS30)</f>
        <v/>
      </c>
      <c r="AU30" s="17">
        <f>SUMIF($CB$4:$JS$4,AU$4,$CB30:$JS30)</f>
        <v/>
      </c>
      <c r="AV30" s="17">
        <f>SUMIF($CB$4:$JS$4,AV$4,$CB30:$JS30)</f>
        <v/>
      </c>
      <c r="AW30" s="17">
        <f>SUMIF($CB$4:$JS$4,AW$4,$CB30:$JS30)</f>
        <v/>
      </c>
      <c r="AX30" s="17">
        <f>SUMIF($CB$4:$JS$4,AX$4,$CB30:$JS30)</f>
        <v/>
      </c>
      <c r="AY30" s="17">
        <f>SUMIF($CB$4:$JS$4,AY$4,$CB30:$JS30)</f>
        <v/>
      </c>
      <c r="AZ30" s="17">
        <f>SUMIF($CB$4:$JS$4,AZ$4,$CB30:$JS30)</f>
        <v/>
      </c>
      <c r="BA30" s="17">
        <f>SUMIF($CB$4:$JS$4,BA$4,$CB30:$JS30)</f>
        <v/>
      </c>
      <c r="BB30" s="17">
        <f>SUMIF($CB$4:$JS$4,BB$4,$CB30:$JS30)</f>
        <v/>
      </c>
      <c r="BC30" s="17">
        <f>SUMIF($CB$4:$JS$4,BC$4,$CB30:$JS30)</f>
        <v/>
      </c>
      <c r="BD30" s="17">
        <f>SUMIF($CB$4:$JS$4,BD$4,$CB30:$JS30)</f>
        <v/>
      </c>
      <c r="BE30" s="17">
        <f>SUMIF($CB$4:$JS$4,BE$4,$CB30:$JS30)</f>
        <v/>
      </c>
      <c r="BF30" s="17">
        <f>SUMIF($CB$4:$JS$4,BF$4,$CB30:$JS30)</f>
        <v/>
      </c>
      <c r="BG30" s="17">
        <f>SUMIF($CB$4:$JS$4,BG$4,$CB30:$JS30)</f>
        <v/>
      </c>
      <c r="BH30" s="17">
        <f>SUMIF($CB$4:$JS$4,BH$4,$CB30:$JS30)</f>
        <v/>
      </c>
      <c r="BI30" s="17">
        <f>SUMIF($CB$4:$JS$4,BI$4,$CB30:$JS30)</f>
        <v/>
      </c>
      <c r="BJ30" s="17">
        <f>SUMIF($CB$4:$JS$4,BJ$4,$CB30:$JS30)</f>
        <v/>
      </c>
      <c r="BK30" s="17">
        <f>SUMIF($CB$4:$JS$4,BK$4,$CB30:$JS30)</f>
        <v/>
      </c>
      <c r="BL30" s="17">
        <f>SUMIF($CB$4:$JS$4,BL$4,$CB30:$JS30)</f>
        <v/>
      </c>
      <c r="BM30" s="17">
        <f>SUMIF($CB$4:$JS$4,BM$4,$CB30:$JS30)</f>
        <v/>
      </c>
      <c r="BN30" s="17">
        <f>SUMIF($CB$4:$JS$4,BN$4,$CB30:$JS30)</f>
        <v/>
      </c>
      <c r="BO30" s="17">
        <f>SUMIF($CB$4:$JS$4,BO$4,$CB30:$JS30)</f>
        <v/>
      </c>
      <c r="BP30" s="17">
        <f>SUMIF($CB$4:$JS$4,BP$4,$CB30:$JS30)</f>
        <v/>
      </c>
      <c r="BQ30" s="17">
        <f>SUMIF($CB$4:$JS$4,BQ$4,$CB30:$JS30)</f>
        <v/>
      </c>
      <c r="BR30" s="17">
        <f>SUMIF($CB$4:$JS$4,BR$4,$CB30:$JS30)</f>
        <v/>
      </c>
      <c r="BS30" s="17">
        <f>SUMIF($CB$4:$JS$4,BS$4,$CB30:$JS30)</f>
        <v/>
      </c>
      <c r="BT30" s="17">
        <f>SUMIF($CB$4:$JS$4,BT$4,$CB30:$JS30)</f>
        <v/>
      </c>
      <c r="BU30" s="17">
        <f>SUMIF($CB$4:$JS$4,BU$4,$CB30:$JS30)</f>
        <v/>
      </c>
      <c r="BV30" s="17">
        <f>SUMIF($CB$4:$JS$4,BV$4,$CB30:$JS30)</f>
        <v/>
      </c>
      <c r="BW30" s="17">
        <f>SUMIF($CB$4:$JS$4,BW$4,$CB30:$JS30)</f>
        <v/>
      </c>
      <c r="BX30" s="17">
        <f>SUMIF($CB$4:$JS$4,"&gt;"&amp;'VALOR POR PL'!$P$8,$CB30:$JS30)</f>
        <v/>
      </c>
      <c r="BY30" s="17">
        <f>SUM($CB30:$JS30)</f>
        <v/>
      </c>
      <c r="CB30" s="56">
        <f>IF(OR(CB$4="",$B30=""),0,SUMIF('DADOS BRUTOS'!$A$3:$A$500,$B30,'DADOS BRUTOS'!B$3:B$500)+IF($C30="",0,SUMIF('DADOS BRUTOS'!$A$3:$A$500,$C30,'DADOS BRUTOS'!B$3:B$500)))</f>
        <v/>
      </c>
      <c r="CC30" s="56">
        <f>IF(OR(CC$4="",$B30=""),0,SUMIF('DADOS BRUTOS'!$A$3:$A$500,$B30,'DADOS BRUTOS'!C$3:C$500)+IF($C30="",0,SUMIF('DADOS BRUTOS'!$A$3:$A$500,$C30,'DADOS BRUTOS'!C$3:C$500)))</f>
        <v/>
      </c>
      <c r="CD30" s="56">
        <f>IF(OR(CD$4="",$B30=""),0,SUMIF('DADOS BRUTOS'!$A$3:$A$500,$B30,'DADOS BRUTOS'!D$3:D$500)+IF($C30="",0,SUMIF('DADOS BRUTOS'!$A$3:$A$500,$C30,'DADOS BRUTOS'!D$3:D$500)))</f>
        <v/>
      </c>
      <c r="CE30" s="56">
        <f>IF(OR(CE$4="",$B30=""),0,SUMIF('DADOS BRUTOS'!$A$3:$A$500,$B30,'DADOS BRUTOS'!E$3:E$500)+IF($C30="",0,SUMIF('DADOS BRUTOS'!$A$3:$A$500,$C30,'DADOS BRUTOS'!E$3:E$500)))</f>
        <v/>
      </c>
      <c r="CF30" s="56">
        <f>IF(OR(CF$4="",$B30=""),0,SUMIF('DADOS BRUTOS'!$A$3:$A$500,$B30,'DADOS BRUTOS'!F$3:F$500)+IF($C30="",0,SUMIF('DADOS BRUTOS'!$A$3:$A$500,$C30,'DADOS BRUTOS'!F$3:F$500)))</f>
        <v/>
      </c>
      <c r="CG30" s="56">
        <f>IF(OR(CG$4="",$B30=""),0,SUMIF('DADOS BRUTOS'!$A$3:$A$500,$B30,'DADOS BRUTOS'!G$3:G$500)+IF($C30="",0,SUMIF('DADOS BRUTOS'!$A$3:$A$500,$C30,'DADOS BRUTOS'!G$3:G$500)))</f>
        <v/>
      </c>
      <c r="CH30" s="56">
        <f>IF(OR(CH$4="",$B30=""),0,SUMIF('DADOS BRUTOS'!$A$3:$A$500,$B30,'DADOS BRUTOS'!H$3:H$500)+IF($C30="",0,SUMIF('DADOS BRUTOS'!$A$3:$A$500,$C30,'DADOS BRUTOS'!H$3:H$500)))</f>
        <v/>
      </c>
      <c r="CI30" s="56">
        <f>IF(OR(CI$4="",$B30=""),0,SUMIF('DADOS BRUTOS'!$A$3:$A$500,$B30,'DADOS BRUTOS'!I$3:I$500)+IF($C30="",0,SUMIF('DADOS BRUTOS'!$A$3:$A$500,$C30,'DADOS BRUTOS'!I$3:I$500)))</f>
        <v/>
      </c>
      <c r="CJ30" s="56">
        <f>IF(OR(CJ$4="",$B30=""),0,SUMIF('DADOS BRUTOS'!$A$3:$A$500,$B30,'DADOS BRUTOS'!J$3:J$500)+IF($C30="",0,SUMIF('DADOS BRUTOS'!$A$3:$A$500,$C30,'DADOS BRUTOS'!J$3:J$500)))</f>
        <v/>
      </c>
      <c r="CK30" s="56">
        <f>IF(OR(CK$4="",$B30=""),0,SUMIF('DADOS BRUTOS'!$A$3:$A$500,$B30,'DADOS BRUTOS'!K$3:K$500)+IF($C30="",0,SUMIF('DADOS BRUTOS'!$A$3:$A$500,$C30,'DADOS BRUTOS'!K$3:K$500)))</f>
        <v/>
      </c>
      <c r="CL30" s="56">
        <f>IF(OR(CL$4="",$B30=""),0,SUMIF('DADOS BRUTOS'!$A$3:$A$500,$B30,'DADOS BRUTOS'!L$3:L$500)+IF($C30="",0,SUMIF('DADOS BRUTOS'!$A$3:$A$500,$C30,'DADOS BRUTOS'!L$3:L$500)))</f>
        <v/>
      </c>
      <c r="CM30" s="56">
        <f>IF(OR(CM$4="",$B30=""),0,SUMIF('DADOS BRUTOS'!$A$3:$A$500,$B30,'DADOS BRUTOS'!M$3:M$500)+IF($C30="",0,SUMIF('DADOS BRUTOS'!$A$3:$A$500,$C30,'DADOS BRUTOS'!M$3:M$500)))</f>
        <v/>
      </c>
      <c r="CN30" s="56">
        <f>IF(OR(CN$4="",$B30=""),0,SUMIF('DADOS BRUTOS'!$A$3:$A$500,$B30,'DADOS BRUTOS'!N$3:N$500)+IF($C30="",0,SUMIF('DADOS BRUTOS'!$A$3:$A$500,$C30,'DADOS BRUTOS'!N$3:N$500)))</f>
        <v/>
      </c>
      <c r="CO30" s="56">
        <f>IF(OR(CO$4="",$B30=""),0,SUMIF('DADOS BRUTOS'!$A$3:$A$500,$B30,'DADOS BRUTOS'!O$3:O$500)+IF($C30="",0,SUMIF('DADOS BRUTOS'!$A$3:$A$500,$C30,'DADOS BRUTOS'!O$3:O$500)))</f>
        <v/>
      </c>
      <c r="CP30" s="56">
        <f>IF(OR(CP$4="",$B30=""),0,SUMIF('DADOS BRUTOS'!$A$3:$A$500,$B30,'DADOS BRUTOS'!P$3:P$500)+IF($C30="",0,SUMIF('DADOS BRUTOS'!$A$3:$A$500,$C30,'DADOS BRUTOS'!P$3:P$500)))</f>
        <v/>
      </c>
      <c r="CQ30" s="56">
        <f>IF(OR(CQ$4="",$B30=""),0,SUMIF('DADOS BRUTOS'!$A$3:$A$500,$B30,'DADOS BRUTOS'!Q$3:Q$500)+IF($C30="",0,SUMIF('DADOS BRUTOS'!$A$3:$A$500,$C30,'DADOS BRUTOS'!Q$3:Q$500)))</f>
        <v/>
      </c>
      <c r="CR30" s="56">
        <f>IF(OR(CR$4="",$B30=""),0,SUMIF('DADOS BRUTOS'!$A$3:$A$500,$B30,'DADOS BRUTOS'!R$3:R$500)+IF($C30="",0,SUMIF('DADOS BRUTOS'!$A$3:$A$500,$C30,'DADOS BRUTOS'!R$3:R$500)))</f>
        <v/>
      </c>
      <c r="CS30" s="56">
        <f>IF(OR(CS$4="",$B30=""),0,SUMIF('DADOS BRUTOS'!$A$3:$A$500,$B30,'DADOS BRUTOS'!S$3:S$500)+IF($C30="",0,SUMIF('DADOS BRUTOS'!$A$3:$A$500,$C30,'DADOS BRUTOS'!S$3:S$500)))</f>
        <v/>
      </c>
      <c r="CT30" s="56">
        <f>IF(OR(CT$4="",$B30=""),0,SUMIF('DADOS BRUTOS'!$A$3:$A$500,$B30,'DADOS BRUTOS'!T$3:T$500)+IF($C30="",0,SUMIF('DADOS BRUTOS'!$A$3:$A$500,$C30,'DADOS BRUTOS'!T$3:T$500)))</f>
        <v/>
      </c>
      <c r="CU30" s="56">
        <f>IF(OR(CU$4="",$B30=""),0,SUMIF('DADOS BRUTOS'!$A$3:$A$500,$B30,'DADOS BRUTOS'!U$3:U$500)+IF($C30="",0,SUMIF('DADOS BRUTOS'!$A$3:$A$500,$C30,'DADOS BRUTOS'!U$3:U$500)))</f>
        <v/>
      </c>
      <c r="CV30" s="56">
        <f>IF(OR(CV$4="",$B30=""),0,SUMIF('DADOS BRUTOS'!$A$3:$A$500,$B30,'DADOS BRUTOS'!V$3:V$500)+IF($C30="",0,SUMIF('DADOS BRUTOS'!$A$3:$A$500,$C30,'DADOS BRUTOS'!V$3:V$500)))</f>
        <v/>
      </c>
      <c r="CW30" s="56">
        <f>IF(OR(CW$4="",$B30=""),0,SUMIF('DADOS BRUTOS'!$A$3:$A$500,$B30,'DADOS BRUTOS'!W$3:W$500)+IF($C30="",0,SUMIF('DADOS BRUTOS'!$A$3:$A$500,$C30,'DADOS BRUTOS'!W$3:W$500)))</f>
        <v/>
      </c>
      <c r="CX30" s="56">
        <f>IF(OR(CX$4="",$B30=""),0,SUMIF('DADOS BRUTOS'!$A$3:$A$500,$B30,'DADOS BRUTOS'!X$3:X$500)+IF($C30="",0,SUMIF('DADOS BRUTOS'!$A$3:$A$500,$C30,'DADOS BRUTOS'!X$3:X$500)))</f>
        <v/>
      </c>
      <c r="CY30" s="56">
        <f>IF(OR(CY$4="",$B30=""),0,SUMIF('DADOS BRUTOS'!$A$3:$A$500,$B30,'DADOS BRUTOS'!Y$3:Y$500)+IF($C30="",0,SUMIF('DADOS BRUTOS'!$A$3:$A$500,$C30,'DADOS BRUTOS'!Y$3:Y$500)))</f>
        <v/>
      </c>
      <c r="CZ30" s="56">
        <f>IF(OR(CZ$4="",$B30=""),0,SUMIF('DADOS BRUTOS'!$A$3:$A$500,$B30,'DADOS BRUTOS'!Z$3:Z$500)+IF($C30="",0,SUMIF('DADOS BRUTOS'!$A$3:$A$500,$C30,'DADOS BRUTOS'!Z$3:Z$500)))</f>
        <v/>
      </c>
      <c r="DA30" s="56">
        <f>IF(OR(DA$4="",$B30=""),0,SUMIF('DADOS BRUTOS'!$A$3:$A$500,$B30,'DADOS BRUTOS'!AA$3:AA$500)+IF($C30="",0,SUMIF('DADOS BRUTOS'!$A$3:$A$500,$C30,'DADOS BRUTOS'!AA$3:AA$500)))</f>
        <v/>
      </c>
      <c r="DB30" s="56">
        <f>IF(OR(DB$4="",$B30=""),0,SUMIF('DADOS BRUTOS'!$A$3:$A$500,$B30,'DADOS BRUTOS'!AB$3:AB$500)+IF($C30="",0,SUMIF('DADOS BRUTOS'!$A$3:$A$500,$C30,'DADOS BRUTOS'!AB$3:AB$500)))</f>
        <v/>
      </c>
      <c r="DC30" s="56">
        <f>IF(OR(DC$4="",$B30=""),0,SUMIF('DADOS BRUTOS'!$A$3:$A$500,$B30,'DADOS BRUTOS'!AC$3:AC$500)+IF($C30="",0,SUMIF('DADOS BRUTOS'!$A$3:$A$500,$C30,'DADOS BRUTOS'!AC$3:AC$500)))</f>
        <v/>
      </c>
      <c r="DD30" s="56">
        <f>IF(OR(DD$4="",$B30=""),0,SUMIF('DADOS BRUTOS'!$A$3:$A$500,$B30,'DADOS BRUTOS'!AD$3:AD$500)+IF($C30="",0,SUMIF('DADOS BRUTOS'!$A$3:$A$500,$C30,'DADOS BRUTOS'!AD$3:AD$500)))</f>
        <v/>
      </c>
      <c r="DE30" s="56">
        <f>IF(OR(DE$4="",$B30=""),0,SUMIF('DADOS BRUTOS'!$A$3:$A$500,$B30,'DADOS BRUTOS'!AE$3:AE$500)+IF($C30="",0,SUMIF('DADOS BRUTOS'!$A$3:$A$500,$C30,'DADOS BRUTOS'!AE$3:AE$500)))</f>
        <v/>
      </c>
      <c r="DF30" s="56">
        <f>IF(OR(DF$4="",$B30=""),0,SUMIF('DADOS BRUTOS'!$A$3:$A$500,$B30,'DADOS BRUTOS'!AF$3:AF$500)+IF($C30="",0,SUMIF('DADOS BRUTOS'!$A$3:$A$500,$C30,'DADOS BRUTOS'!AF$3:AF$500)))</f>
        <v/>
      </c>
      <c r="DG30" s="56">
        <f>IF(OR(DG$4="",$B30=""),0,SUMIF('DADOS BRUTOS'!$A$3:$A$500,$B30,'DADOS BRUTOS'!AG$3:AG$500)+IF($C30="",0,SUMIF('DADOS BRUTOS'!$A$3:$A$500,$C30,'DADOS BRUTOS'!AG$3:AG$500)))</f>
        <v/>
      </c>
      <c r="DH30" s="56">
        <f>IF(OR(DH$4="",$B30=""),0,SUMIF('DADOS BRUTOS'!$A$3:$A$500,$B30,'DADOS BRUTOS'!AH$3:AH$500)+IF($C30="",0,SUMIF('DADOS BRUTOS'!$A$3:$A$500,$C30,'DADOS BRUTOS'!AH$3:AH$500)))</f>
        <v/>
      </c>
      <c r="DI30" s="56">
        <f>IF(OR(DI$4="",$B30=""),0,SUMIF('DADOS BRUTOS'!$A$3:$A$500,$B30,'DADOS BRUTOS'!AI$3:AI$500)+IF($C30="",0,SUMIF('DADOS BRUTOS'!$A$3:$A$500,$C30,'DADOS BRUTOS'!AI$3:AI$500)))</f>
        <v/>
      </c>
      <c r="DJ30" s="56">
        <f>IF(OR(DJ$4="",$B30=""),0,SUMIF('DADOS BRUTOS'!$A$3:$A$500,$B30,'DADOS BRUTOS'!AJ$3:AJ$500)+IF($C30="",0,SUMIF('DADOS BRUTOS'!$A$3:$A$500,$C30,'DADOS BRUTOS'!AJ$3:AJ$500)))</f>
        <v/>
      </c>
      <c r="DK30" s="56">
        <f>IF(OR(DK$4="",$B30=""),0,SUMIF('DADOS BRUTOS'!$A$3:$A$500,$B30,'DADOS BRUTOS'!AK$3:AK$500)+IF($C30="",0,SUMIF('DADOS BRUTOS'!$A$3:$A$500,$C30,'DADOS BRUTOS'!AK$3:AK$500)))</f>
        <v/>
      </c>
      <c r="DL30" s="56">
        <f>IF(OR(DL$4="",$B30=""),0,SUMIF('DADOS BRUTOS'!$A$3:$A$500,$B30,'DADOS BRUTOS'!AL$3:AL$500)+IF($C30="",0,SUMIF('DADOS BRUTOS'!$A$3:$A$500,$C30,'DADOS BRUTOS'!AL$3:AL$500)))</f>
        <v/>
      </c>
      <c r="DM30" s="56">
        <f>IF(OR(DM$4="",$B30=""),0,SUMIF('DADOS BRUTOS'!$A$3:$A$500,$B30,'DADOS BRUTOS'!AM$3:AM$500)+IF($C30="",0,SUMIF('DADOS BRUTOS'!$A$3:$A$500,$C30,'DADOS BRUTOS'!AM$3:AM$500)))</f>
        <v/>
      </c>
      <c r="DN30" s="56">
        <f>IF(OR(DN$4="",$B30=""),0,SUMIF('DADOS BRUTOS'!$A$3:$A$500,$B30,'DADOS BRUTOS'!AN$3:AN$500)+IF($C30="",0,SUMIF('DADOS BRUTOS'!$A$3:$A$500,$C30,'DADOS BRUTOS'!AN$3:AN$500)))</f>
        <v/>
      </c>
      <c r="DO30" s="56">
        <f>IF(OR(DO$4="",$B30=""),0,SUMIF('DADOS BRUTOS'!$A$3:$A$500,$B30,'DADOS BRUTOS'!AO$3:AO$500)+IF($C30="",0,SUMIF('DADOS BRUTOS'!$A$3:$A$500,$C30,'DADOS BRUTOS'!AO$3:AO$500)))</f>
        <v/>
      </c>
      <c r="DP30" s="56">
        <f>IF(OR(DP$4="",$B30=""),0,SUMIF('DADOS BRUTOS'!$A$3:$A$500,$B30,'DADOS BRUTOS'!AP$3:AP$500)+IF($C30="",0,SUMIF('DADOS BRUTOS'!$A$3:$A$500,$C30,'DADOS BRUTOS'!AP$3:AP$500)))</f>
        <v/>
      </c>
      <c r="DQ30" s="56">
        <f>IF(OR(DQ$4="",$B30=""),0,SUMIF('DADOS BRUTOS'!$A$3:$A$500,$B30,'DADOS BRUTOS'!AQ$3:AQ$500)+IF($C30="",0,SUMIF('DADOS BRUTOS'!$A$3:$A$500,$C30,'DADOS BRUTOS'!AQ$3:AQ$500)))</f>
        <v/>
      </c>
      <c r="DR30" s="56">
        <f>IF(OR(DR$4="",$B30=""),0,SUMIF('DADOS BRUTOS'!$A$3:$A$500,$B30,'DADOS BRUTOS'!AR$3:AR$500)+IF($C30="",0,SUMIF('DADOS BRUTOS'!$A$3:$A$500,$C30,'DADOS BRUTOS'!AR$3:AR$500)))</f>
        <v/>
      </c>
      <c r="DS30" s="56">
        <f>IF(OR(DS$4="",$B30=""),0,SUMIF('DADOS BRUTOS'!$A$3:$A$500,$B30,'DADOS BRUTOS'!AS$3:AS$500)+IF($C30="",0,SUMIF('DADOS BRUTOS'!$A$3:$A$500,$C30,'DADOS BRUTOS'!AS$3:AS$500)))</f>
        <v/>
      </c>
      <c r="DT30" s="56">
        <f>IF(OR(DT$4="",$B30=""),0,SUMIF('DADOS BRUTOS'!$A$3:$A$500,$B30,'DADOS BRUTOS'!AT$3:AT$500)+IF($C30="",0,SUMIF('DADOS BRUTOS'!$A$3:$A$500,$C30,'DADOS BRUTOS'!AT$3:AT$500)))</f>
        <v/>
      </c>
      <c r="DU30" s="56">
        <f>IF(OR(DU$4="",$B30=""),0,SUMIF('DADOS BRUTOS'!$A$3:$A$500,$B30,'DADOS BRUTOS'!AU$3:AU$500)+IF($C30="",0,SUMIF('DADOS BRUTOS'!$A$3:$A$500,$C30,'DADOS BRUTOS'!AU$3:AU$500)))</f>
        <v/>
      </c>
      <c r="DV30" s="56">
        <f>IF(OR(DV$4="",$B30=""),0,SUMIF('DADOS BRUTOS'!$A$3:$A$500,$B30,'DADOS BRUTOS'!AV$3:AV$500)+IF($C30="",0,SUMIF('DADOS BRUTOS'!$A$3:$A$500,$C30,'DADOS BRUTOS'!AV$3:AV$500)))</f>
        <v/>
      </c>
      <c r="DW30" s="56">
        <f>IF(OR(DW$4="",$B30=""),0,SUMIF('DADOS BRUTOS'!$A$3:$A$500,$B30,'DADOS BRUTOS'!AW$3:AW$500)+IF($C30="",0,SUMIF('DADOS BRUTOS'!$A$3:$A$500,$C30,'DADOS BRUTOS'!AW$3:AW$500)))</f>
        <v/>
      </c>
      <c r="DX30" s="56">
        <f>IF(OR(DX$4="",$B30=""),0,SUMIF('DADOS BRUTOS'!$A$3:$A$500,$B30,'DADOS BRUTOS'!AX$3:AX$500)+IF($C30="",0,SUMIF('DADOS BRUTOS'!$A$3:$A$500,$C30,'DADOS BRUTOS'!AX$3:AX$500)))</f>
        <v/>
      </c>
      <c r="DY30" s="56">
        <f>IF(OR(DY$4="",$B30=""),0,SUMIF('DADOS BRUTOS'!$A$3:$A$500,$B30,'DADOS BRUTOS'!AY$3:AY$500)+IF($C30="",0,SUMIF('DADOS BRUTOS'!$A$3:$A$500,$C30,'DADOS BRUTOS'!AY$3:AY$500)))</f>
        <v/>
      </c>
      <c r="DZ30" s="56">
        <f>IF(OR(DZ$4="",$B30=""),0,SUMIF('DADOS BRUTOS'!$A$3:$A$500,$B30,'DADOS BRUTOS'!AZ$3:AZ$500)+IF($C30="",0,SUMIF('DADOS BRUTOS'!$A$3:$A$500,$C30,'DADOS BRUTOS'!AZ$3:AZ$500)))</f>
        <v/>
      </c>
      <c r="EA30" s="56">
        <f>IF(OR(EA$4="",$B30=""),0,SUMIF('DADOS BRUTOS'!$A$3:$A$500,$B30,'DADOS BRUTOS'!BA$3:BA$500)+IF($C30="",0,SUMIF('DADOS BRUTOS'!$A$3:$A$500,$C30,'DADOS BRUTOS'!BA$3:BA$500)))</f>
        <v/>
      </c>
      <c r="EB30" s="56">
        <f>IF(OR(EB$4="",$B30=""),0,SUMIF('DADOS BRUTOS'!$A$3:$A$500,$B30,'DADOS BRUTOS'!BB$3:BB$500)+IF($C30="",0,SUMIF('DADOS BRUTOS'!$A$3:$A$500,$C30,'DADOS BRUTOS'!BB$3:BB$500)))</f>
        <v/>
      </c>
      <c r="EC30" s="56">
        <f>IF(OR(EC$4="",$B30=""),0,SUMIF('DADOS BRUTOS'!$A$3:$A$500,$B30,'DADOS BRUTOS'!BC$3:BC$500)+IF($C30="",0,SUMIF('DADOS BRUTOS'!$A$3:$A$500,$C30,'DADOS BRUTOS'!BC$3:BC$500)))</f>
        <v/>
      </c>
      <c r="ED30" s="56">
        <f>IF(OR(ED$4="",$B30=""),0,SUMIF('DADOS BRUTOS'!$A$3:$A$500,$B30,'DADOS BRUTOS'!BD$3:BD$500)+IF($C30="",0,SUMIF('DADOS BRUTOS'!$A$3:$A$500,$C30,'DADOS BRUTOS'!BD$3:BD$500)))</f>
        <v/>
      </c>
      <c r="EE30" s="56">
        <f>IF(OR(EE$4="",$B30=""),0,SUMIF('DADOS BRUTOS'!$A$3:$A$500,$B30,'DADOS BRUTOS'!BE$3:BE$500)+IF($C30="",0,SUMIF('DADOS BRUTOS'!$A$3:$A$500,$C30,'DADOS BRUTOS'!BE$3:BE$500)))</f>
        <v/>
      </c>
      <c r="EF30" s="56">
        <f>IF(OR(EF$4="",$B30=""),0,SUMIF('DADOS BRUTOS'!$A$3:$A$500,$B30,'DADOS BRUTOS'!BF$3:BF$500)+IF($C30="",0,SUMIF('DADOS BRUTOS'!$A$3:$A$500,$C30,'DADOS BRUTOS'!BF$3:BF$500)))</f>
        <v/>
      </c>
      <c r="EG30" s="56">
        <f>IF(OR(EG$4="",$B30=""),0,SUMIF('DADOS BRUTOS'!$A$3:$A$500,$B30,'DADOS BRUTOS'!BG$3:BG$500)+IF($C30="",0,SUMIF('DADOS BRUTOS'!$A$3:$A$500,$C30,'DADOS BRUTOS'!BG$3:BG$500)))</f>
        <v/>
      </c>
      <c r="EH30" s="56">
        <f>IF(OR(EH$4="",$B30=""),0,SUMIF('DADOS BRUTOS'!$A$3:$A$500,$B30,'DADOS BRUTOS'!BH$3:BH$500)+IF($C30="",0,SUMIF('DADOS BRUTOS'!$A$3:$A$500,$C30,'DADOS BRUTOS'!BH$3:BH$500)))</f>
        <v/>
      </c>
      <c r="EI30" s="56">
        <f>IF(OR(EI$4="",$B30=""),0,SUMIF('DADOS BRUTOS'!$A$3:$A$500,$B30,'DADOS BRUTOS'!BI$3:BI$500)+IF($C30="",0,SUMIF('DADOS BRUTOS'!$A$3:$A$500,$C30,'DADOS BRUTOS'!BI$3:BI$500)))</f>
        <v/>
      </c>
      <c r="EJ30" s="56">
        <f>IF(OR(EJ$4="",$B30=""),0,SUMIF('DADOS BRUTOS'!$A$3:$A$500,$B30,'DADOS BRUTOS'!BJ$3:BJ$500)+IF($C30="",0,SUMIF('DADOS BRUTOS'!$A$3:$A$500,$C30,'DADOS BRUTOS'!BJ$3:BJ$500)))</f>
        <v/>
      </c>
      <c r="EK30" s="56">
        <f>IF(OR(EK$4="",$B30=""),0,SUMIF('DADOS BRUTOS'!$A$3:$A$500,$B30,'DADOS BRUTOS'!BK$3:BK$500)+IF($C30="",0,SUMIF('DADOS BRUTOS'!$A$3:$A$500,$C30,'DADOS BRUTOS'!BK$3:BK$500)))</f>
        <v/>
      </c>
      <c r="EL30" s="56">
        <f>IF(OR(EL$4="",$B30=""),0,SUMIF('DADOS BRUTOS'!$A$3:$A$500,$B30,'DADOS BRUTOS'!BL$3:BL$500)+IF($C30="",0,SUMIF('DADOS BRUTOS'!$A$3:$A$500,$C30,'DADOS BRUTOS'!BL$3:BL$500)))</f>
        <v/>
      </c>
      <c r="EM30" s="56">
        <f>IF(OR(EM$4="",$B30=""),0,SUMIF('DADOS BRUTOS'!$A$3:$A$500,$B30,'DADOS BRUTOS'!BM$3:BM$500)+IF($C30="",0,SUMIF('DADOS BRUTOS'!$A$3:$A$500,$C30,'DADOS BRUTOS'!BM$3:BM$500)))</f>
        <v/>
      </c>
      <c r="EN30" s="56">
        <f>IF(OR(EN$4="",$B30=""),0,SUMIF('DADOS BRUTOS'!$A$3:$A$500,$B30,'DADOS BRUTOS'!BN$3:BN$500)+IF($C30="",0,SUMIF('DADOS BRUTOS'!$A$3:$A$500,$C30,'DADOS BRUTOS'!BN$3:BN$500)))</f>
        <v/>
      </c>
      <c r="EO30" s="56">
        <f>IF(OR(EO$4="",$B30=""),0,SUMIF('DADOS BRUTOS'!$A$3:$A$500,$B30,'DADOS BRUTOS'!BO$3:BO$500)+IF($C30="",0,SUMIF('DADOS BRUTOS'!$A$3:$A$500,$C30,'DADOS BRUTOS'!BO$3:BO$500)))</f>
        <v/>
      </c>
      <c r="EP30" s="56">
        <f>IF(OR(EP$4="",$B30=""),0,SUMIF('DADOS BRUTOS'!$A$3:$A$500,$B30,'DADOS BRUTOS'!BP$3:BP$500)+IF($C30="",0,SUMIF('DADOS BRUTOS'!$A$3:$A$500,$C30,'DADOS BRUTOS'!BP$3:BP$500)))</f>
        <v/>
      </c>
      <c r="EQ30" s="56">
        <f>IF(OR(EQ$4="",$B30=""),0,SUMIF('DADOS BRUTOS'!$A$3:$A$500,$B30,'DADOS BRUTOS'!BQ$3:BQ$500)+IF($C30="",0,SUMIF('DADOS BRUTOS'!$A$3:$A$500,$C30,'DADOS BRUTOS'!BQ$3:BQ$500)))</f>
        <v/>
      </c>
      <c r="ER30" s="56">
        <f>IF(OR(ER$4="",$B30=""),0,SUMIF('DADOS BRUTOS'!$A$3:$A$500,$B30,'DADOS BRUTOS'!BR$3:BR$500)+IF($C30="",0,SUMIF('DADOS BRUTOS'!$A$3:$A$500,$C30,'DADOS BRUTOS'!BR$3:BR$500)))</f>
        <v/>
      </c>
      <c r="ES30" s="56">
        <f>IF(OR(ES$4="",$B30=""),0,SUMIF('DADOS BRUTOS'!$A$3:$A$500,$B30,'DADOS BRUTOS'!BS$3:BS$500)+IF($C30="",0,SUMIF('DADOS BRUTOS'!$A$3:$A$500,$C30,'DADOS BRUTOS'!BS$3:BS$500)))</f>
        <v/>
      </c>
      <c r="ET30" s="56">
        <f>IF(OR(ET$4="",$B30=""),0,SUMIF('DADOS BRUTOS'!$A$3:$A$500,$B30,'DADOS BRUTOS'!BT$3:BT$500)+IF($C30="",0,SUMIF('DADOS BRUTOS'!$A$3:$A$500,$C30,'DADOS BRUTOS'!BT$3:BT$500)))</f>
        <v/>
      </c>
      <c r="EU30" s="56">
        <f>IF(OR(EU$4="",$B30=""),0,SUMIF('DADOS BRUTOS'!$A$3:$A$500,$B30,'DADOS BRUTOS'!BU$3:BU$500)+IF($C30="",0,SUMIF('DADOS BRUTOS'!$A$3:$A$500,$C30,'DADOS BRUTOS'!BU$3:BU$500)))</f>
        <v/>
      </c>
      <c r="EV30" s="56">
        <f>IF(OR(EV$4="",$B30=""),0,SUMIF('DADOS BRUTOS'!$A$3:$A$500,$B30,'DADOS BRUTOS'!BV$3:BV$500)+IF($C30="",0,SUMIF('DADOS BRUTOS'!$A$3:$A$500,$C30,'DADOS BRUTOS'!BV$3:BV$500)))</f>
        <v/>
      </c>
      <c r="EW30" s="56">
        <f>IF(OR(EW$4="",$B30=""),0,SUMIF('DADOS BRUTOS'!$A$3:$A$500,$B30,'DADOS BRUTOS'!BW$3:BW$500)+IF($C30="",0,SUMIF('DADOS BRUTOS'!$A$3:$A$500,$C30,'DADOS BRUTOS'!BW$3:BW$500)))</f>
        <v/>
      </c>
      <c r="EX30" s="56">
        <f>IF(OR(EX$4="",$B30=""),0,SUMIF('DADOS BRUTOS'!$A$3:$A$500,$B30,'DADOS BRUTOS'!BX$3:BX$500)+IF($C30="",0,SUMIF('DADOS BRUTOS'!$A$3:$A$500,$C30,'DADOS BRUTOS'!BX$3:BX$500)))</f>
        <v/>
      </c>
      <c r="EY30" s="56">
        <f>IF(OR(EY$4="",$B30=""),0,SUMIF('DADOS BRUTOS'!$A$3:$A$500,$B30,'DADOS BRUTOS'!BY$3:BY$500)+IF($C30="",0,SUMIF('DADOS BRUTOS'!$A$3:$A$500,$C30,'DADOS BRUTOS'!BY$3:BY$500)))</f>
        <v/>
      </c>
      <c r="EZ30" s="56">
        <f>IF(OR(EZ$4="",$B30=""),0,SUMIF('DADOS BRUTOS'!$A$3:$A$500,$B30,'DADOS BRUTOS'!BZ$3:BZ$500)+IF($C30="",0,SUMIF('DADOS BRUTOS'!$A$3:$A$500,$C30,'DADOS BRUTOS'!BZ$3:BZ$500)))</f>
        <v/>
      </c>
      <c r="FA30" s="56">
        <f>IF(OR(FA$4="",$B30=""),0,SUMIF('DADOS BRUTOS'!$A$3:$A$500,$B30,'DADOS BRUTOS'!CA$3:CA$500)+IF($C30="",0,SUMIF('DADOS BRUTOS'!$A$3:$A$500,$C30,'DADOS BRUTOS'!CA$3:CA$500)))</f>
        <v/>
      </c>
      <c r="FB30" s="56">
        <f>IF(OR(FB$4="",$B30=""),0,SUMIF('DADOS BRUTOS'!$A$3:$A$500,$B30,'DADOS BRUTOS'!CB$3:CB$500)+IF($C30="",0,SUMIF('DADOS BRUTOS'!$A$3:$A$500,$C30,'DADOS BRUTOS'!CB$3:CB$500)))</f>
        <v/>
      </c>
      <c r="FC30" s="56">
        <f>IF(OR(FC$4="",$B30=""),0,SUMIF('DADOS BRUTOS'!$A$3:$A$500,$B30,'DADOS BRUTOS'!CC$3:CC$500)+IF($C30="",0,SUMIF('DADOS BRUTOS'!$A$3:$A$500,$C30,'DADOS BRUTOS'!CC$3:CC$500)))</f>
        <v/>
      </c>
      <c r="FD30" s="56">
        <f>IF(OR(FD$4="",$B30=""),0,SUMIF('DADOS BRUTOS'!$A$3:$A$500,$B30,'DADOS BRUTOS'!CD$3:CD$500)+IF($C30="",0,SUMIF('DADOS BRUTOS'!$A$3:$A$500,$C30,'DADOS BRUTOS'!CD$3:CD$500)))</f>
        <v/>
      </c>
      <c r="FE30" s="56">
        <f>IF(OR(FE$4="",$B30=""),0,SUMIF('DADOS BRUTOS'!$A$3:$A$500,$B30,'DADOS BRUTOS'!CE$3:CE$500)+IF($C30="",0,SUMIF('DADOS BRUTOS'!$A$3:$A$500,$C30,'DADOS BRUTOS'!CE$3:CE$500)))</f>
        <v/>
      </c>
      <c r="FF30" s="56">
        <f>IF(OR(FF$4="",$B30=""),0,SUMIF('DADOS BRUTOS'!$A$3:$A$500,$B30,'DADOS BRUTOS'!CF$3:CF$500)+IF($C30="",0,SUMIF('DADOS BRUTOS'!$A$3:$A$500,$C30,'DADOS BRUTOS'!CF$3:CF$500)))</f>
        <v/>
      </c>
      <c r="FG30" s="56">
        <f>IF(OR(FG$4="",$B30=""),0,SUMIF('DADOS BRUTOS'!$A$3:$A$500,$B30,'DADOS BRUTOS'!CG$3:CG$500)+IF($C30="",0,SUMIF('DADOS BRUTOS'!$A$3:$A$500,$C30,'DADOS BRUTOS'!CG$3:CG$500)))</f>
        <v/>
      </c>
      <c r="FH30" s="56">
        <f>IF(OR(FH$4="",$B30=""),0,SUMIF('DADOS BRUTOS'!$A$3:$A$500,$B30,'DADOS BRUTOS'!CH$3:CH$500)+IF($C30="",0,SUMIF('DADOS BRUTOS'!$A$3:$A$500,$C30,'DADOS BRUTOS'!CH$3:CH$500)))</f>
        <v/>
      </c>
      <c r="FI30" s="56">
        <f>IF(OR(FI$4="",$B30=""),0,SUMIF('DADOS BRUTOS'!$A$3:$A$500,$B30,'DADOS BRUTOS'!CI$3:CI$500)+IF($C30="",0,SUMIF('DADOS BRUTOS'!$A$3:$A$500,$C30,'DADOS BRUTOS'!CI$3:CI$500)))</f>
        <v/>
      </c>
      <c r="FJ30" s="56">
        <f>IF(OR(FJ$4="",$B30=""),0,SUMIF('DADOS BRUTOS'!$A$3:$A$500,$B30,'DADOS BRUTOS'!CJ$3:CJ$500)+IF($C30="",0,SUMIF('DADOS BRUTOS'!$A$3:$A$500,$C30,'DADOS BRUTOS'!CJ$3:CJ$500)))</f>
        <v/>
      </c>
      <c r="FK30" s="56">
        <f>IF(OR(FK$4="",$B30=""),0,SUMIF('DADOS BRUTOS'!$A$3:$A$500,$B30,'DADOS BRUTOS'!CK$3:CK$500)+IF($C30="",0,SUMIF('DADOS BRUTOS'!$A$3:$A$500,$C30,'DADOS BRUTOS'!CK$3:CK$500)))</f>
        <v/>
      </c>
      <c r="FL30" s="56">
        <f>IF(OR(FL$4="",$B30=""),0,SUMIF('DADOS BRUTOS'!$A$3:$A$500,$B30,'DADOS BRUTOS'!CL$3:CL$500)+IF($C30="",0,SUMIF('DADOS BRUTOS'!$A$3:$A$500,$C30,'DADOS BRUTOS'!CL$3:CL$500)))</f>
        <v/>
      </c>
      <c r="FM30" s="56">
        <f>IF(OR(FM$4="",$B30=""),0,SUMIF('DADOS BRUTOS'!$A$3:$A$500,$B30,'DADOS BRUTOS'!CM$3:CM$500)+IF($C30="",0,SUMIF('DADOS BRUTOS'!$A$3:$A$500,$C30,'DADOS BRUTOS'!CM$3:CM$500)))</f>
        <v/>
      </c>
      <c r="FN30" s="56">
        <f>IF(OR(FN$4="",$B30=""),0,SUMIF('DADOS BRUTOS'!$A$3:$A$500,$B30,'DADOS BRUTOS'!CN$3:CN$500)+IF($C30="",0,SUMIF('DADOS BRUTOS'!$A$3:$A$500,$C30,'DADOS BRUTOS'!CN$3:CN$500)))</f>
        <v/>
      </c>
      <c r="FO30" s="56">
        <f>IF(OR(FO$4="",$B30=""),0,SUMIF('DADOS BRUTOS'!$A$3:$A$500,$B30,'DADOS BRUTOS'!CO$3:CO$500)+IF($C30="",0,SUMIF('DADOS BRUTOS'!$A$3:$A$500,$C30,'DADOS BRUTOS'!CO$3:CO$500)))</f>
        <v/>
      </c>
      <c r="FP30" s="56">
        <f>IF(OR(FP$4="",$B30=""),0,SUMIF('DADOS BRUTOS'!$A$3:$A$500,$B30,'DADOS BRUTOS'!CP$3:CP$500)+IF($C30="",0,SUMIF('DADOS BRUTOS'!$A$3:$A$500,$C30,'DADOS BRUTOS'!CP$3:CP$500)))</f>
        <v/>
      </c>
      <c r="FQ30" s="56">
        <f>IF(OR(FQ$4="",$B30=""),0,SUMIF('DADOS BRUTOS'!$A$3:$A$500,$B30,'DADOS BRUTOS'!CQ$3:CQ$500)+IF($C30="",0,SUMIF('DADOS BRUTOS'!$A$3:$A$500,$C30,'DADOS BRUTOS'!CQ$3:CQ$500)))</f>
        <v/>
      </c>
      <c r="FR30" s="56">
        <f>IF(OR(FR$4="",$B30=""),0,SUMIF('DADOS BRUTOS'!$A$3:$A$500,$B30,'DADOS BRUTOS'!CR$3:CR$500)+IF($C30="",0,SUMIF('DADOS BRUTOS'!$A$3:$A$500,$C30,'DADOS BRUTOS'!CR$3:CR$500)))</f>
        <v/>
      </c>
      <c r="FS30" s="56">
        <f>IF(OR(FS$4="",$B30=""),0,SUMIF('DADOS BRUTOS'!$A$3:$A$500,$B30,'DADOS BRUTOS'!CS$3:CS$500)+IF($C30="",0,SUMIF('DADOS BRUTOS'!$A$3:$A$500,$C30,'DADOS BRUTOS'!CS$3:CS$500)))</f>
        <v/>
      </c>
      <c r="FT30" s="56">
        <f>IF(OR(FT$4="",$B30=""),0,SUMIF('DADOS BRUTOS'!$A$3:$A$500,$B30,'DADOS BRUTOS'!CT$3:CT$500)+IF($C30="",0,SUMIF('DADOS BRUTOS'!$A$3:$A$500,$C30,'DADOS BRUTOS'!CT$3:CT$500)))</f>
        <v/>
      </c>
      <c r="FU30" s="56">
        <f>IF(OR(FU$4="",$B30=""),0,SUMIF('DADOS BRUTOS'!$A$3:$A$500,$B30,'DADOS BRUTOS'!CU$3:CU$500)+IF($C30="",0,SUMIF('DADOS BRUTOS'!$A$3:$A$500,$C30,'DADOS BRUTOS'!CU$3:CU$500)))</f>
        <v/>
      </c>
      <c r="FV30" s="56">
        <f>IF(OR(FV$4="",$B30=""),0,SUMIF('DADOS BRUTOS'!$A$3:$A$500,$B30,'DADOS BRUTOS'!CV$3:CV$500)+IF($C30="",0,SUMIF('DADOS BRUTOS'!$A$3:$A$500,$C30,'DADOS BRUTOS'!CV$3:CV$500)))</f>
        <v/>
      </c>
      <c r="FW30" s="56">
        <f>IF(OR(FW$4="",$B30=""),0,SUMIF('DADOS BRUTOS'!$A$3:$A$500,$B30,'DADOS BRUTOS'!CW$3:CW$500)+IF($C30="",0,SUMIF('DADOS BRUTOS'!$A$3:$A$500,$C30,'DADOS BRUTOS'!CW$3:CW$500)))</f>
        <v/>
      </c>
      <c r="FX30" s="56">
        <f>IF(OR(FX$4="",$B30=""),0,SUMIF('DADOS BRUTOS'!$A$3:$A$500,$B30,'DADOS BRUTOS'!CX$3:CX$500)+IF($C30="",0,SUMIF('DADOS BRUTOS'!$A$3:$A$500,$C30,'DADOS BRUTOS'!CX$3:CX$500)))</f>
        <v/>
      </c>
      <c r="FY30" s="56">
        <f>IF(OR(FY$4="",$B30=""),0,SUMIF('DADOS BRUTOS'!$A$3:$A$500,$B30,'DADOS BRUTOS'!CY$3:CY$500)+IF($C30="",0,SUMIF('DADOS BRUTOS'!$A$3:$A$500,$C30,'DADOS BRUTOS'!CY$3:CY$500)))</f>
        <v/>
      </c>
      <c r="FZ30" s="56">
        <f>IF(OR(FZ$4="",$B30=""),0,SUMIF('DADOS BRUTOS'!$A$3:$A$500,$B30,'DADOS BRUTOS'!CZ$3:CZ$500)+IF($C30="",0,SUMIF('DADOS BRUTOS'!$A$3:$A$500,$C30,'DADOS BRUTOS'!CZ$3:CZ$500)))</f>
        <v/>
      </c>
      <c r="GA30" s="56">
        <f>IF(OR(GA$4="",$B30=""),0,SUMIF('DADOS BRUTOS'!$A$3:$A$500,$B30,'DADOS BRUTOS'!DA$3:DA$500)+IF($C30="",0,SUMIF('DADOS BRUTOS'!$A$3:$A$500,$C30,'DADOS BRUTOS'!DA$3:DA$500)))</f>
        <v/>
      </c>
      <c r="GB30" s="56">
        <f>IF(OR(GB$4="",$B30=""),0,SUMIF('DADOS BRUTOS'!$A$3:$A$500,$B30,'DADOS BRUTOS'!DB$3:DB$500)+IF($C30="",0,SUMIF('DADOS BRUTOS'!$A$3:$A$500,$C30,'DADOS BRUTOS'!DB$3:DB$500)))</f>
        <v/>
      </c>
      <c r="GC30" s="56">
        <f>IF(OR(GC$4="",$B30=""),0,SUMIF('DADOS BRUTOS'!$A$3:$A$500,$B30,'DADOS BRUTOS'!DC$3:DC$500)+IF($C30="",0,SUMIF('DADOS BRUTOS'!$A$3:$A$500,$C30,'DADOS BRUTOS'!DC$3:DC$500)))</f>
        <v/>
      </c>
      <c r="GD30" s="56">
        <f>IF(OR(GD$4="",$B30=""),0,SUMIF('DADOS BRUTOS'!$A$3:$A$500,$B30,'DADOS BRUTOS'!DD$3:DD$500)+IF($C30="",0,SUMIF('DADOS BRUTOS'!$A$3:$A$500,$C30,'DADOS BRUTOS'!DD$3:DD$500)))</f>
        <v/>
      </c>
      <c r="GE30" s="56">
        <f>IF(OR(GE$4="",$B30=""),0,SUMIF('DADOS BRUTOS'!$A$3:$A$500,$B30,'DADOS BRUTOS'!DE$3:DE$500)+IF($C30="",0,SUMIF('DADOS BRUTOS'!$A$3:$A$500,$C30,'DADOS BRUTOS'!DE$3:DE$500)))</f>
        <v/>
      </c>
      <c r="GF30" s="56">
        <f>IF(OR(GF$4="",$B30=""),0,SUMIF('DADOS BRUTOS'!$A$3:$A$500,$B30,'DADOS BRUTOS'!DF$3:DF$500)+IF($C30="",0,SUMIF('DADOS BRUTOS'!$A$3:$A$500,$C30,'DADOS BRUTOS'!DF$3:DF$500)))</f>
        <v/>
      </c>
      <c r="GG30" s="56">
        <f>IF(OR(GG$4="",$B30=""),0,SUMIF('DADOS BRUTOS'!$A$3:$A$500,$B30,'DADOS BRUTOS'!DG$3:DG$500)+IF($C30="",0,SUMIF('DADOS BRUTOS'!$A$3:$A$500,$C30,'DADOS BRUTOS'!DG$3:DG$500)))</f>
        <v/>
      </c>
      <c r="GH30" s="56">
        <f>IF(OR(GH$4="",$B30=""),0,SUMIF('DADOS BRUTOS'!$A$3:$A$500,$B30,'DADOS BRUTOS'!DH$3:DH$500)+IF($C30="",0,SUMIF('DADOS BRUTOS'!$A$3:$A$500,$C30,'DADOS BRUTOS'!DH$3:DH$500)))</f>
        <v/>
      </c>
      <c r="GI30" s="56">
        <f>IF(OR(GI$4="",$B30=""),0,SUMIF('DADOS BRUTOS'!$A$3:$A$500,$B30,'DADOS BRUTOS'!DI$3:DI$500)+IF($C30="",0,SUMIF('DADOS BRUTOS'!$A$3:$A$500,$C30,'DADOS BRUTOS'!DI$3:DI$500)))</f>
        <v/>
      </c>
      <c r="GJ30" s="56">
        <f>IF(OR(GJ$4="",$B30=""),0,SUMIF('DADOS BRUTOS'!$A$3:$A$500,$B30,'DADOS BRUTOS'!DJ$3:DJ$500)+IF($C30="",0,SUMIF('DADOS BRUTOS'!$A$3:$A$500,$C30,'DADOS BRUTOS'!DJ$3:DJ$500)))</f>
        <v/>
      </c>
      <c r="GK30" s="56">
        <f>IF(OR(GK$4="",$B30=""),0,SUMIF('DADOS BRUTOS'!$A$3:$A$500,$B30,'DADOS BRUTOS'!DK$3:DK$500)+IF($C30="",0,SUMIF('DADOS BRUTOS'!$A$3:$A$500,$C30,'DADOS BRUTOS'!DK$3:DK$500)))</f>
        <v/>
      </c>
      <c r="GL30" s="56">
        <f>IF(OR(GL$4="",$B30=""),0,SUMIF('DADOS BRUTOS'!$A$3:$A$500,$B30,'DADOS BRUTOS'!DL$3:DL$500)+IF($C30="",0,SUMIF('DADOS BRUTOS'!$A$3:$A$500,$C30,'DADOS BRUTOS'!DL$3:DL$500)))</f>
        <v/>
      </c>
      <c r="GM30" s="56">
        <f>IF(OR(GM$4="",$B30=""),0,SUMIF('DADOS BRUTOS'!$A$3:$A$500,$B30,'DADOS BRUTOS'!DM$3:DM$500)+IF($C30="",0,SUMIF('DADOS BRUTOS'!$A$3:$A$500,$C30,'DADOS BRUTOS'!DM$3:DM$500)))</f>
        <v/>
      </c>
      <c r="GN30" s="56">
        <f>IF(OR(GN$4="",$B30=""),0,SUMIF('DADOS BRUTOS'!$A$3:$A$500,$B30,'DADOS BRUTOS'!DN$3:DN$500)+IF($C30="",0,SUMIF('DADOS BRUTOS'!$A$3:$A$500,$C30,'DADOS BRUTOS'!DN$3:DN$500)))</f>
        <v/>
      </c>
      <c r="GO30" s="56">
        <f>IF(OR(GO$4="",$B30=""),0,SUMIF('DADOS BRUTOS'!$A$3:$A$500,$B30,'DADOS BRUTOS'!DO$3:DO$500)+IF($C30="",0,SUMIF('DADOS BRUTOS'!$A$3:$A$500,$C30,'DADOS BRUTOS'!DO$3:DO$500)))</f>
        <v/>
      </c>
      <c r="GP30" s="56">
        <f>IF(OR(GP$4="",$B30=""),0,SUMIF('DADOS BRUTOS'!$A$3:$A$500,$B30,'DADOS BRUTOS'!DP$3:DP$500)+IF($C30="",0,SUMIF('DADOS BRUTOS'!$A$3:$A$500,$C30,'DADOS BRUTOS'!DP$3:DP$500)))</f>
        <v/>
      </c>
      <c r="GQ30" s="56">
        <f>IF(OR(GQ$4="",$B30=""),0,SUMIF('DADOS BRUTOS'!$A$3:$A$500,$B30,'DADOS BRUTOS'!DQ$3:DQ$500)+IF($C30="",0,SUMIF('DADOS BRUTOS'!$A$3:$A$500,$C30,'DADOS BRUTOS'!DQ$3:DQ$500)))</f>
        <v/>
      </c>
      <c r="GR30" s="56">
        <f>IF(OR(GR$4="",$B30=""),0,SUMIF('DADOS BRUTOS'!$A$3:$A$500,$B30,'DADOS BRUTOS'!DR$3:DR$500)+IF($C30="",0,SUMIF('DADOS BRUTOS'!$A$3:$A$500,$C30,'DADOS BRUTOS'!DR$3:DR$500)))</f>
        <v/>
      </c>
      <c r="GS30" s="56">
        <f>IF(OR(GS$4="",$B30=""),0,SUMIF('DADOS BRUTOS'!$A$3:$A$500,$B30,'DADOS BRUTOS'!DS$3:DS$500)+IF($C30="",0,SUMIF('DADOS BRUTOS'!$A$3:$A$500,$C30,'DADOS BRUTOS'!DS$3:DS$500)))</f>
        <v/>
      </c>
      <c r="GT30" s="56">
        <f>IF(OR(GT$4="",$B30=""),0,SUMIF('DADOS BRUTOS'!$A$3:$A$500,$B30,'DADOS BRUTOS'!DT$3:DT$500)+IF($C30="",0,SUMIF('DADOS BRUTOS'!$A$3:$A$500,$C30,'DADOS BRUTOS'!DT$3:DT$500)))</f>
        <v/>
      </c>
      <c r="GU30" s="56">
        <f>IF(OR(GU$4="",$B30=""),0,SUMIF('DADOS BRUTOS'!$A$3:$A$500,$B30,'DADOS BRUTOS'!DU$3:DU$500)+IF($C30="",0,SUMIF('DADOS BRUTOS'!$A$3:$A$500,$C30,'DADOS BRUTOS'!DU$3:DU$500)))</f>
        <v/>
      </c>
      <c r="GV30" s="56">
        <f>IF(OR(GV$4="",$B30=""),0,SUMIF('DADOS BRUTOS'!$A$3:$A$500,$B30,'DADOS BRUTOS'!DV$3:DV$500)+IF($C30="",0,SUMIF('DADOS BRUTOS'!$A$3:$A$500,$C30,'DADOS BRUTOS'!DV$3:DV$500)))</f>
        <v/>
      </c>
      <c r="GW30" s="56">
        <f>IF(OR(GW$4="",$B30=""),0,SUMIF('DADOS BRUTOS'!$A$3:$A$500,$B30,'DADOS BRUTOS'!DW$3:DW$500)+IF($C30="",0,SUMIF('DADOS BRUTOS'!$A$3:$A$500,$C30,'DADOS BRUTOS'!DW$3:DW$500)))</f>
        <v/>
      </c>
      <c r="GX30" s="56">
        <f>IF(OR(GX$4="",$B30=""),0,SUMIF('DADOS BRUTOS'!$A$3:$A$500,$B30,'DADOS BRUTOS'!DX$3:DX$500)+IF($C30="",0,SUMIF('DADOS BRUTOS'!$A$3:$A$500,$C30,'DADOS BRUTOS'!DX$3:DX$500)))</f>
        <v/>
      </c>
      <c r="GY30" s="56">
        <f>IF(OR(GY$4="",$B30=""),0,SUMIF('DADOS BRUTOS'!$A$3:$A$500,$B30,'DADOS BRUTOS'!DY$3:DY$500)+IF($C30="",0,SUMIF('DADOS BRUTOS'!$A$3:$A$500,$C30,'DADOS BRUTOS'!DY$3:DY$500)))</f>
        <v/>
      </c>
      <c r="GZ30" s="56">
        <f>IF(OR(GZ$4="",$B30=""),0,SUMIF('DADOS BRUTOS'!$A$3:$A$500,$B30,'DADOS BRUTOS'!DZ$3:DZ$500)+IF($C30="",0,SUMIF('DADOS BRUTOS'!$A$3:$A$500,$C30,'DADOS BRUTOS'!DZ$3:DZ$500)))</f>
        <v/>
      </c>
      <c r="HA30" s="56">
        <f>IF(OR(HA$4="",$B30=""),0,SUMIF('DADOS BRUTOS'!$A$3:$A$500,$B30,'DADOS BRUTOS'!EA$3:EA$500)+IF($C30="",0,SUMIF('DADOS BRUTOS'!$A$3:$A$500,$C30,'DADOS BRUTOS'!EA$3:EA$500)))</f>
        <v/>
      </c>
      <c r="HB30" s="56">
        <f>IF(OR(HB$4="",$B30=""),0,SUMIF('DADOS BRUTOS'!$A$3:$A$500,$B30,'DADOS BRUTOS'!EB$3:EB$500)+IF($C30="",0,SUMIF('DADOS BRUTOS'!$A$3:$A$500,$C30,'DADOS BRUTOS'!EB$3:EB$500)))</f>
        <v/>
      </c>
      <c r="HC30" s="56">
        <f>IF(OR(HC$4="",$B30=""),0,SUMIF('DADOS BRUTOS'!$A$3:$A$500,$B30,'DADOS BRUTOS'!EC$3:EC$500)+IF($C30="",0,SUMIF('DADOS BRUTOS'!$A$3:$A$500,$C30,'DADOS BRUTOS'!EC$3:EC$500)))</f>
        <v/>
      </c>
      <c r="HD30" s="56">
        <f>IF(OR(HD$4="",$B30=""),0,SUMIF('DADOS BRUTOS'!$A$3:$A$500,$B30,'DADOS BRUTOS'!ED$3:ED$500)+IF($C30="",0,SUMIF('DADOS BRUTOS'!$A$3:$A$500,$C30,'DADOS BRUTOS'!ED$3:ED$500)))</f>
        <v/>
      </c>
      <c r="HE30" s="56">
        <f>IF(OR(HE$4="",$B30=""),0,SUMIF('DADOS BRUTOS'!$A$3:$A$500,$B30,'DADOS BRUTOS'!EE$3:EE$500)+IF($C30="",0,SUMIF('DADOS BRUTOS'!$A$3:$A$500,$C30,'DADOS BRUTOS'!EE$3:EE$500)))</f>
        <v/>
      </c>
      <c r="HF30" s="56">
        <f>IF(OR(HF$4="",$B30=""),0,SUMIF('DADOS BRUTOS'!$A$3:$A$500,$B30,'DADOS BRUTOS'!EF$3:EF$500)+IF($C30="",0,SUMIF('DADOS BRUTOS'!$A$3:$A$500,$C30,'DADOS BRUTOS'!EF$3:EF$500)))</f>
        <v/>
      </c>
      <c r="HG30" s="56">
        <f>IF(OR(HG$4="",$B30=""),0,SUMIF('DADOS BRUTOS'!$A$3:$A$500,$B30,'DADOS BRUTOS'!EG$3:EG$500)+IF($C30="",0,SUMIF('DADOS BRUTOS'!$A$3:$A$500,$C30,'DADOS BRUTOS'!EG$3:EG$500)))</f>
        <v/>
      </c>
      <c r="HH30" s="56">
        <f>IF(OR(HH$4="",$B30=""),0,SUMIF('DADOS BRUTOS'!$A$3:$A$500,$B30,'DADOS BRUTOS'!EH$3:EH$500)+IF($C30="",0,SUMIF('DADOS BRUTOS'!$A$3:$A$500,$C30,'DADOS BRUTOS'!EH$3:EH$500)))</f>
        <v/>
      </c>
      <c r="HI30" s="56">
        <f>IF(OR(HI$4="",$B30=""),0,SUMIF('DADOS BRUTOS'!$A$3:$A$500,$B30,'DADOS BRUTOS'!EI$3:EI$500)+IF($C30="",0,SUMIF('DADOS BRUTOS'!$A$3:$A$500,$C30,'DADOS BRUTOS'!EI$3:EI$500)))</f>
        <v/>
      </c>
      <c r="HJ30" s="56">
        <f>IF(OR(HJ$4="",$B30=""),0,SUMIF('DADOS BRUTOS'!$A$3:$A$500,$B30,'DADOS BRUTOS'!EJ$3:EJ$500)+IF($C30="",0,SUMIF('DADOS BRUTOS'!$A$3:$A$500,$C30,'DADOS BRUTOS'!EJ$3:EJ$500)))</f>
        <v/>
      </c>
      <c r="HK30" s="56">
        <f>IF(OR(HK$4="",$B30=""),0,SUMIF('DADOS BRUTOS'!$A$3:$A$500,$B30,'DADOS BRUTOS'!EK$3:EK$500)+IF($C30="",0,SUMIF('DADOS BRUTOS'!$A$3:$A$500,$C30,'DADOS BRUTOS'!EK$3:EK$500)))</f>
        <v/>
      </c>
      <c r="HL30" s="56">
        <f>IF(OR(HL$4="",$B30=""),0,SUMIF('DADOS BRUTOS'!$A$3:$A$500,$B30,'DADOS BRUTOS'!EL$3:EL$500)+IF($C30="",0,SUMIF('DADOS BRUTOS'!$A$3:$A$500,$C30,'DADOS BRUTOS'!EL$3:EL$500)))</f>
        <v/>
      </c>
      <c r="HM30" s="56">
        <f>IF(OR(HM$4="",$B30=""),0,SUMIF('DADOS BRUTOS'!$A$3:$A$500,$B30,'DADOS BRUTOS'!EM$3:EM$500)+IF($C30="",0,SUMIF('DADOS BRUTOS'!$A$3:$A$500,$C30,'DADOS BRUTOS'!EM$3:EM$500)))</f>
        <v/>
      </c>
      <c r="HN30" s="56">
        <f>IF(OR(HN$4="",$B30=""),0,SUMIF('DADOS BRUTOS'!$A$3:$A$500,$B30,'DADOS BRUTOS'!EN$3:EN$500)+IF($C30="",0,SUMIF('DADOS BRUTOS'!$A$3:$A$500,$C30,'DADOS BRUTOS'!EN$3:EN$500)))</f>
        <v/>
      </c>
      <c r="HO30" s="56">
        <f>IF(OR(HO$4="",$B30=""),0,SUMIF('DADOS BRUTOS'!$A$3:$A$500,$B30,'DADOS BRUTOS'!EO$3:EO$500)+IF($C30="",0,SUMIF('DADOS BRUTOS'!$A$3:$A$500,$C30,'DADOS BRUTOS'!EO$3:EO$500)))</f>
        <v/>
      </c>
      <c r="HP30" s="56">
        <f>IF(OR(HP$4="",$B30=""),0,SUMIF('DADOS BRUTOS'!$A$3:$A$500,$B30,'DADOS BRUTOS'!EP$3:EP$500)+IF($C30="",0,SUMIF('DADOS BRUTOS'!$A$3:$A$500,$C30,'DADOS BRUTOS'!EP$3:EP$500)))</f>
        <v/>
      </c>
      <c r="HQ30" s="56">
        <f>IF(OR(HQ$4="",$B30=""),0,SUMIF('DADOS BRUTOS'!$A$3:$A$500,$B30,'DADOS BRUTOS'!EQ$3:EQ$500)+IF($C30="",0,SUMIF('DADOS BRUTOS'!$A$3:$A$500,$C30,'DADOS BRUTOS'!EQ$3:EQ$500)))</f>
        <v/>
      </c>
      <c r="HR30" s="56">
        <f>IF(OR(HR$4="",$B30=""),0,SUMIF('DADOS BRUTOS'!$A$3:$A$500,$B30,'DADOS BRUTOS'!ER$3:ER$500)+IF($C30="",0,SUMIF('DADOS BRUTOS'!$A$3:$A$500,$C30,'DADOS BRUTOS'!ER$3:ER$500)))</f>
        <v/>
      </c>
      <c r="HS30" s="56">
        <f>IF(OR(HS$4="",$B30=""),0,SUMIF('DADOS BRUTOS'!$A$3:$A$500,$B30,'DADOS BRUTOS'!ES$3:ES$500)+IF($C30="",0,SUMIF('DADOS BRUTOS'!$A$3:$A$500,$C30,'DADOS BRUTOS'!ES$3:ES$500)))</f>
        <v/>
      </c>
      <c r="HT30" s="56">
        <f>IF(OR(HT$4="",$B30=""),0,SUMIF('DADOS BRUTOS'!$A$3:$A$500,$B30,'DADOS BRUTOS'!ET$3:ET$500)+IF($C30="",0,SUMIF('DADOS BRUTOS'!$A$3:$A$500,$C30,'DADOS BRUTOS'!ET$3:ET$500)))</f>
        <v/>
      </c>
      <c r="HU30" s="56">
        <f>IF(OR(HU$4="",$B30=""),0,SUMIF('DADOS BRUTOS'!$A$3:$A$500,$B30,'DADOS BRUTOS'!EU$3:EU$500)+IF($C30="",0,SUMIF('DADOS BRUTOS'!$A$3:$A$500,$C30,'DADOS BRUTOS'!EU$3:EU$500)))</f>
        <v/>
      </c>
      <c r="HV30" s="56">
        <f>IF(OR(HV$4="",$B30=""),0,SUMIF('DADOS BRUTOS'!$A$3:$A$500,$B30,'DADOS BRUTOS'!EV$3:EV$500)+IF($C30="",0,SUMIF('DADOS BRUTOS'!$A$3:$A$500,$C30,'DADOS BRUTOS'!EV$3:EV$500)))</f>
        <v/>
      </c>
      <c r="HW30" s="56">
        <f>IF(OR(HW$4="",$B30=""),0,SUMIF('DADOS BRUTOS'!$A$3:$A$500,$B30,'DADOS BRUTOS'!EW$3:EW$500)+IF($C30="",0,SUMIF('DADOS BRUTOS'!$A$3:$A$500,$C30,'DADOS BRUTOS'!EW$3:EW$500)))</f>
        <v/>
      </c>
      <c r="HX30" s="56">
        <f>IF(OR(HX$4="",$B30=""),0,SUMIF('DADOS BRUTOS'!$A$3:$A$500,$B30,'DADOS BRUTOS'!EX$3:EX$500)+IF($C30="",0,SUMIF('DADOS BRUTOS'!$A$3:$A$500,$C30,'DADOS BRUTOS'!EX$3:EX$500)))</f>
        <v/>
      </c>
      <c r="HY30" s="56">
        <f>IF(OR(HY$4="",$B30=""),0,SUMIF('DADOS BRUTOS'!$A$3:$A$500,$B30,'DADOS BRUTOS'!EY$3:EY$500)+IF($C30="",0,SUMIF('DADOS BRUTOS'!$A$3:$A$500,$C30,'DADOS BRUTOS'!EY$3:EY$500)))</f>
        <v/>
      </c>
      <c r="HZ30" s="56">
        <f>IF(OR(HZ$4="",$B30=""),0,SUMIF('DADOS BRUTOS'!$A$3:$A$500,$B30,'DADOS BRUTOS'!EZ$3:EZ$500)+IF($C30="",0,SUMIF('DADOS BRUTOS'!$A$3:$A$500,$C30,'DADOS BRUTOS'!EZ$3:EZ$500)))</f>
        <v/>
      </c>
      <c r="IA30" s="56">
        <f>IF(OR(IA$4="",$B30=""),0,SUMIF('DADOS BRUTOS'!$A$3:$A$500,$B30,'DADOS BRUTOS'!FA$3:FA$500)+IF($C30="",0,SUMIF('DADOS BRUTOS'!$A$3:$A$500,$C30,'DADOS BRUTOS'!FA$3:FA$500)))</f>
        <v/>
      </c>
      <c r="IB30" s="56">
        <f>IF(OR(IB$4="",$B30=""),0,SUMIF('DADOS BRUTOS'!$A$3:$A$500,$B30,'DADOS BRUTOS'!FB$3:FB$500)+IF($C30="",0,SUMIF('DADOS BRUTOS'!$A$3:$A$500,$C30,'DADOS BRUTOS'!FB$3:FB$500)))</f>
        <v/>
      </c>
      <c r="IC30" s="56">
        <f>IF(OR(IC$4="",$B30=""),0,SUMIF('DADOS BRUTOS'!$A$3:$A$500,$B30,'DADOS BRUTOS'!FC$3:FC$500)+IF($C30="",0,SUMIF('DADOS BRUTOS'!$A$3:$A$500,$C30,'DADOS BRUTOS'!FC$3:FC$500)))</f>
        <v/>
      </c>
      <c r="ID30" s="56">
        <f>IF(OR(ID$4="",$B30=""),0,SUMIF('DADOS BRUTOS'!$A$3:$A$500,$B30,'DADOS BRUTOS'!FD$3:FD$500)+IF($C30="",0,SUMIF('DADOS BRUTOS'!$A$3:$A$500,$C30,'DADOS BRUTOS'!FD$3:FD$500)))</f>
        <v/>
      </c>
      <c r="IE30" s="56">
        <f>IF(OR(IE$4="",$B30=""),0,SUMIF('DADOS BRUTOS'!$A$3:$A$500,$B30,'DADOS BRUTOS'!FE$3:FE$500)+IF($C30="",0,SUMIF('DADOS BRUTOS'!$A$3:$A$500,$C30,'DADOS BRUTOS'!FE$3:FE$500)))</f>
        <v/>
      </c>
      <c r="IF30" s="56">
        <f>IF(OR(IF$4="",$B30=""),0,SUMIF('DADOS BRUTOS'!$A$3:$A$500,$B30,'DADOS BRUTOS'!FF$3:FF$500)+IF($C30="",0,SUMIF('DADOS BRUTOS'!$A$3:$A$500,$C30,'DADOS BRUTOS'!FF$3:FF$500)))</f>
        <v/>
      </c>
      <c r="IG30" s="56">
        <f>IF(OR(IG$4="",$B30=""),0,SUMIF('DADOS BRUTOS'!$A$3:$A$500,$B30,'DADOS BRUTOS'!FG$3:FG$500)+IF($C30="",0,SUMIF('DADOS BRUTOS'!$A$3:$A$500,$C30,'DADOS BRUTOS'!FG$3:FG$500)))</f>
        <v/>
      </c>
      <c r="IH30" s="56">
        <f>IF(OR(IH$4="",$B30=""),0,SUMIF('DADOS BRUTOS'!$A$3:$A$500,$B30,'DADOS BRUTOS'!FH$3:FH$500)+IF($C30="",0,SUMIF('DADOS BRUTOS'!$A$3:$A$500,$C30,'DADOS BRUTOS'!FH$3:FH$500)))</f>
        <v/>
      </c>
      <c r="II30" s="56">
        <f>IF(OR(II$4="",$B30=""),0,SUMIF('DADOS BRUTOS'!$A$3:$A$500,$B30,'DADOS BRUTOS'!FI$3:FI$500)+IF($C30="",0,SUMIF('DADOS BRUTOS'!$A$3:$A$500,$C30,'DADOS BRUTOS'!FI$3:FI$500)))</f>
        <v/>
      </c>
      <c r="IJ30" s="56">
        <f>IF(OR(IJ$4="",$B30=""),0,SUMIF('DADOS BRUTOS'!$A$3:$A$500,$B30,'DADOS BRUTOS'!FJ$3:FJ$500)+IF($C30="",0,SUMIF('DADOS BRUTOS'!$A$3:$A$500,$C30,'DADOS BRUTOS'!FJ$3:FJ$500)))</f>
        <v/>
      </c>
      <c r="IK30" s="56">
        <f>IF(OR(IK$4="",$B30=""),0,SUMIF('DADOS BRUTOS'!$A$3:$A$500,$B30,'DADOS BRUTOS'!FK$3:FK$500)+IF($C30="",0,SUMIF('DADOS BRUTOS'!$A$3:$A$500,$C30,'DADOS BRUTOS'!FK$3:FK$500)))</f>
        <v/>
      </c>
      <c r="IL30" s="56">
        <f>IF(OR(IL$4="",$B30=""),0,SUMIF('DADOS BRUTOS'!$A$3:$A$500,$B30,'DADOS BRUTOS'!FL$3:FL$500)+IF($C30="",0,SUMIF('DADOS BRUTOS'!$A$3:$A$500,$C30,'DADOS BRUTOS'!FL$3:FL$500)))</f>
        <v/>
      </c>
      <c r="IM30" s="56">
        <f>IF(OR(IM$4="",$B30=""),0,SUMIF('DADOS BRUTOS'!$A$3:$A$500,$B30,'DADOS BRUTOS'!FM$3:FM$500)+IF($C30="",0,SUMIF('DADOS BRUTOS'!$A$3:$A$500,$C30,'DADOS BRUTOS'!FM$3:FM$500)))</f>
        <v/>
      </c>
      <c r="IN30" s="56">
        <f>IF(OR(IN$4="",$B30=""),0,SUMIF('DADOS BRUTOS'!$A$3:$A$500,$B30,'DADOS BRUTOS'!FN$3:FN$500)+IF($C30="",0,SUMIF('DADOS BRUTOS'!$A$3:$A$500,$C30,'DADOS BRUTOS'!FN$3:FN$500)))</f>
        <v/>
      </c>
      <c r="IO30" s="56">
        <f>IF(OR(IO$4="",$B30=""),0,SUMIF('DADOS BRUTOS'!$A$3:$A$500,$B30,'DADOS BRUTOS'!FO$3:FO$500)+IF($C30="",0,SUMIF('DADOS BRUTOS'!$A$3:$A$500,$C30,'DADOS BRUTOS'!FO$3:FO$500)))</f>
        <v/>
      </c>
      <c r="IP30" s="56">
        <f>IF(OR(IP$4="",$B30=""),0,SUMIF('DADOS BRUTOS'!$A$3:$A$500,$B30,'DADOS BRUTOS'!FP$3:FP$500)+IF($C30="",0,SUMIF('DADOS BRUTOS'!$A$3:$A$500,$C30,'DADOS BRUTOS'!FP$3:FP$500)))</f>
        <v/>
      </c>
      <c r="IQ30" s="56">
        <f>IF(OR(IQ$4="",$B30=""),0,SUMIF('DADOS BRUTOS'!$A$3:$A$500,$B30,'DADOS BRUTOS'!FQ$3:FQ$500)+IF($C30="",0,SUMIF('DADOS BRUTOS'!$A$3:$A$500,$C30,'DADOS BRUTOS'!FQ$3:FQ$500)))</f>
        <v/>
      </c>
      <c r="IR30" s="56">
        <f>IF(OR(IR$4="",$B30=""),0,SUMIF('DADOS BRUTOS'!$A$3:$A$500,$B30,'DADOS BRUTOS'!FR$3:FR$500)+IF($C30="",0,SUMIF('DADOS BRUTOS'!$A$3:$A$500,$C30,'DADOS BRUTOS'!FR$3:FR$500)))</f>
        <v/>
      </c>
      <c r="IS30" s="56">
        <f>IF(OR(IS$4="",$B30=""),0,SUMIF('DADOS BRUTOS'!$A$3:$A$500,$B30,'DADOS BRUTOS'!FS$3:FS$500)+IF($C30="",0,SUMIF('DADOS BRUTOS'!$A$3:$A$500,$C30,'DADOS BRUTOS'!FS$3:FS$500)))</f>
        <v/>
      </c>
      <c r="IT30" s="56">
        <f>IF(OR(IT$4="",$B30=""),0,SUMIF('DADOS BRUTOS'!$A$3:$A$500,$B30,'DADOS BRUTOS'!FT$3:FT$500)+IF($C30="",0,SUMIF('DADOS BRUTOS'!$A$3:$A$500,$C30,'DADOS BRUTOS'!FT$3:FT$500)))</f>
        <v/>
      </c>
      <c r="IU30" s="56">
        <f>IF(OR(IU$4="",$B30=""),0,SUMIF('DADOS BRUTOS'!$A$3:$A$500,$B30,'DADOS BRUTOS'!FU$3:FU$500)+IF($C30="",0,SUMIF('DADOS BRUTOS'!$A$3:$A$500,$C30,'DADOS BRUTOS'!FU$3:FU$500)))</f>
        <v/>
      </c>
      <c r="IV30" s="56">
        <f>IF(OR(IV$4="",$B30=""),0,SUMIF('DADOS BRUTOS'!$A$3:$A$500,$B30,'DADOS BRUTOS'!FV$3:FV$500)+IF($C30="",0,SUMIF('DADOS BRUTOS'!$A$3:$A$500,$C30,'DADOS BRUTOS'!FV$3:FV$500)))</f>
        <v/>
      </c>
      <c r="IW30" s="56">
        <f>IF(OR(IW$4="",$B30=""),0,SUMIF('DADOS BRUTOS'!$A$3:$A$500,$B30,'DADOS BRUTOS'!FW$3:FW$500)+IF($C30="",0,SUMIF('DADOS BRUTOS'!$A$3:$A$500,$C30,'DADOS BRUTOS'!FW$3:FW$500)))</f>
        <v/>
      </c>
      <c r="IX30" s="56">
        <f>IF(OR(IX$4="",$B30=""),0,SUMIF('DADOS BRUTOS'!$A$3:$A$500,$B30,'DADOS BRUTOS'!FX$3:FX$500)+IF($C30="",0,SUMIF('DADOS BRUTOS'!$A$3:$A$500,$C30,'DADOS BRUTOS'!FX$3:FX$500)))</f>
        <v/>
      </c>
      <c r="IY30" s="56">
        <f>IF(OR(IY$4="",$B30=""),0,SUMIF('DADOS BRUTOS'!$A$3:$A$500,$B30,'DADOS BRUTOS'!FY$3:FY$500)+IF($C30="",0,SUMIF('DADOS BRUTOS'!$A$3:$A$500,$C30,'DADOS BRUTOS'!FY$3:FY$500)))</f>
        <v/>
      </c>
      <c r="IZ30" s="56">
        <f>IF(OR(IZ$4="",$B30=""),0,SUMIF('DADOS BRUTOS'!$A$3:$A$500,$B30,'DADOS BRUTOS'!FZ$3:FZ$500)+IF($C30="",0,SUMIF('DADOS BRUTOS'!$A$3:$A$500,$C30,'DADOS BRUTOS'!FZ$3:FZ$500)))</f>
        <v/>
      </c>
      <c r="JA30" s="56">
        <f>IF(OR(JA$4="",$B30=""),0,SUMIF('DADOS BRUTOS'!$A$3:$A$500,$B30,'DADOS BRUTOS'!GA$3:GA$500)+IF($C30="",0,SUMIF('DADOS BRUTOS'!$A$3:$A$500,$C30,'DADOS BRUTOS'!GA$3:GA$500)))</f>
        <v/>
      </c>
      <c r="JB30" s="56">
        <f>IF(OR(JB$4="",$B30=""),0,SUMIF('DADOS BRUTOS'!$A$3:$A$500,$B30,'DADOS BRUTOS'!GB$3:GB$500)+IF($C30="",0,SUMIF('DADOS BRUTOS'!$A$3:$A$500,$C30,'DADOS BRUTOS'!GB$3:GB$500)))</f>
        <v/>
      </c>
      <c r="JC30" s="56">
        <f>IF(OR(JC$4="",$B30=""),0,SUMIF('DADOS BRUTOS'!$A$3:$A$500,$B30,'DADOS BRUTOS'!GC$3:GC$500)+IF($C30="",0,SUMIF('DADOS BRUTOS'!$A$3:$A$500,$C30,'DADOS BRUTOS'!GC$3:GC$500)))</f>
        <v/>
      </c>
      <c r="JD30" s="56">
        <f>IF(OR(JD$4="",$B30=""),0,SUMIF('DADOS BRUTOS'!$A$3:$A$500,$B30,'DADOS BRUTOS'!GD$3:GD$500)+IF($C30="",0,SUMIF('DADOS BRUTOS'!$A$3:$A$500,$C30,'DADOS BRUTOS'!GD$3:GD$500)))</f>
        <v/>
      </c>
      <c r="JE30" s="56">
        <f>IF(OR(JE$4="",$B30=""),0,SUMIF('DADOS BRUTOS'!$A$3:$A$500,$B30,'DADOS BRUTOS'!GE$3:GE$500)+IF($C30="",0,SUMIF('DADOS BRUTOS'!$A$3:$A$500,$C30,'DADOS BRUTOS'!GE$3:GE$500)))</f>
        <v/>
      </c>
      <c r="JF30" s="56">
        <f>IF(OR(JF$4="",$B30=""),0,SUMIF('DADOS BRUTOS'!$A$3:$A$500,$B30,'DADOS BRUTOS'!GF$3:GF$500)+IF($C30="",0,SUMIF('DADOS BRUTOS'!$A$3:$A$500,$C30,'DADOS BRUTOS'!GF$3:GF$500)))</f>
        <v/>
      </c>
      <c r="JG30" s="56">
        <f>IF(OR(JG$4="",$B30=""),0,SUMIF('DADOS BRUTOS'!$A$3:$A$500,$B30,'DADOS BRUTOS'!GG$3:GG$500)+IF($C30="",0,SUMIF('DADOS BRUTOS'!$A$3:$A$500,$C30,'DADOS BRUTOS'!GG$3:GG$500)))</f>
        <v/>
      </c>
      <c r="JH30" s="56">
        <f>IF(OR(JH$4="",$B30=""),0,SUMIF('DADOS BRUTOS'!$A$3:$A$500,$B30,'DADOS BRUTOS'!GH$3:GH$500)+IF($C30="",0,SUMIF('DADOS BRUTOS'!$A$3:$A$500,$C30,'DADOS BRUTOS'!GH$3:GH$500)))</f>
        <v/>
      </c>
      <c r="JI30" s="56">
        <f>IF(OR(JI$4="",$B30=""),0,SUMIF('DADOS BRUTOS'!$A$3:$A$500,$B30,'DADOS BRUTOS'!GI$3:GI$500)+IF($C30="",0,SUMIF('DADOS BRUTOS'!$A$3:$A$500,$C30,'DADOS BRUTOS'!GI$3:GI$500)))</f>
        <v/>
      </c>
      <c r="JJ30" s="56">
        <f>IF(OR(JJ$4="",$B30=""),0,SUMIF('DADOS BRUTOS'!$A$3:$A$500,$B30,'DADOS BRUTOS'!GJ$3:GJ$500)+IF($C30="",0,SUMIF('DADOS BRUTOS'!$A$3:$A$500,$C30,'DADOS BRUTOS'!GJ$3:GJ$500)))</f>
        <v/>
      </c>
      <c r="JK30" s="56">
        <f>IF(OR(JK$4="",$B30=""),0,SUMIF('DADOS BRUTOS'!$A$3:$A$500,$B30,'DADOS BRUTOS'!GK$3:GK$500)+IF($C30="",0,SUMIF('DADOS BRUTOS'!$A$3:$A$500,$C30,'DADOS BRUTOS'!GK$3:GK$500)))</f>
        <v/>
      </c>
      <c r="JL30" s="56">
        <f>IF(OR(JL$4="",$B30=""),0,SUMIF('DADOS BRUTOS'!$A$3:$A$500,$B30,'DADOS BRUTOS'!GL$3:GL$500)+IF($C30="",0,SUMIF('DADOS BRUTOS'!$A$3:$A$500,$C30,'DADOS BRUTOS'!GL$3:GL$500)))</f>
        <v/>
      </c>
      <c r="JM30" s="56">
        <f>IF(OR(JM$4="",$B30=""),0,SUMIF('DADOS BRUTOS'!$A$3:$A$500,$B30,'DADOS BRUTOS'!GM$3:GM$500)+IF($C30="",0,SUMIF('DADOS BRUTOS'!$A$3:$A$500,$C30,'DADOS BRUTOS'!GM$3:GM$500)))</f>
        <v/>
      </c>
      <c r="JN30" s="56">
        <f>IF(OR(JN$4="",$B30=""),0,SUMIF('DADOS BRUTOS'!$A$3:$A$500,$B30,'DADOS BRUTOS'!GN$3:GN$500)+IF($C30="",0,SUMIF('DADOS BRUTOS'!$A$3:$A$500,$C30,'DADOS BRUTOS'!GN$3:GN$500)))</f>
        <v/>
      </c>
      <c r="JO30" s="56">
        <f>IF(OR(JO$4="",$B30=""),0,SUMIF('DADOS BRUTOS'!$A$3:$A$500,$B30,'DADOS BRUTOS'!GO$3:GO$500)+IF($C30="",0,SUMIF('DADOS BRUTOS'!$A$3:$A$500,$C30,'DADOS BRUTOS'!GO$3:GO$500)))</f>
        <v/>
      </c>
      <c r="JP30" s="56">
        <f>IF(OR(JP$4="",$B30=""),0,SUMIF('DADOS BRUTOS'!$A$3:$A$500,$B30,'DADOS BRUTOS'!GP$3:GP$500)+IF($C30="",0,SUMIF('DADOS BRUTOS'!$A$3:$A$500,$C30,'DADOS BRUTOS'!GP$3:GP$500)))</f>
        <v/>
      </c>
      <c r="JQ30" s="56">
        <f>IF(OR(JQ$4="",$B30=""),0,SUMIF('DADOS BRUTOS'!$A$3:$A$500,$B30,'DADOS BRUTOS'!GQ$3:GQ$500)+IF($C30="",0,SUMIF('DADOS BRUTOS'!$A$3:$A$500,$C30,'DADOS BRUTOS'!GQ$3:GQ$500)))</f>
        <v/>
      </c>
      <c r="JR30" s="56">
        <f>IF(OR(JR$4="",$B30=""),0,SUMIF('DADOS BRUTOS'!$A$3:$A$500,$B30,'DADOS BRUTOS'!GR$3:GR$500)+IF($C30="",0,SUMIF('DADOS BRUTOS'!$A$3:$A$500,$C30,'DADOS BRUTOS'!GR$3:GR$500)))</f>
        <v/>
      </c>
      <c r="JS30" s="56">
        <f>IF(OR(JS$4="",$B30=""),0,SUMIF('DADOS BRUTOS'!$A$3:$A$500,$B30,'DADOS BRUTOS'!GS$3:GS$500)+IF($C30="",0,SUMIF('DADOS BRUTOS'!$A$3:$A$500,$C30,'DADOS BRUTOS'!GS$3:GS$500)))</f>
        <v/>
      </c>
    </row>
    <row r="31">
      <c r="A31" s="34">
        <f>'VALOR POR PL'!D37</f>
        <v/>
      </c>
      <c r="B31" s="21" t="inlineStr">
        <is>
          <t>MARCENARIA</t>
        </is>
      </c>
      <c r="C31" s="21" t="n"/>
      <c r="D31" s="17">
        <f>SUMIF($CB$4:$JS$4,"&lt;="&amp;D$4,$CB31:$JS31)</f>
        <v/>
      </c>
      <c r="E31" s="17">
        <f>SUMIF($CB$4:$JS$4,E$4,$CB31:$JS31)</f>
        <v/>
      </c>
      <c r="F31" s="17">
        <f>SUMIF($CB$4:$JS$4,F$4,$CB31:$JS31)</f>
        <v/>
      </c>
      <c r="G31" s="17">
        <f>SUMIF($CB$4:$JS$4,G$4,$CB31:$JS31)</f>
        <v/>
      </c>
      <c r="H31" s="17">
        <f>SUMIF($CB$4:$JS$4,H$4,$CB31:$JS31)</f>
        <v/>
      </c>
      <c r="I31" s="17">
        <f>SUMIF($CB$4:$JS$4,I$4,$CB31:$JS31)</f>
        <v/>
      </c>
      <c r="J31" s="17">
        <f>SUMIF($CB$4:$JS$4,J$4,$CB31:$JS31)</f>
        <v/>
      </c>
      <c r="K31" s="17">
        <f>SUMIF($CB$4:$JS$4,K$4,$CB31:$JS31)</f>
        <v/>
      </c>
      <c r="L31" s="17">
        <f>SUMIF($CB$4:$JS$4,L$4,$CB31:$JS31)</f>
        <v/>
      </c>
      <c r="M31" s="17">
        <f>SUMIF($CB$4:$JS$4,M$4,$CB31:$JS31)</f>
        <v/>
      </c>
      <c r="N31" s="17">
        <f>SUMIF($CB$4:$JS$4,N$4,$CB31:$JS31)</f>
        <v/>
      </c>
      <c r="O31" s="17">
        <f>SUMIF($CB$4:$JS$4,O$4,$CB31:$JS31)</f>
        <v/>
      </c>
      <c r="P31" s="17">
        <f>SUMIF($CB$4:$JS$4,P$4,$CB31:$JS31)</f>
        <v/>
      </c>
      <c r="Q31" s="17">
        <f>SUMIF($CB$4:$JS$4,Q$4,$CB31:$JS31)</f>
        <v/>
      </c>
      <c r="R31" s="17">
        <f>SUMIF($CB$4:$JS$4,R$4,$CB31:$JS31)</f>
        <v/>
      </c>
      <c r="S31" s="17">
        <f>SUMIF($CB$4:$JS$4,S$4,$CB31:$JS31)</f>
        <v/>
      </c>
      <c r="T31" s="17">
        <f>SUMIF($CB$4:$JS$4,T$4,$CB31:$JS31)</f>
        <v/>
      </c>
      <c r="U31" s="17">
        <f>SUMIF($CB$4:$JS$4,U$4,$CB31:$JS31)</f>
        <v/>
      </c>
      <c r="V31" s="17">
        <f>SUMIF($CB$4:$JS$4,V$4,$CB31:$JS31)</f>
        <v/>
      </c>
      <c r="W31" s="17">
        <f>SUMIF($CB$4:$JS$4,W$4,$CB31:$JS31)</f>
        <v/>
      </c>
      <c r="X31" s="17">
        <f>SUMIF($CB$4:$JS$4,X$4,$CB31:$JS31)</f>
        <v/>
      </c>
      <c r="Y31" s="17">
        <f>SUMIF($CB$4:$JS$4,Y$4,$CB31:$JS31)</f>
        <v/>
      </c>
      <c r="Z31" s="17">
        <f>SUMIF($CB$4:$JS$4,Z$4,$CB31:$JS31)</f>
        <v/>
      </c>
      <c r="AA31" s="17">
        <f>SUMIF($CB$4:$JS$4,AA$4,$CB31:$JS31)</f>
        <v/>
      </c>
      <c r="AB31" s="17">
        <f>SUMIF($CB$4:$JS$4,AB$4,$CB31:$JS31)</f>
        <v/>
      </c>
      <c r="AC31" s="17">
        <f>SUMIF($CB$4:$JS$4,AC$4,$CB31:$JS31)</f>
        <v/>
      </c>
      <c r="AD31" s="17">
        <f>SUMIF($CB$4:$JS$4,AD$4,$CB31:$JS31)</f>
        <v/>
      </c>
      <c r="AE31" s="17">
        <f>SUMIF($CB$4:$JS$4,AE$4,$CB31:$JS31)</f>
        <v/>
      </c>
      <c r="AF31" s="17">
        <f>SUMIF($CB$4:$JS$4,AF$4,$CB31:$JS31)</f>
        <v/>
      </c>
      <c r="AG31" s="17">
        <f>SUMIF($CB$4:$JS$4,AG$4,$CB31:$JS31)</f>
        <v/>
      </c>
      <c r="AH31" s="17">
        <f>SUMIF($CB$4:$JS$4,AH$4,$CB31:$JS31)</f>
        <v/>
      </c>
      <c r="AI31" s="17">
        <f>SUMIF($CB$4:$JS$4,AI$4,$CB31:$JS31)</f>
        <v/>
      </c>
      <c r="AJ31" s="17">
        <f>SUMIF($CB$4:$JS$4,AJ$4,$CB31:$JS31)</f>
        <v/>
      </c>
      <c r="AK31" s="17">
        <f>SUMIF($CB$4:$JS$4,AK$4,$CB31:$JS31)</f>
        <v/>
      </c>
      <c r="AL31" s="17">
        <f>SUMIF($CB$4:$JS$4,AL$4,$CB31:$JS31)</f>
        <v/>
      </c>
      <c r="AM31" s="17">
        <f>SUMIF($CB$4:$JS$4,AM$4,$CB31:$JS31)</f>
        <v/>
      </c>
      <c r="AN31" s="17">
        <f>SUMIF($CB$4:$JS$4,AN$4,$CB31:$JS31)</f>
        <v/>
      </c>
      <c r="AO31" s="17">
        <f>SUMIF($CB$4:$JS$4,AO$4,$CB31:$JS31)</f>
        <v/>
      </c>
      <c r="AP31" s="17">
        <f>SUMIF($CB$4:$JS$4,AP$4,$CB31:$JS31)</f>
        <v/>
      </c>
      <c r="AQ31" s="17">
        <f>SUMIF($CB$4:$JS$4,AQ$4,$CB31:$JS31)</f>
        <v/>
      </c>
      <c r="AR31" s="17">
        <f>SUMIF($CB$4:$JS$4,AR$4,$CB31:$JS31)</f>
        <v/>
      </c>
      <c r="AS31" s="17">
        <f>SUMIF($CB$4:$JS$4,AS$4,$CB31:$JS31)</f>
        <v/>
      </c>
      <c r="AT31" s="17">
        <f>SUMIF($CB$4:$JS$4,AT$4,$CB31:$JS31)</f>
        <v/>
      </c>
      <c r="AU31" s="17">
        <f>SUMIF($CB$4:$JS$4,AU$4,$CB31:$JS31)</f>
        <v/>
      </c>
      <c r="AV31" s="17">
        <f>SUMIF($CB$4:$JS$4,AV$4,$CB31:$JS31)</f>
        <v/>
      </c>
      <c r="AW31" s="17">
        <f>SUMIF($CB$4:$JS$4,AW$4,$CB31:$JS31)</f>
        <v/>
      </c>
      <c r="AX31" s="17">
        <f>SUMIF($CB$4:$JS$4,AX$4,$CB31:$JS31)</f>
        <v/>
      </c>
      <c r="AY31" s="17">
        <f>SUMIF($CB$4:$JS$4,AY$4,$CB31:$JS31)</f>
        <v/>
      </c>
      <c r="AZ31" s="17">
        <f>SUMIF($CB$4:$JS$4,AZ$4,$CB31:$JS31)</f>
        <v/>
      </c>
      <c r="BA31" s="17">
        <f>SUMIF($CB$4:$JS$4,BA$4,$CB31:$JS31)</f>
        <v/>
      </c>
      <c r="BB31" s="17">
        <f>SUMIF($CB$4:$JS$4,BB$4,$CB31:$JS31)</f>
        <v/>
      </c>
      <c r="BC31" s="17">
        <f>SUMIF($CB$4:$JS$4,BC$4,$CB31:$JS31)</f>
        <v/>
      </c>
      <c r="BD31" s="17">
        <f>SUMIF($CB$4:$JS$4,BD$4,$CB31:$JS31)</f>
        <v/>
      </c>
      <c r="BE31" s="17">
        <f>SUMIF($CB$4:$JS$4,BE$4,$CB31:$JS31)</f>
        <v/>
      </c>
      <c r="BF31" s="17">
        <f>SUMIF($CB$4:$JS$4,BF$4,$CB31:$JS31)</f>
        <v/>
      </c>
      <c r="BG31" s="17">
        <f>SUMIF($CB$4:$JS$4,BG$4,$CB31:$JS31)</f>
        <v/>
      </c>
      <c r="BH31" s="17">
        <f>SUMIF($CB$4:$JS$4,BH$4,$CB31:$JS31)</f>
        <v/>
      </c>
      <c r="BI31" s="17">
        <f>SUMIF($CB$4:$JS$4,BI$4,$CB31:$JS31)</f>
        <v/>
      </c>
      <c r="BJ31" s="17">
        <f>SUMIF($CB$4:$JS$4,BJ$4,$CB31:$JS31)</f>
        <v/>
      </c>
      <c r="BK31" s="17">
        <f>SUMIF($CB$4:$JS$4,BK$4,$CB31:$JS31)</f>
        <v/>
      </c>
      <c r="BL31" s="17">
        <f>SUMIF($CB$4:$JS$4,BL$4,$CB31:$JS31)</f>
        <v/>
      </c>
      <c r="BM31" s="17">
        <f>SUMIF($CB$4:$JS$4,BM$4,$CB31:$JS31)</f>
        <v/>
      </c>
      <c r="BN31" s="17">
        <f>SUMIF($CB$4:$JS$4,BN$4,$CB31:$JS31)</f>
        <v/>
      </c>
      <c r="BO31" s="17">
        <f>SUMIF($CB$4:$JS$4,BO$4,$CB31:$JS31)</f>
        <v/>
      </c>
      <c r="BP31" s="17">
        <f>SUMIF($CB$4:$JS$4,BP$4,$CB31:$JS31)</f>
        <v/>
      </c>
      <c r="BQ31" s="17">
        <f>SUMIF($CB$4:$JS$4,BQ$4,$CB31:$JS31)</f>
        <v/>
      </c>
      <c r="BR31" s="17">
        <f>SUMIF($CB$4:$JS$4,BR$4,$CB31:$JS31)</f>
        <v/>
      </c>
      <c r="BS31" s="17">
        <f>SUMIF($CB$4:$JS$4,BS$4,$CB31:$JS31)</f>
        <v/>
      </c>
      <c r="BT31" s="17">
        <f>SUMIF($CB$4:$JS$4,BT$4,$CB31:$JS31)</f>
        <v/>
      </c>
      <c r="BU31" s="17">
        <f>SUMIF($CB$4:$JS$4,BU$4,$CB31:$JS31)</f>
        <v/>
      </c>
      <c r="BV31" s="17">
        <f>SUMIF($CB$4:$JS$4,BV$4,$CB31:$JS31)</f>
        <v/>
      </c>
      <c r="BW31" s="17">
        <f>SUMIF($CB$4:$JS$4,BW$4,$CB31:$JS31)</f>
        <v/>
      </c>
      <c r="BX31" s="17">
        <f>SUMIF($CB$4:$JS$4,"&gt;"&amp;'VALOR POR PL'!$P$8,$CB31:$JS31)</f>
        <v/>
      </c>
      <c r="BY31" s="17">
        <f>SUM($CB31:$JS31)</f>
        <v/>
      </c>
      <c r="CB31" s="56">
        <f>IF(OR(CB$4="",$B31=""),0,SUMIF('DADOS BRUTOS'!$A$3:$A$500,$B31,'DADOS BRUTOS'!B$3:B$500)+IF($C31="",0,SUMIF('DADOS BRUTOS'!$A$3:$A$500,$C31,'DADOS BRUTOS'!B$3:B$500)))</f>
        <v/>
      </c>
      <c r="CC31" s="56">
        <f>IF(OR(CC$4="",$B31=""),0,SUMIF('DADOS BRUTOS'!$A$3:$A$500,$B31,'DADOS BRUTOS'!C$3:C$500)+IF($C31="",0,SUMIF('DADOS BRUTOS'!$A$3:$A$500,$C31,'DADOS BRUTOS'!C$3:C$500)))</f>
        <v/>
      </c>
      <c r="CD31" s="56">
        <f>IF(OR(CD$4="",$B31=""),0,SUMIF('DADOS BRUTOS'!$A$3:$A$500,$B31,'DADOS BRUTOS'!D$3:D$500)+IF($C31="",0,SUMIF('DADOS BRUTOS'!$A$3:$A$500,$C31,'DADOS BRUTOS'!D$3:D$500)))</f>
        <v/>
      </c>
      <c r="CE31" s="56">
        <f>IF(OR(CE$4="",$B31=""),0,SUMIF('DADOS BRUTOS'!$A$3:$A$500,$B31,'DADOS BRUTOS'!E$3:E$500)+IF($C31="",0,SUMIF('DADOS BRUTOS'!$A$3:$A$500,$C31,'DADOS BRUTOS'!E$3:E$500)))</f>
        <v/>
      </c>
      <c r="CF31" s="56">
        <f>IF(OR(CF$4="",$B31=""),0,SUMIF('DADOS BRUTOS'!$A$3:$A$500,$B31,'DADOS BRUTOS'!F$3:F$500)+IF($C31="",0,SUMIF('DADOS BRUTOS'!$A$3:$A$500,$C31,'DADOS BRUTOS'!F$3:F$500)))</f>
        <v/>
      </c>
      <c r="CG31" s="56">
        <f>IF(OR(CG$4="",$B31=""),0,SUMIF('DADOS BRUTOS'!$A$3:$A$500,$B31,'DADOS BRUTOS'!G$3:G$500)+IF($C31="",0,SUMIF('DADOS BRUTOS'!$A$3:$A$500,$C31,'DADOS BRUTOS'!G$3:G$500)))</f>
        <v/>
      </c>
      <c r="CH31" s="56">
        <f>IF(OR(CH$4="",$B31=""),0,SUMIF('DADOS BRUTOS'!$A$3:$A$500,$B31,'DADOS BRUTOS'!H$3:H$500)+IF($C31="",0,SUMIF('DADOS BRUTOS'!$A$3:$A$500,$C31,'DADOS BRUTOS'!H$3:H$500)))</f>
        <v/>
      </c>
      <c r="CI31" s="56">
        <f>IF(OR(CI$4="",$B31=""),0,SUMIF('DADOS BRUTOS'!$A$3:$A$500,$B31,'DADOS BRUTOS'!I$3:I$500)+IF($C31="",0,SUMIF('DADOS BRUTOS'!$A$3:$A$500,$C31,'DADOS BRUTOS'!I$3:I$500)))</f>
        <v/>
      </c>
      <c r="CJ31" s="56">
        <f>IF(OR(CJ$4="",$B31=""),0,SUMIF('DADOS BRUTOS'!$A$3:$A$500,$B31,'DADOS BRUTOS'!J$3:J$500)+IF($C31="",0,SUMIF('DADOS BRUTOS'!$A$3:$A$500,$C31,'DADOS BRUTOS'!J$3:J$500)))</f>
        <v/>
      </c>
      <c r="CK31" s="56">
        <f>IF(OR(CK$4="",$B31=""),0,SUMIF('DADOS BRUTOS'!$A$3:$A$500,$B31,'DADOS BRUTOS'!K$3:K$500)+IF($C31="",0,SUMIF('DADOS BRUTOS'!$A$3:$A$500,$C31,'DADOS BRUTOS'!K$3:K$500)))</f>
        <v/>
      </c>
      <c r="CL31" s="56">
        <f>IF(OR(CL$4="",$B31=""),0,SUMIF('DADOS BRUTOS'!$A$3:$A$500,$B31,'DADOS BRUTOS'!L$3:L$500)+IF($C31="",0,SUMIF('DADOS BRUTOS'!$A$3:$A$500,$C31,'DADOS BRUTOS'!L$3:L$500)))</f>
        <v/>
      </c>
      <c r="CM31" s="56">
        <f>IF(OR(CM$4="",$B31=""),0,SUMIF('DADOS BRUTOS'!$A$3:$A$500,$B31,'DADOS BRUTOS'!M$3:M$500)+IF($C31="",0,SUMIF('DADOS BRUTOS'!$A$3:$A$500,$C31,'DADOS BRUTOS'!M$3:M$500)))</f>
        <v/>
      </c>
      <c r="CN31" s="56">
        <f>IF(OR(CN$4="",$B31=""),0,SUMIF('DADOS BRUTOS'!$A$3:$A$500,$B31,'DADOS BRUTOS'!N$3:N$500)+IF($C31="",0,SUMIF('DADOS BRUTOS'!$A$3:$A$500,$C31,'DADOS BRUTOS'!N$3:N$500)))</f>
        <v/>
      </c>
      <c r="CO31" s="56">
        <f>IF(OR(CO$4="",$B31=""),0,SUMIF('DADOS BRUTOS'!$A$3:$A$500,$B31,'DADOS BRUTOS'!O$3:O$500)+IF($C31="",0,SUMIF('DADOS BRUTOS'!$A$3:$A$500,$C31,'DADOS BRUTOS'!O$3:O$500)))</f>
        <v/>
      </c>
      <c r="CP31" s="56">
        <f>IF(OR(CP$4="",$B31=""),0,SUMIF('DADOS BRUTOS'!$A$3:$A$500,$B31,'DADOS BRUTOS'!P$3:P$500)+IF($C31="",0,SUMIF('DADOS BRUTOS'!$A$3:$A$500,$C31,'DADOS BRUTOS'!P$3:P$500)))</f>
        <v/>
      </c>
      <c r="CQ31" s="56">
        <f>IF(OR(CQ$4="",$B31=""),0,SUMIF('DADOS BRUTOS'!$A$3:$A$500,$B31,'DADOS BRUTOS'!Q$3:Q$500)+IF($C31="",0,SUMIF('DADOS BRUTOS'!$A$3:$A$500,$C31,'DADOS BRUTOS'!Q$3:Q$500)))</f>
        <v/>
      </c>
      <c r="CR31" s="56">
        <f>IF(OR(CR$4="",$B31=""),0,SUMIF('DADOS BRUTOS'!$A$3:$A$500,$B31,'DADOS BRUTOS'!R$3:R$500)+IF($C31="",0,SUMIF('DADOS BRUTOS'!$A$3:$A$500,$C31,'DADOS BRUTOS'!R$3:R$500)))</f>
        <v/>
      </c>
      <c r="CS31" s="56">
        <f>IF(OR(CS$4="",$B31=""),0,SUMIF('DADOS BRUTOS'!$A$3:$A$500,$B31,'DADOS BRUTOS'!S$3:S$500)+IF($C31="",0,SUMIF('DADOS BRUTOS'!$A$3:$A$500,$C31,'DADOS BRUTOS'!S$3:S$500)))</f>
        <v/>
      </c>
      <c r="CT31" s="56">
        <f>IF(OR(CT$4="",$B31=""),0,SUMIF('DADOS BRUTOS'!$A$3:$A$500,$B31,'DADOS BRUTOS'!T$3:T$500)+IF($C31="",0,SUMIF('DADOS BRUTOS'!$A$3:$A$500,$C31,'DADOS BRUTOS'!T$3:T$500)))</f>
        <v/>
      </c>
      <c r="CU31" s="56">
        <f>IF(OR(CU$4="",$B31=""),0,SUMIF('DADOS BRUTOS'!$A$3:$A$500,$B31,'DADOS BRUTOS'!U$3:U$500)+IF($C31="",0,SUMIF('DADOS BRUTOS'!$A$3:$A$500,$C31,'DADOS BRUTOS'!U$3:U$500)))</f>
        <v/>
      </c>
      <c r="CV31" s="56">
        <f>IF(OR(CV$4="",$B31=""),0,SUMIF('DADOS BRUTOS'!$A$3:$A$500,$B31,'DADOS BRUTOS'!V$3:V$500)+IF($C31="",0,SUMIF('DADOS BRUTOS'!$A$3:$A$500,$C31,'DADOS BRUTOS'!V$3:V$500)))</f>
        <v/>
      </c>
      <c r="CW31" s="56">
        <f>IF(OR(CW$4="",$B31=""),0,SUMIF('DADOS BRUTOS'!$A$3:$A$500,$B31,'DADOS BRUTOS'!W$3:W$500)+IF($C31="",0,SUMIF('DADOS BRUTOS'!$A$3:$A$500,$C31,'DADOS BRUTOS'!W$3:W$500)))</f>
        <v/>
      </c>
      <c r="CX31" s="56">
        <f>IF(OR(CX$4="",$B31=""),0,SUMIF('DADOS BRUTOS'!$A$3:$A$500,$B31,'DADOS BRUTOS'!X$3:X$500)+IF($C31="",0,SUMIF('DADOS BRUTOS'!$A$3:$A$500,$C31,'DADOS BRUTOS'!X$3:X$500)))</f>
        <v/>
      </c>
      <c r="CY31" s="56">
        <f>IF(OR(CY$4="",$B31=""),0,SUMIF('DADOS BRUTOS'!$A$3:$A$500,$B31,'DADOS BRUTOS'!Y$3:Y$500)+IF($C31="",0,SUMIF('DADOS BRUTOS'!$A$3:$A$500,$C31,'DADOS BRUTOS'!Y$3:Y$500)))</f>
        <v/>
      </c>
      <c r="CZ31" s="56">
        <f>IF(OR(CZ$4="",$B31=""),0,SUMIF('DADOS BRUTOS'!$A$3:$A$500,$B31,'DADOS BRUTOS'!Z$3:Z$500)+IF($C31="",0,SUMIF('DADOS BRUTOS'!$A$3:$A$500,$C31,'DADOS BRUTOS'!Z$3:Z$500)))</f>
        <v/>
      </c>
      <c r="DA31" s="56">
        <f>IF(OR(DA$4="",$B31=""),0,SUMIF('DADOS BRUTOS'!$A$3:$A$500,$B31,'DADOS BRUTOS'!AA$3:AA$500)+IF($C31="",0,SUMIF('DADOS BRUTOS'!$A$3:$A$500,$C31,'DADOS BRUTOS'!AA$3:AA$500)))</f>
        <v/>
      </c>
      <c r="DB31" s="56">
        <f>IF(OR(DB$4="",$B31=""),0,SUMIF('DADOS BRUTOS'!$A$3:$A$500,$B31,'DADOS BRUTOS'!AB$3:AB$500)+IF($C31="",0,SUMIF('DADOS BRUTOS'!$A$3:$A$500,$C31,'DADOS BRUTOS'!AB$3:AB$500)))</f>
        <v/>
      </c>
      <c r="DC31" s="56">
        <f>IF(OR(DC$4="",$B31=""),0,SUMIF('DADOS BRUTOS'!$A$3:$A$500,$B31,'DADOS BRUTOS'!AC$3:AC$500)+IF($C31="",0,SUMIF('DADOS BRUTOS'!$A$3:$A$500,$C31,'DADOS BRUTOS'!AC$3:AC$500)))</f>
        <v/>
      </c>
      <c r="DD31" s="56">
        <f>IF(OR(DD$4="",$B31=""),0,SUMIF('DADOS BRUTOS'!$A$3:$A$500,$B31,'DADOS BRUTOS'!AD$3:AD$500)+IF($C31="",0,SUMIF('DADOS BRUTOS'!$A$3:$A$500,$C31,'DADOS BRUTOS'!AD$3:AD$500)))</f>
        <v/>
      </c>
      <c r="DE31" s="56">
        <f>IF(OR(DE$4="",$B31=""),0,SUMIF('DADOS BRUTOS'!$A$3:$A$500,$B31,'DADOS BRUTOS'!AE$3:AE$500)+IF($C31="",0,SUMIF('DADOS BRUTOS'!$A$3:$A$500,$C31,'DADOS BRUTOS'!AE$3:AE$500)))</f>
        <v/>
      </c>
      <c r="DF31" s="56">
        <f>IF(OR(DF$4="",$B31=""),0,SUMIF('DADOS BRUTOS'!$A$3:$A$500,$B31,'DADOS BRUTOS'!AF$3:AF$500)+IF($C31="",0,SUMIF('DADOS BRUTOS'!$A$3:$A$500,$C31,'DADOS BRUTOS'!AF$3:AF$500)))</f>
        <v/>
      </c>
      <c r="DG31" s="56">
        <f>IF(OR(DG$4="",$B31=""),0,SUMIF('DADOS BRUTOS'!$A$3:$A$500,$B31,'DADOS BRUTOS'!AG$3:AG$500)+IF($C31="",0,SUMIF('DADOS BRUTOS'!$A$3:$A$500,$C31,'DADOS BRUTOS'!AG$3:AG$500)))</f>
        <v/>
      </c>
      <c r="DH31" s="56">
        <f>IF(OR(DH$4="",$B31=""),0,SUMIF('DADOS BRUTOS'!$A$3:$A$500,$B31,'DADOS BRUTOS'!AH$3:AH$500)+IF($C31="",0,SUMIF('DADOS BRUTOS'!$A$3:$A$500,$C31,'DADOS BRUTOS'!AH$3:AH$500)))</f>
        <v/>
      </c>
      <c r="DI31" s="56">
        <f>IF(OR(DI$4="",$B31=""),0,SUMIF('DADOS BRUTOS'!$A$3:$A$500,$B31,'DADOS BRUTOS'!AI$3:AI$500)+IF($C31="",0,SUMIF('DADOS BRUTOS'!$A$3:$A$500,$C31,'DADOS BRUTOS'!AI$3:AI$500)))</f>
        <v/>
      </c>
      <c r="DJ31" s="56">
        <f>IF(OR(DJ$4="",$B31=""),0,SUMIF('DADOS BRUTOS'!$A$3:$A$500,$B31,'DADOS BRUTOS'!AJ$3:AJ$500)+IF($C31="",0,SUMIF('DADOS BRUTOS'!$A$3:$A$500,$C31,'DADOS BRUTOS'!AJ$3:AJ$500)))</f>
        <v/>
      </c>
      <c r="DK31" s="56">
        <f>IF(OR(DK$4="",$B31=""),0,SUMIF('DADOS BRUTOS'!$A$3:$A$500,$B31,'DADOS BRUTOS'!AK$3:AK$500)+IF($C31="",0,SUMIF('DADOS BRUTOS'!$A$3:$A$500,$C31,'DADOS BRUTOS'!AK$3:AK$500)))</f>
        <v/>
      </c>
      <c r="DL31" s="56">
        <f>IF(OR(DL$4="",$B31=""),0,SUMIF('DADOS BRUTOS'!$A$3:$A$500,$B31,'DADOS BRUTOS'!AL$3:AL$500)+IF($C31="",0,SUMIF('DADOS BRUTOS'!$A$3:$A$500,$C31,'DADOS BRUTOS'!AL$3:AL$500)))</f>
        <v/>
      </c>
      <c r="DM31" s="56">
        <f>IF(OR(DM$4="",$B31=""),0,SUMIF('DADOS BRUTOS'!$A$3:$A$500,$B31,'DADOS BRUTOS'!AM$3:AM$500)+IF($C31="",0,SUMIF('DADOS BRUTOS'!$A$3:$A$500,$C31,'DADOS BRUTOS'!AM$3:AM$500)))</f>
        <v/>
      </c>
      <c r="DN31" s="56">
        <f>IF(OR(DN$4="",$B31=""),0,SUMIF('DADOS BRUTOS'!$A$3:$A$500,$B31,'DADOS BRUTOS'!AN$3:AN$500)+IF($C31="",0,SUMIF('DADOS BRUTOS'!$A$3:$A$500,$C31,'DADOS BRUTOS'!AN$3:AN$500)))</f>
        <v/>
      </c>
      <c r="DO31" s="56">
        <f>IF(OR(DO$4="",$B31=""),0,SUMIF('DADOS BRUTOS'!$A$3:$A$500,$B31,'DADOS BRUTOS'!AO$3:AO$500)+IF($C31="",0,SUMIF('DADOS BRUTOS'!$A$3:$A$500,$C31,'DADOS BRUTOS'!AO$3:AO$500)))</f>
        <v/>
      </c>
      <c r="DP31" s="56">
        <f>IF(OR(DP$4="",$B31=""),0,SUMIF('DADOS BRUTOS'!$A$3:$A$500,$B31,'DADOS BRUTOS'!AP$3:AP$500)+IF($C31="",0,SUMIF('DADOS BRUTOS'!$A$3:$A$500,$C31,'DADOS BRUTOS'!AP$3:AP$500)))</f>
        <v/>
      </c>
      <c r="DQ31" s="56">
        <f>IF(OR(DQ$4="",$B31=""),0,SUMIF('DADOS BRUTOS'!$A$3:$A$500,$B31,'DADOS BRUTOS'!AQ$3:AQ$500)+IF($C31="",0,SUMIF('DADOS BRUTOS'!$A$3:$A$500,$C31,'DADOS BRUTOS'!AQ$3:AQ$500)))</f>
        <v/>
      </c>
      <c r="DR31" s="56">
        <f>IF(OR(DR$4="",$B31=""),0,SUMIF('DADOS BRUTOS'!$A$3:$A$500,$B31,'DADOS BRUTOS'!AR$3:AR$500)+IF($C31="",0,SUMIF('DADOS BRUTOS'!$A$3:$A$500,$C31,'DADOS BRUTOS'!AR$3:AR$500)))</f>
        <v/>
      </c>
      <c r="DS31" s="56">
        <f>IF(OR(DS$4="",$B31=""),0,SUMIF('DADOS BRUTOS'!$A$3:$A$500,$B31,'DADOS BRUTOS'!AS$3:AS$500)+IF($C31="",0,SUMIF('DADOS BRUTOS'!$A$3:$A$500,$C31,'DADOS BRUTOS'!AS$3:AS$500)))</f>
        <v/>
      </c>
      <c r="DT31" s="56">
        <f>IF(OR(DT$4="",$B31=""),0,SUMIF('DADOS BRUTOS'!$A$3:$A$500,$B31,'DADOS BRUTOS'!AT$3:AT$500)+IF($C31="",0,SUMIF('DADOS BRUTOS'!$A$3:$A$500,$C31,'DADOS BRUTOS'!AT$3:AT$500)))</f>
        <v/>
      </c>
      <c r="DU31" s="56">
        <f>IF(OR(DU$4="",$B31=""),0,SUMIF('DADOS BRUTOS'!$A$3:$A$500,$B31,'DADOS BRUTOS'!AU$3:AU$500)+IF($C31="",0,SUMIF('DADOS BRUTOS'!$A$3:$A$500,$C31,'DADOS BRUTOS'!AU$3:AU$500)))</f>
        <v/>
      </c>
      <c r="DV31" s="56">
        <f>IF(OR(DV$4="",$B31=""),0,SUMIF('DADOS BRUTOS'!$A$3:$A$500,$B31,'DADOS BRUTOS'!AV$3:AV$500)+IF($C31="",0,SUMIF('DADOS BRUTOS'!$A$3:$A$500,$C31,'DADOS BRUTOS'!AV$3:AV$500)))</f>
        <v/>
      </c>
      <c r="DW31" s="56">
        <f>IF(OR(DW$4="",$B31=""),0,SUMIF('DADOS BRUTOS'!$A$3:$A$500,$B31,'DADOS BRUTOS'!AW$3:AW$500)+IF($C31="",0,SUMIF('DADOS BRUTOS'!$A$3:$A$500,$C31,'DADOS BRUTOS'!AW$3:AW$500)))</f>
        <v/>
      </c>
      <c r="DX31" s="56">
        <f>IF(OR(DX$4="",$B31=""),0,SUMIF('DADOS BRUTOS'!$A$3:$A$500,$B31,'DADOS BRUTOS'!AX$3:AX$500)+IF($C31="",0,SUMIF('DADOS BRUTOS'!$A$3:$A$500,$C31,'DADOS BRUTOS'!AX$3:AX$500)))</f>
        <v/>
      </c>
      <c r="DY31" s="56">
        <f>IF(OR(DY$4="",$B31=""),0,SUMIF('DADOS BRUTOS'!$A$3:$A$500,$B31,'DADOS BRUTOS'!AY$3:AY$500)+IF($C31="",0,SUMIF('DADOS BRUTOS'!$A$3:$A$500,$C31,'DADOS BRUTOS'!AY$3:AY$500)))</f>
        <v/>
      </c>
      <c r="DZ31" s="56">
        <f>IF(OR(DZ$4="",$B31=""),0,SUMIF('DADOS BRUTOS'!$A$3:$A$500,$B31,'DADOS BRUTOS'!AZ$3:AZ$500)+IF($C31="",0,SUMIF('DADOS BRUTOS'!$A$3:$A$500,$C31,'DADOS BRUTOS'!AZ$3:AZ$500)))</f>
        <v/>
      </c>
      <c r="EA31" s="56">
        <f>IF(OR(EA$4="",$B31=""),0,SUMIF('DADOS BRUTOS'!$A$3:$A$500,$B31,'DADOS BRUTOS'!BA$3:BA$500)+IF($C31="",0,SUMIF('DADOS BRUTOS'!$A$3:$A$500,$C31,'DADOS BRUTOS'!BA$3:BA$500)))</f>
        <v/>
      </c>
      <c r="EB31" s="56">
        <f>IF(OR(EB$4="",$B31=""),0,SUMIF('DADOS BRUTOS'!$A$3:$A$500,$B31,'DADOS BRUTOS'!BB$3:BB$500)+IF($C31="",0,SUMIF('DADOS BRUTOS'!$A$3:$A$500,$C31,'DADOS BRUTOS'!BB$3:BB$500)))</f>
        <v/>
      </c>
      <c r="EC31" s="56">
        <f>IF(OR(EC$4="",$B31=""),0,SUMIF('DADOS BRUTOS'!$A$3:$A$500,$B31,'DADOS BRUTOS'!BC$3:BC$500)+IF($C31="",0,SUMIF('DADOS BRUTOS'!$A$3:$A$500,$C31,'DADOS BRUTOS'!BC$3:BC$500)))</f>
        <v/>
      </c>
      <c r="ED31" s="56">
        <f>IF(OR(ED$4="",$B31=""),0,SUMIF('DADOS BRUTOS'!$A$3:$A$500,$B31,'DADOS BRUTOS'!BD$3:BD$500)+IF($C31="",0,SUMIF('DADOS BRUTOS'!$A$3:$A$500,$C31,'DADOS BRUTOS'!BD$3:BD$500)))</f>
        <v/>
      </c>
      <c r="EE31" s="56">
        <f>IF(OR(EE$4="",$B31=""),0,SUMIF('DADOS BRUTOS'!$A$3:$A$500,$B31,'DADOS BRUTOS'!BE$3:BE$500)+IF($C31="",0,SUMIF('DADOS BRUTOS'!$A$3:$A$500,$C31,'DADOS BRUTOS'!BE$3:BE$500)))</f>
        <v/>
      </c>
      <c r="EF31" s="56">
        <f>IF(OR(EF$4="",$B31=""),0,SUMIF('DADOS BRUTOS'!$A$3:$A$500,$B31,'DADOS BRUTOS'!BF$3:BF$500)+IF($C31="",0,SUMIF('DADOS BRUTOS'!$A$3:$A$500,$C31,'DADOS BRUTOS'!BF$3:BF$500)))</f>
        <v/>
      </c>
      <c r="EG31" s="56">
        <f>IF(OR(EG$4="",$B31=""),0,SUMIF('DADOS BRUTOS'!$A$3:$A$500,$B31,'DADOS BRUTOS'!BG$3:BG$500)+IF($C31="",0,SUMIF('DADOS BRUTOS'!$A$3:$A$500,$C31,'DADOS BRUTOS'!BG$3:BG$500)))</f>
        <v/>
      </c>
      <c r="EH31" s="56">
        <f>IF(OR(EH$4="",$B31=""),0,SUMIF('DADOS BRUTOS'!$A$3:$A$500,$B31,'DADOS BRUTOS'!BH$3:BH$500)+IF($C31="",0,SUMIF('DADOS BRUTOS'!$A$3:$A$500,$C31,'DADOS BRUTOS'!BH$3:BH$500)))</f>
        <v/>
      </c>
      <c r="EI31" s="56">
        <f>IF(OR(EI$4="",$B31=""),0,SUMIF('DADOS BRUTOS'!$A$3:$A$500,$B31,'DADOS BRUTOS'!BI$3:BI$500)+IF($C31="",0,SUMIF('DADOS BRUTOS'!$A$3:$A$500,$C31,'DADOS BRUTOS'!BI$3:BI$500)))</f>
        <v/>
      </c>
      <c r="EJ31" s="56">
        <f>IF(OR(EJ$4="",$B31=""),0,SUMIF('DADOS BRUTOS'!$A$3:$A$500,$B31,'DADOS BRUTOS'!BJ$3:BJ$500)+IF($C31="",0,SUMIF('DADOS BRUTOS'!$A$3:$A$500,$C31,'DADOS BRUTOS'!BJ$3:BJ$500)))</f>
        <v/>
      </c>
      <c r="EK31" s="56">
        <f>IF(OR(EK$4="",$B31=""),0,SUMIF('DADOS BRUTOS'!$A$3:$A$500,$B31,'DADOS BRUTOS'!BK$3:BK$500)+IF($C31="",0,SUMIF('DADOS BRUTOS'!$A$3:$A$500,$C31,'DADOS BRUTOS'!BK$3:BK$500)))</f>
        <v/>
      </c>
      <c r="EL31" s="56">
        <f>IF(OR(EL$4="",$B31=""),0,SUMIF('DADOS BRUTOS'!$A$3:$A$500,$B31,'DADOS BRUTOS'!BL$3:BL$500)+IF($C31="",0,SUMIF('DADOS BRUTOS'!$A$3:$A$500,$C31,'DADOS BRUTOS'!BL$3:BL$500)))</f>
        <v/>
      </c>
      <c r="EM31" s="56">
        <f>IF(OR(EM$4="",$B31=""),0,SUMIF('DADOS BRUTOS'!$A$3:$A$500,$B31,'DADOS BRUTOS'!BM$3:BM$500)+IF($C31="",0,SUMIF('DADOS BRUTOS'!$A$3:$A$500,$C31,'DADOS BRUTOS'!BM$3:BM$500)))</f>
        <v/>
      </c>
      <c r="EN31" s="56">
        <f>IF(OR(EN$4="",$B31=""),0,SUMIF('DADOS BRUTOS'!$A$3:$A$500,$B31,'DADOS BRUTOS'!BN$3:BN$500)+IF($C31="",0,SUMIF('DADOS BRUTOS'!$A$3:$A$500,$C31,'DADOS BRUTOS'!BN$3:BN$500)))</f>
        <v/>
      </c>
      <c r="EO31" s="56">
        <f>IF(OR(EO$4="",$B31=""),0,SUMIF('DADOS BRUTOS'!$A$3:$A$500,$B31,'DADOS BRUTOS'!BO$3:BO$500)+IF($C31="",0,SUMIF('DADOS BRUTOS'!$A$3:$A$500,$C31,'DADOS BRUTOS'!BO$3:BO$500)))</f>
        <v/>
      </c>
      <c r="EP31" s="56">
        <f>IF(OR(EP$4="",$B31=""),0,SUMIF('DADOS BRUTOS'!$A$3:$A$500,$B31,'DADOS BRUTOS'!BP$3:BP$500)+IF($C31="",0,SUMIF('DADOS BRUTOS'!$A$3:$A$500,$C31,'DADOS BRUTOS'!BP$3:BP$500)))</f>
        <v/>
      </c>
      <c r="EQ31" s="56">
        <f>IF(OR(EQ$4="",$B31=""),0,SUMIF('DADOS BRUTOS'!$A$3:$A$500,$B31,'DADOS BRUTOS'!BQ$3:BQ$500)+IF($C31="",0,SUMIF('DADOS BRUTOS'!$A$3:$A$500,$C31,'DADOS BRUTOS'!BQ$3:BQ$500)))</f>
        <v/>
      </c>
      <c r="ER31" s="56">
        <f>IF(OR(ER$4="",$B31=""),0,SUMIF('DADOS BRUTOS'!$A$3:$A$500,$B31,'DADOS BRUTOS'!BR$3:BR$500)+IF($C31="",0,SUMIF('DADOS BRUTOS'!$A$3:$A$500,$C31,'DADOS BRUTOS'!BR$3:BR$500)))</f>
        <v/>
      </c>
      <c r="ES31" s="56">
        <f>IF(OR(ES$4="",$B31=""),0,SUMIF('DADOS BRUTOS'!$A$3:$A$500,$B31,'DADOS BRUTOS'!BS$3:BS$500)+IF($C31="",0,SUMIF('DADOS BRUTOS'!$A$3:$A$500,$C31,'DADOS BRUTOS'!BS$3:BS$500)))</f>
        <v/>
      </c>
      <c r="ET31" s="56">
        <f>IF(OR(ET$4="",$B31=""),0,SUMIF('DADOS BRUTOS'!$A$3:$A$500,$B31,'DADOS BRUTOS'!BT$3:BT$500)+IF($C31="",0,SUMIF('DADOS BRUTOS'!$A$3:$A$500,$C31,'DADOS BRUTOS'!BT$3:BT$500)))</f>
        <v/>
      </c>
      <c r="EU31" s="56">
        <f>IF(OR(EU$4="",$B31=""),0,SUMIF('DADOS BRUTOS'!$A$3:$A$500,$B31,'DADOS BRUTOS'!BU$3:BU$500)+IF($C31="",0,SUMIF('DADOS BRUTOS'!$A$3:$A$500,$C31,'DADOS BRUTOS'!BU$3:BU$500)))</f>
        <v/>
      </c>
      <c r="EV31" s="56">
        <f>IF(OR(EV$4="",$B31=""),0,SUMIF('DADOS BRUTOS'!$A$3:$A$500,$B31,'DADOS BRUTOS'!BV$3:BV$500)+IF($C31="",0,SUMIF('DADOS BRUTOS'!$A$3:$A$500,$C31,'DADOS BRUTOS'!BV$3:BV$500)))</f>
        <v/>
      </c>
      <c r="EW31" s="56">
        <f>IF(OR(EW$4="",$B31=""),0,SUMIF('DADOS BRUTOS'!$A$3:$A$500,$B31,'DADOS BRUTOS'!BW$3:BW$500)+IF($C31="",0,SUMIF('DADOS BRUTOS'!$A$3:$A$500,$C31,'DADOS BRUTOS'!BW$3:BW$500)))</f>
        <v/>
      </c>
      <c r="EX31" s="56">
        <f>IF(OR(EX$4="",$B31=""),0,SUMIF('DADOS BRUTOS'!$A$3:$A$500,$B31,'DADOS BRUTOS'!BX$3:BX$500)+IF($C31="",0,SUMIF('DADOS BRUTOS'!$A$3:$A$500,$C31,'DADOS BRUTOS'!BX$3:BX$500)))</f>
        <v/>
      </c>
      <c r="EY31" s="56">
        <f>IF(OR(EY$4="",$B31=""),0,SUMIF('DADOS BRUTOS'!$A$3:$A$500,$B31,'DADOS BRUTOS'!BY$3:BY$500)+IF($C31="",0,SUMIF('DADOS BRUTOS'!$A$3:$A$500,$C31,'DADOS BRUTOS'!BY$3:BY$500)))</f>
        <v/>
      </c>
      <c r="EZ31" s="56">
        <f>IF(OR(EZ$4="",$B31=""),0,SUMIF('DADOS BRUTOS'!$A$3:$A$500,$B31,'DADOS BRUTOS'!BZ$3:BZ$500)+IF($C31="",0,SUMIF('DADOS BRUTOS'!$A$3:$A$500,$C31,'DADOS BRUTOS'!BZ$3:BZ$500)))</f>
        <v/>
      </c>
      <c r="FA31" s="56">
        <f>IF(OR(FA$4="",$B31=""),0,SUMIF('DADOS BRUTOS'!$A$3:$A$500,$B31,'DADOS BRUTOS'!CA$3:CA$500)+IF($C31="",0,SUMIF('DADOS BRUTOS'!$A$3:$A$500,$C31,'DADOS BRUTOS'!CA$3:CA$500)))</f>
        <v/>
      </c>
      <c r="FB31" s="56">
        <f>IF(OR(FB$4="",$B31=""),0,SUMIF('DADOS BRUTOS'!$A$3:$A$500,$B31,'DADOS BRUTOS'!CB$3:CB$500)+IF($C31="",0,SUMIF('DADOS BRUTOS'!$A$3:$A$500,$C31,'DADOS BRUTOS'!CB$3:CB$500)))</f>
        <v/>
      </c>
      <c r="FC31" s="56">
        <f>IF(OR(FC$4="",$B31=""),0,SUMIF('DADOS BRUTOS'!$A$3:$A$500,$B31,'DADOS BRUTOS'!CC$3:CC$500)+IF($C31="",0,SUMIF('DADOS BRUTOS'!$A$3:$A$500,$C31,'DADOS BRUTOS'!CC$3:CC$500)))</f>
        <v/>
      </c>
      <c r="FD31" s="56">
        <f>IF(OR(FD$4="",$B31=""),0,SUMIF('DADOS BRUTOS'!$A$3:$A$500,$B31,'DADOS BRUTOS'!CD$3:CD$500)+IF($C31="",0,SUMIF('DADOS BRUTOS'!$A$3:$A$500,$C31,'DADOS BRUTOS'!CD$3:CD$500)))</f>
        <v/>
      </c>
      <c r="FE31" s="56">
        <f>IF(OR(FE$4="",$B31=""),0,SUMIF('DADOS BRUTOS'!$A$3:$A$500,$B31,'DADOS BRUTOS'!CE$3:CE$500)+IF($C31="",0,SUMIF('DADOS BRUTOS'!$A$3:$A$500,$C31,'DADOS BRUTOS'!CE$3:CE$500)))</f>
        <v/>
      </c>
      <c r="FF31" s="56">
        <f>IF(OR(FF$4="",$B31=""),0,SUMIF('DADOS BRUTOS'!$A$3:$A$500,$B31,'DADOS BRUTOS'!CF$3:CF$500)+IF($C31="",0,SUMIF('DADOS BRUTOS'!$A$3:$A$500,$C31,'DADOS BRUTOS'!CF$3:CF$500)))</f>
        <v/>
      </c>
      <c r="FG31" s="56">
        <f>IF(OR(FG$4="",$B31=""),0,SUMIF('DADOS BRUTOS'!$A$3:$A$500,$B31,'DADOS BRUTOS'!CG$3:CG$500)+IF($C31="",0,SUMIF('DADOS BRUTOS'!$A$3:$A$500,$C31,'DADOS BRUTOS'!CG$3:CG$500)))</f>
        <v/>
      </c>
      <c r="FH31" s="56">
        <f>IF(OR(FH$4="",$B31=""),0,SUMIF('DADOS BRUTOS'!$A$3:$A$500,$B31,'DADOS BRUTOS'!CH$3:CH$500)+IF($C31="",0,SUMIF('DADOS BRUTOS'!$A$3:$A$500,$C31,'DADOS BRUTOS'!CH$3:CH$500)))</f>
        <v/>
      </c>
      <c r="FI31" s="56">
        <f>IF(OR(FI$4="",$B31=""),0,SUMIF('DADOS BRUTOS'!$A$3:$A$500,$B31,'DADOS BRUTOS'!CI$3:CI$500)+IF($C31="",0,SUMIF('DADOS BRUTOS'!$A$3:$A$500,$C31,'DADOS BRUTOS'!CI$3:CI$500)))</f>
        <v/>
      </c>
      <c r="FJ31" s="56">
        <f>IF(OR(FJ$4="",$B31=""),0,SUMIF('DADOS BRUTOS'!$A$3:$A$500,$B31,'DADOS BRUTOS'!CJ$3:CJ$500)+IF($C31="",0,SUMIF('DADOS BRUTOS'!$A$3:$A$500,$C31,'DADOS BRUTOS'!CJ$3:CJ$500)))</f>
        <v/>
      </c>
      <c r="FK31" s="56">
        <f>IF(OR(FK$4="",$B31=""),0,SUMIF('DADOS BRUTOS'!$A$3:$A$500,$B31,'DADOS BRUTOS'!CK$3:CK$500)+IF($C31="",0,SUMIF('DADOS BRUTOS'!$A$3:$A$500,$C31,'DADOS BRUTOS'!CK$3:CK$500)))</f>
        <v/>
      </c>
      <c r="FL31" s="56">
        <f>IF(OR(FL$4="",$B31=""),0,SUMIF('DADOS BRUTOS'!$A$3:$A$500,$B31,'DADOS BRUTOS'!CL$3:CL$500)+IF($C31="",0,SUMIF('DADOS BRUTOS'!$A$3:$A$500,$C31,'DADOS BRUTOS'!CL$3:CL$500)))</f>
        <v/>
      </c>
      <c r="FM31" s="56">
        <f>IF(OR(FM$4="",$B31=""),0,SUMIF('DADOS BRUTOS'!$A$3:$A$500,$B31,'DADOS BRUTOS'!CM$3:CM$500)+IF($C31="",0,SUMIF('DADOS BRUTOS'!$A$3:$A$500,$C31,'DADOS BRUTOS'!CM$3:CM$500)))</f>
        <v/>
      </c>
      <c r="FN31" s="56">
        <f>IF(OR(FN$4="",$B31=""),0,SUMIF('DADOS BRUTOS'!$A$3:$A$500,$B31,'DADOS BRUTOS'!CN$3:CN$500)+IF($C31="",0,SUMIF('DADOS BRUTOS'!$A$3:$A$500,$C31,'DADOS BRUTOS'!CN$3:CN$500)))</f>
        <v/>
      </c>
      <c r="FO31" s="56">
        <f>IF(OR(FO$4="",$B31=""),0,SUMIF('DADOS BRUTOS'!$A$3:$A$500,$B31,'DADOS BRUTOS'!CO$3:CO$500)+IF($C31="",0,SUMIF('DADOS BRUTOS'!$A$3:$A$500,$C31,'DADOS BRUTOS'!CO$3:CO$500)))</f>
        <v/>
      </c>
      <c r="FP31" s="56">
        <f>IF(OR(FP$4="",$B31=""),0,SUMIF('DADOS BRUTOS'!$A$3:$A$500,$B31,'DADOS BRUTOS'!CP$3:CP$500)+IF($C31="",0,SUMIF('DADOS BRUTOS'!$A$3:$A$500,$C31,'DADOS BRUTOS'!CP$3:CP$500)))</f>
        <v/>
      </c>
      <c r="FQ31" s="56">
        <f>IF(OR(FQ$4="",$B31=""),0,SUMIF('DADOS BRUTOS'!$A$3:$A$500,$B31,'DADOS BRUTOS'!CQ$3:CQ$500)+IF($C31="",0,SUMIF('DADOS BRUTOS'!$A$3:$A$500,$C31,'DADOS BRUTOS'!CQ$3:CQ$500)))</f>
        <v/>
      </c>
      <c r="FR31" s="56">
        <f>IF(OR(FR$4="",$B31=""),0,SUMIF('DADOS BRUTOS'!$A$3:$A$500,$B31,'DADOS BRUTOS'!CR$3:CR$500)+IF($C31="",0,SUMIF('DADOS BRUTOS'!$A$3:$A$500,$C31,'DADOS BRUTOS'!CR$3:CR$500)))</f>
        <v/>
      </c>
      <c r="FS31" s="56">
        <f>IF(OR(FS$4="",$B31=""),0,SUMIF('DADOS BRUTOS'!$A$3:$A$500,$B31,'DADOS BRUTOS'!CS$3:CS$500)+IF($C31="",0,SUMIF('DADOS BRUTOS'!$A$3:$A$500,$C31,'DADOS BRUTOS'!CS$3:CS$500)))</f>
        <v/>
      </c>
      <c r="FT31" s="56">
        <f>IF(OR(FT$4="",$B31=""),0,SUMIF('DADOS BRUTOS'!$A$3:$A$500,$B31,'DADOS BRUTOS'!CT$3:CT$500)+IF($C31="",0,SUMIF('DADOS BRUTOS'!$A$3:$A$500,$C31,'DADOS BRUTOS'!CT$3:CT$500)))</f>
        <v/>
      </c>
      <c r="FU31" s="56">
        <f>IF(OR(FU$4="",$B31=""),0,SUMIF('DADOS BRUTOS'!$A$3:$A$500,$B31,'DADOS BRUTOS'!CU$3:CU$500)+IF($C31="",0,SUMIF('DADOS BRUTOS'!$A$3:$A$500,$C31,'DADOS BRUTOS'!CU$3:CU$500)))</f>
        <v/>
      </c>
      <c r="FV31" s="56">
        <f>IF(OR(FV$4="",$B31=""),0,SUMIF('DADOS BRUTOS'!$A$3:$A$500,$B31,'DADOS BRUTOS'!CV$3:CV$500)+IF($C31="",0,SUMIF('DADOS BRUTOS'!$A$3:$A$500,$C31,'DADOS BRUTOS'!CV$3:CV$500)))</f>
        <v/>
      </c>
      <c r="FW31" s="56">
        <f>IF(OR(FW$4="",$B31=""),0,SUMIF('DADOS BRUTOS'!$A$3:$A$500,$B31,'DADOS BRUTOS'!CW$3:CW$500)+IF($C31="",0,SUMIF('DADOS BRUTOS'!$A$3:$A$500,$C31,'DADOS BRUTOS'!CW$3:CW$500)))</f>
        <v/>
      </c>
      <c r="FX31" s="56">
        <f>IF(OR(FX$4="",$B31=""),0,SUMIF('DADOS BRUTOS'!$A$3:$A$500,$B31,'DADOS BRUTOS'!CX$3:CX$500)+IF($C31="",0,SUMIF('DADOS BRUTOS'!$A$3:$A$500,$C31,'DADOS BRUTOS'!CX$3:CX$500)))</f>
        <v/>
      </c>
      <c r="FY31" s="56">
        <f>IF(OR(FY$4="",$B31=""),0,SUMIF('DADOS BRUTOS'!$A$3:$A$500,$B31,'DADOS BRUTOS'!CY$3:CY$500)+IF($C31="",0,SUMIF('DADOS BRUTOS'!$A$3:$A$500,$C31,'DADOS BRUTOS'!CY$3:CY$500)))</f>
        <v/>
      </c>
      <c r="FZ31" s="56">
        <f>IF(OR(FZ$4="",$B31=""),0,SUMIF('DADOS BRUTOS'!$A$3:$A$500,$B31,'DADOS BRUTOS'!CZ$3:CZ$500)+IF($C31="",0,SUMIF('DADOS BRUTOS'!$A$3:$A$500,$C31,'DADOS BRUTOS'!CZ$3:CZ$500)))</f>
        <v/>
      </c>
      <c r="GA31" s="56">
        <f>IF(OR(GA$4="",$B31=""),0,SUMIF('DADOS BRUTOS'!$A$3:$A$500,$B31,'DADOS BRUTOS'!DA$3:DA$500)+IF($C31="",0,SUMIF('DADOS BRUTOS'!$A$3:$A$500,$C31,'DADOS BRUTOS'!DA$3:DA$500)))</f>
        <v/>
      </c>
      <c r="GB31" s="56">
        <f>IF(OR(GB$4="",$B31=""),0,SUMIF('DADOS BRUTOS'!$A$3:$A$500,$B31,'DADOS BRUTOS'!DB$3:DB$500)+IF($C31="",0,SUMIF('DADOS BRUTOS'!$A$3:$A$500,$C31,'DADOS BRUTOS'!DB$3:DB$500)))</f>
        <v/>
      </c>
      <c r="GC31" s="56">
        <f>IF(OR(GC$4="",$B31=""),0,SUMIF('DADOS BRUTOS'!$A$3:$A$500,$B31,'DADOS BRUTOS'!DC$3:DC$500)+IF($C31="",0,SUMIF('DADOS BRUTOS'!$A$3:$A$500,$C31,'DADOS BRUTOS'!DC$3:DC$500)))</f>
        <v/>
      </c>
      <c r="GD31" s="56">
        <f>IF(OR(GD$4="",$B31=""),0,SUMIF('DADOS BRUTOS'!$A$3:$A$500,$B31,'DADOS BRUTOS'!DD$3:DD$500)+IF($C31="",0,SUMIF('DADOS BRUTOS'!$A$3:$A$500,$C31,'DADOS BRUTOS'!DD$3:DD$500)))</f>
        <v/>
      </c>
      <c r="GE31" s="56">
        <f>IF(OR(GE$4="",$B31=""),0,SUMIF('DADOS BRUTOS'!$A$3:$A$500,$B31,'DADOS BRUTOS'!DE$3:DE$500)+IF($C31="",0,SUMIF('DADOS BRUTOS'!$A$3:$A$500,$C31,'DADOS BRUTOS'!DE$3:DE$500)))</f>
        <v/>
      </c>
      <c r="GF31" s="56">
        <f>IF(OR(GF$4="",$B31=""),0,SUMIF('DADOS BRUTOS'!$A$3:$A$500,$B31,'DADOS BRUTOS'!DF$3:DF$500)+IF($C31="",0,SUMIF('DADOS BRUTOS'!$A$3:$A$500,$C31,'DADOS BRUTOS'!DF$3:DF$500)))</f>
        <v/>
      </c>
      <c r="GG31" s="56">
        <f>IF(OR(GG$4="",$B31=""),0,SUMIF('DADOS BRUTOS'!$A$3:$A$500,$B31,'DADOS BRUTOS'!DG$3:DG$500)+IF($C31="",0,SUMIF('DADOS BRUTOS'!$A$3:$A$500,$C31,'DADOS BRUTOS'!DG$3:DG$500)))</f>
        <v/>
      </c>
      <c r="GH31" s="56">
        <f>IF(OR(GH$4="",$B31=""),0,SUMIF('DADOS BRUTOS'!$A$3:$A$500,$B31,'DADOS BRUTOS'!DH$3:DH$500)+IF($C31="",0,SUMIF('DADOS BRUTOS'!$A$3:$A$500,$C31,'DADOS BRUTOS'!DH$3:DH$500)))</f>
        <v/>
      </c>
      <c r="GI31" s="56">
        <f>IF(OR(GI$4="",$B31=""),0,SUMIF('DADOS BRUTOS'!$A$3:$A$500,$B31,'DADOS BRUTOS'!DI$3:DI$500)+IF($C31="",0,SUMIF('DADOS BRUTOS'!$A$3:$A$500,$C31,'DADOS BRUTOS'!DI$3:DI$500)))</f>
        <v/>
      </c>
      <c r="GJ31" s="56">
        <f>IF(OR(GJ$4="",$B31=""),0,SUMIF('DADOS BRUTOS'!$A$3:$A$500,$B31,'DADOS BRUTOS'!DJ$3:DJ$500)+IF($C31="",0,SUMIF('DADOS BRUTOS'!$A$3:$A$500,$C31,'DADOS BRUTOS'!DJ$3:DJ$500)))</f>
        <v/>
      </c>
      <c r="GK31" s="56">
        <f>IF(OR(GK$4="",$B31=""),0,SUMIF('DADOS BRUTOS'!$A$3:$A$500,$B31,'DADOS BRUTOS'!DK$3:DK$500)+IF($C31="",0,SUMIF('DADOS BRUTOS'!$A$3:$A$500,$C31,'DADOS BRUTOS'!DK$3:DK$500)))</f>
        <v/>
      </c>
      <c r="GL31" s="56">
        <f>IF(OR(GL$4="",$B31=""),0,SUMIF('DADOS BRUTOS'!$A$3:$A$500,$B31,'DADOS BRUTOS'!DL$3:DL$500)+IF($C31="",0,SUMIF('DADOS BRUTOS'!$A$3:$A$500,$C31,'DADOS BRUTOS'!DL$3:DL$500)))</f>
        <v/>
      </c>
      <c r="GM31" s="56">
        <f>IF(OR(GM$4="",$B31=""),0,SUMIF('DADOS BRUTOS'!$A$3:$A$500,$B31,'DADOS BRUTOS'!DM$3:DM$500)+IF($C31="",0,SUMIF('DADOS BRUTOS'!$A$3:$A$500,$C31,'DADOS BRUTOS'!DM$3:DM$500)))</f>
        <v/>
      </c>
      <c r="GN31" s="56">
        <f>IF(OR(GN$4="",$B31=""),0,SUMIF('DADOS BRUTOS'!$A$3:$A$500,$B31,'DADOS BRUTOS'!DN$3:DN$500)+IF($C31="",0,SUMIF('DADOS BRUTOS'!$A$3:$A$500,$C31,'DADOS BRUTOS'!DN$3:DN$500)))</f>
        <v/>
      </c>
      <c r="GO31" s="56">
        <f>IF(OR(GO$4="",$B31=""),0,SUMIF('DADOS BRUTOS'!$A$3:$A$500,$B31,'DADOS BRUTOS'!DO$3:DO$500)+IF($C31="",0,SUMIF('DADOS BRUTOS'!$A$3:$A$500,$C31,'DADOS BRUTOS'!DO$3:DO$500)))</f>
        <v/>
      </c>
      <c r="GP31" s="56">
        <f>IF(OR(GP$4="",$B31=""),0,SUMIF('DADOS BRUTOS'!$A$3:$A$500,$B31,'DADOS BRUTOS'!DP$3:DP$500)+IF($C31="",0,SUMIF('DADOS BRUTOS'!$A$3:$A$500,$C31,'DADOS BRUTOS'!DP$3:DP$500)))</f>
        <v/>
      </c>
      <c r="GQ31" s="56">
        <f>IF(OR(GQ$4="",$B31=""),0,SUMIF('DADOS BRUTOS'!$A$3:$A$500,$B31,'DADOS BRUTOS'!DQ$3:DQ$500)+IF($C31="",0,SUMIF('DADOS BRUTOS'!$A$3:$A$500,$C31,'DADOS BRUTOS'!DQ$3:DQ$500)))</f>
        <v/>
      </c>
      <c r="GR31" s="56">
        <f>IF(OR(GR$4="",$B31=""),0,SUMIF('DADOS BRUTOS'!$A$3:$A$500,$B31,'DADOS BRUTOS'!DR$3:DR$500)+IF($C31="",0,SUMIF('DADOS BRUTOS'!$A$3:$A$500,$C31,'DADOS BRUTOS'!DR$3:DR$500)))</f>
        <v/>
      </c>
      <c r="GS31" s="56">
        <f>IF(OR(GS$4="",$B31=""),0,SUMIF('DADOS BRUTOS'!$A$3:$A$500,$B31,'DADOS BRUTOS'!DS$3:DS$500)+IF($C31="",0,SUMIF('DADOS BRUTOS'!$A$3:$A$500,$C31,'DADOS BRUTOS'!DS$3:DS$500)))</f>
        <v/>
      </c>
      <c r="GT31" s="56">
        <f>IF(OR(GT$4="",$B31=""),0,SUMIF('DADOS BRUTOS'!$A$3:$A$500,$B31,'DADOS BRUTOS'!DT$3:DT$500)+IF($C31="",0,SUMIF('DADOS BRUTOS'!$A$3:$A$500,$C31,'DADOS BRUTOS'!DT$3:DT$500)))</f>
        <v/>
      </c>
      <c r="GU31" s="56">
        <f>IF(OR(GU$4="",$B31=""),0,SUMIF('DADOS BRUTOS'!$A$3:$A$500,$B31,'DADOS BRUTOS'!DU$3:DU$500)+IF($C31="",0,SUMIF('DADOS BRUTOS'!$A$3:$A$500,$C31,'DADOS BRUTOS'!DU$3:DU$500)))</f>
        <v/>
      </c>
      <c r="GV31" s="56">
        <f>IF(OR(GV$4="",$B31=""),0,SUMIF('DADOS BRUTOS'!$A$3:$A$500,$B31,'DADOS BRUTOS'!DV$3:DV$500)+IF($C31="",0,SUMIF('DADOS BRUTOS'!$A$3:$A$500,$C31,'DADOS BRUTOS'!DV$3:DV$500)))</f>
        <v/>
      </c>
      <c r="GW31" s="56">
        <f>IF(OR(GW$4="",$B31=""),0,SUMIF('DADOS BRUTOS'!$A$3:$A$500,$B31,'DADOS BRUTOS'!DW$3:DW$500)+IF($C31="",0,SUMIF('DADOS BRUTOS'!$A$3:$A$500,$C31,'DADOS BRUTOS'!DW$3:DW$500)))</f>
        <v/>
      </c>
      <c r="GX31" s="56">
        <f>IF(OR(GX$4="",$B31=""),0,SUMIF('DADOS BRUTOS'!$A$3:$A$500,$B31,'DADOS BRUTOS'!DX$3:DX$500)+IF($C31="",0,SUMIF('DADOS BRUTOS'!$A$3:$A$500,$C31,'DADOS BRUTOS'!DX$3:DX$500)))</f>
        <v/>
      </c>
      <c r="GY31" s="56">
        <f>IF(OR(GY$4="",$B31=""),0,SUMIF('DADOS BRUTOS'!$A$3:$A$500,$B31,'DADOS BRUTOS'!DY$3:DY$500)+IF($C31="",0,SUMIF('DADOS BRUTOS'!$A$3:$A$500,$C31,'DADOS BRUTOS'!DY$3:DY$500)))</f>
        <v/>
      </c>
      <c r="GZ31" s="56">
        <f>IF(OR(GZ$4="",$B31=""),0,SUMIF('DADOS BRUTOS'!$A$3:$A$500,$B31,'DADOS BRUTOS'!DZ$3:DZ$500)+IF($C31="",0,SUMIF('DADOS BRUTOS'!$A$3:$A$500,$C31,'DADOS BRUTOS'!DZ$3:DZ$500)))</f>
        <v/>
      </c>
      <c r="HA31" s="56">
        <f>IF(OR(HA$4="",$B31=""),0,SUMIF('DADOS BRUTOS'!$A$3:$A$500,$B31,'DADOS BRUTOS'!EA$3:EA$500)+IF($C31="",0,SUMIF('DADOS BRUTOS'!$A$3:$A$500,$C31,'DADOS BRUTOS'!EA$3:EA$500)))</f>
        <v/>
      </c>
      <c r="HB31" s="56">
        <f>IF(OR(HB$4="",$B31=""),0,SUMIF('DADOS BRUTOS'!$A$3:$A$500,$B31,'DADOS BRUTOS'!EB$3:EB$500)+IF($C31="",0,SUMIF('DADOS BRUTOS'!$A$3:$A$500,$C31,'DADOS BRUTOS'!EB$3:EB$500)))</f>
        <v/>
      </c>
      <c r="HC31" s="56">
        <f>IF(OR(HC$4="",$B31=""),0,SUMIF('DADOS BRUTOS'!$A$3:$A$500,$B31,'DADOS BRUTOS'!EC$3:EC$500)+IF($C31="",0,SUMIF('DADOS BRUTOS'!$A$3:$A$500,$C31,'DADOS BRUTOS'!EC$3:EC$500)))</f>
        <v/>
      </c>
      <c r="HD31" s="56">
        <f>IF(OR(HD$4="",$B31=""),0,SUMIF('DADOS BRUTOS'!$A$3:$A$500,$B31,'DADOS BRUTOS'!ED$3:ED$500)+IF($C31="",0,SUMIF('DADOS BRUTOS'!$A$3:$A$500,$C31,'DADOS BRUTOS'!ED$3:ED$500)))</f>
        <v/>
      </c>
      <c r="HE31" s="56">
        <f>IF(OR(HE$4="",$B31=""),0,SUMIF('DADOS BRUTOS'!$A$3:$A$500,$B31,'DADOS BRUTOS'!EE$3:EE$500)+IF($C31="",0,SUMIF('DADOS BRUTOS'!$A$3:$A$500,$C31,'DADOS BRUTOS'!EE$3:EE$500)))</f>
        <v/>
      </c>
      <c r="HF31" s="56">
        <f>IF(OR(HF$4="",$B31=""),0,SUMIF('DADOS BRUTOS'!$A$3:$A$500,$B31,'DADOS BRUTOS'!EF$3:EF$500)+IF($C31="",0,SUMIF('DADOS BRUTOS'!$A$3:$A$500,$C31,'DADOS BRUTOS'!EF$3:EF$500)))</f>
        <v/>
      </c>
      <c r="HG31" s="56">
        <f>IF(OR(HG$4="",$B31=""),0,SUMIF('DADOS BRUTOS'!$A$3:$A$500,$B31,'DADOS BRUTOS'!EG$3:EG$500)+IF($C31="",0,SUMIF('DADOS BRUTOS'!$A$3:$A$500,$C31,'DADOS BRUTOS'!EG$3:EG$500)))</f>
        <v/>
      </c>
      <c r="HH31" s="56">
        <f>IF(OR(HH$4="",$B31=""),0,SUMIF('DADOS BRUTOS'!$A$3:$A$500,$B31,'DADOS BRUTOS'!EH$3:EH$500)+IF($C31="",0,SUMIF('DADOS BRUTOS'!$A$3:$A$500,$C31,'DADOS BRUTOS'!EH$3:EH$500)))</f>
        <v/>
      </c>
      <c r="HI31" s="56">
        <f>IF(OR(HI$4="",$B31=""),0,SUMIF('DADOS BRUTOS'!$A$3:$A$500,$B31,'DADOS BRUTOS'!EI$3:EI$500)+IF($C31="",0,SUMIF('DADOS BRUTOS'!$A$3:$A$500,$C31,'DADOS BRUTOS'!EI$3:EI$500)))</f>
        <v/>
      </c>
      <c r="HJ31" s="56">
        <f>IF(OR(HJ$4="",$B31=""),0,SUMIF('DADOS BRUTOS'!$A$3:$A$500,$B31,'DADOS BRUTOS'!EJ$3:EJ$500)+IF($C31="",0,SUMIF('DADOS BRUTOS'!$A$3:$A$500,$C31,'DADOS BRUTOS'!EJ$3:EJ$500)))</f>
        <v/>
      </c>
      <c r="HK31" s="56">
        <f>IF(OR(HK$4="",$B31=""),0,SUMIF('DADOS BRUTOS'!$A$3:$A$500,$B31,'DADOS BRUTOS'!EK$3:EK$500)+IF($C31="",0,SUMIF('DADOS BRUTOS'!$A$3:$A$500,$C31,'DADOS BRUTOS'!EK$3:EK$500)))</f>
        <v/>
      </c>
      <c r="HL31" s="56">
        <f>IF(OR(HL$4="",$B31=""),0,SUMIF('DADOS BRUTOS'!$A$3:$A$500,$B31,'DADOS BRUTOS'!EL$3:EL$500)+IF($C31="",0,SUMIF('DADOS BRUTOS'!$A$3:$A$500,$C31,'DADOS BRUTOS'!EL$3:EL$500)))</f>
        <v/>
      </c>
      <c r="HM31" s="56">
        <f>IF(OR(HM$4="",$B31=""),0,SUMIF('DADOS BRUTOS'!$A$3:$A$500,$B31,'DADOS BRUTOS'!EM$3:EM$500)+IF($C31="",0,SUMIF('DADOS BRUTOS'!$A$3:$A$500,$C31,'DADOS BRUTOS'!EM$3:EM$500)))</f>
        <v/>
      </c>
      <c r="HN31" s="56">
        <f>IF(OR(HN$4="",$B31=""),0,SUMIF('DADOS BRUTOS'!$A$3:$A$500,$B31,'DADOS BRUTOS'!EN$3:EN$500)+IF($C31="",0,SUMIF('DADOS BRUTOS'!$A$3:$A$500,$C31,'DADOS BRUTOS'!EN$3:EN$500)))</f>
        <v/>
      </c>
      <c r="HO31" s="56">
        <f>IF(OR(HO$4="",$B31=""),0,SUMIF('DADOS BRUTOS'!$A$3:$A$500,$B31,'DADOS BRUTOS'!EO$3:EO$500)+IF($C31="",0,SUMIF('DADOS BRUTOS'!$A$3:$A$500,$C31,'DADOS BRUTOS'!EO$3:EO$500)))</f>
        <v/>
      </c>
      <c r="HP31" s="56">
        <f>IF(OR(HP$4="",$B31=""),0,SUMIF('DADOS BRUTOS'!$A$3:$A$500,$B31,'DADOS BRUTOS'!EP$3:EP$500)+IF($C31="",0,SUMIF('DADOS BRUTOS'!$A$3:$A$500,$C31,'DADOS BRUTOS'!EP$3:EP$500)))</f>
        <v/>
      </c>
      <c r="HQ31" s="56">
        <f>IF(OR(HQ$4="",$B31=""),0,SUMIF('DADOS BRUTOS'!$A$3:$A$500,$B31,'DADOS BRUTOS'!EQ$3:EQ$500)+IF($C31="",0,SUMIF('DADOS BRUTOS'!$A$3:$A$500,$C31,'DADOS BRUTOS'!EQ$3:EQ$500)))</f>
        <v/>
      </c>
      <c r="HR31" s="56">
        <f>IF(OR(HR$4="",$B31=""),0,SUMIF('DADOS BRUTOS'!$A$3:$A$500,$B31,'DADOS BRUTOS'!ER$3:ER$500)+IF($C31="",0,SUMIF('DADOS BRUTOS'!$A$3:$A$500,$C31,'DADOS BRUTOS'!ER$3:ER$500)))</f>
        <v/>
      </c>
      <c r="HS31" s="56">
        <f>IF(OR(HS$4="",$B31=""),0,SUMIF('DADOS BRUTOS'!$A$3:$A$500,$B31,'DADOS BRUTOS'!ES$3:ES$500)+IF($C31="",0,SUMIF('DADOS BRUTOS'!$A$3:$A$500,$C31,'DADOS BRUTOS'!ES$3:ES$500)))</f>
        <v/>
      </c>
      <c r="HT31" s="56">
        <f>IF(OR(HT$4="",$B31=""),0,SUMIF('DADOS BRUTOS'!$A$3:$A$500,$B31,'DADOS BRUTOS'!ET$3:ET$500)+IF($C31="",0,SUMIF('DADOS BRUTOS'!$A$3:$A$500,$C31,'DADOS BRUTOS'!ET$3:ET$500)))</f>
        <v/>
      </c>
      <c r="HU31" s="56">
        <f>IF(OR(HU$4="",$B31=""),0,SUMIF('DADOS BRUTOS'!$A$3:$A$500,$B31,'DADOS BRUTOS'!EU$3:EU$500)+IF($C31="",0,SUMIF('DADOS BRUTOS'!$A$3:$A$500,$C31,'DADOS BRUTOS'!EU$3:EU$500)))</f>
        <v/>
      </c>
      <c r="HV31" s="56">
        <f>IF(OR(HV$4="",$B31=""),0,SUMIF('DADOS BRUTOS'!$A$3:$A$500,$B31,'DADOS BRUTOS'!EV$3:EV$500)+IF($C31="",0,SUMIF('DADOS BRUTOS'!$A$3:$A$500,$C31,'DADOS BRUTOS'!EV$3:EV$500)))</f>
        <v/>
      </c>
      <c r="HW31" s="56">
        <f>IF(OR(HW$4="",$B31=""),0,SUMIF('DADOS BRUTOS'!$A$3:$A$500,$B31,'DADOS BRUTOS'!EW$3:EW$500)+IF($C31="",0,SUMIF('DADOS BRUTOS'!$A$3:$A$500,$C31,'DADOS BRUTOS'!EW$3:EW$500)))</f>
        <v/>
      </c>
      <c r="HX31" s="56">
        <f>IF(OR(HX$4="",$B31=""),0,SUMIF('DADOS BRUTOS'!$A$3:$A$500,$B31,'DADOS BRUTOS'!EX$3:EX$500)+IF($C31="",0,SUMIF('DADOS BRUTOS'!$A$3:$A$500,$C31,'DADOS BRUTOS'!EX$3:EX$500)))</f>
        <v/>
      </c>
      <c r="HY31" s="56">
        <f>IF(OR(HY$4="",$B31=""),0,SUMIF('DADOS BRUTOS'!$A$3:$A$500,$B31,'DADOS BRUTOS'!EY$3:EY$500)+IF($C31="",0,SUMIF('DADOS BRUTOS'!$A$3:$A$500,$C31,'DADOS BRUTOS'!EY$3:EY$500)))</f>
        <v/>
      </c>
      <c r="HZ31" s="56">
        <f>IF(OR(HZ$4="",$B31=""),0,SUMIF('DADOS BRUTOS'!$A$3:$A$500,$B31,'DADOS BRUTOS'!EZ$3:EZ$500)+IF($C31="",0,SUMIF('DADOS BRUTOS'!$A$3:$A$500,$C31,'DADOS BRUTOS'!EZ$3:EZ$500)))</f>
        <v/>
      </c>
      <c r="IA31" s="56">
        <f>IF(OR(IA$4="",$B31=""),0,SUMIF('DADOS BRUTOS'!$A$3:$A$500,$B31,'DADOS BRUTOS'!FA$3:FA$500)+IF($C31="",0,SUMIF('DADOS BRUTOS'!$A$3:$A$500,$C31,'DADOS BRUTOS'!FA$3:FA$500)))</f>
        <v/>
      </c>
      <c r="IB31" s="56">
        <f>IF(OR(IB$4="",$B31=""),0,SUMIF('DADOS BRUTOS'!$A$3:$A$500,$B31,'DADOS BRUTOS'!FB$3:FB$500)+IF($C31="",0,SUMIF('DADOS BRUTOS'!$A$3:$A$500,$C31,'DADOS BRUTOS'!FB$3:FB$500)))</f>
        <v/>
      </c>
      <c r="IC31" s="56">
        <f>IF(OR(IC$4="",$B31=""),0,SUMIF('DADOS BRUTOS'!$A$3:$A$500,$B31,'DADOS BRUTOS'!FC$3:FC$500)+IF($C31="",0,SUMIF('DADOS BRUTOS'!$A$3:$A$500,$C31,'DADOS BRUTOS'!FC$3:FC$500)))</f>
        <v/>
      </c>
      <c r="ID31" s="56">
        <f>IF(OR(ID$4="",$B31=""),0,SUMIF('DADOS BRUTOS'!$A$3:$A$500,$B31,'DADOS BRUTOS'!FD$3:FD$500)+IF($C31="",0,SUMIF('DADOS BRUTOS'!$A$3:$A$500,$C31,'DADOS BRUTOS'!FD$3:FD$500)))</f>
        <v/>
      </c>
      <c r="IE31" s="56">
        <f>IF(OR(IE$4="",$B31=""),0,SUMIF('DADOS BRUTOS'!$A$3:$A$500,$B31,'DADOS BRUTOS'!FE$3:FE$500)+IF($C31="",0,SUMIF('DADOS BRUTOS'!$A$3:$A$500,$C31,'DADOS BRUTOS'!FE$3:FE$500)))</f>
        <v/>
      </c>
      <c r="IF31" s="56">
        <f>IF(OR(IF$4="",$B31=""),0,SUMIF('DADOS BRUTOS'!$A$3:$A$500,$B31,'DADOS BRUTOS'!FF$3:FF$500)+IF($C31="",0,SUMIF('DADOS BRUTOS'!$A$3:$A$500,$C31,'DADOS BRUTOS'!FF$3:FF$500)))</f>
        <v/>
      </c>
      <c r="IG31" s="56">
        <f>IF(OR(IG$4="",$B31=""),0,SUMIF('DADOS BRUTOS'!$A$3:$A$500,$B31,'DADOS BRUTOS'!FG$3:FG$500)+IF($C31="",0,SUMIF('DADOS BRUTOS'!$A$3:$A$500,$C31,'DADOS BRUTOS'!FG$3:FG$500)))</f>
        <v/>
      </c>
      <c r="IH31" s="56">
        <f>IF(OR(IH$4="",$B31=""),0,SUMIF('DADOS BRUTOS'!$A$3:$A$500,$B31,'DADOS BRUTOS'!FH$3:FH$500)+IF($C31="",0,SUMIF('DADOS BRUTOS'!$A$3:$A$500,$C31,'DADOS BRUTOS'!FH$3:FH$500)))</f>
        <v/>
      </c>
      <c r="II31" s="56">
        <f>IF(OR(II$4="",$B31=""),0,SUMIF('DADOS BRUTOS'!$A$3:$A$500,$B31,'DADOS BRUTOS'!FI$3:FI$500)+IF($C31="",0,SUMIF('DADOS BRUTOS'!$A$3:$A$500,$C31,'DADOS BRUTOS'!FI$3:FI$500)))</f>
        <v/>
      </c>
      <c r="IJ31" s="56">
        <f>IF(OR(IJ$4="",$B31=""),0,SUMIF('DADOS BRUTOS'!$A$3:$A$500,$B31,'DADOS BRUTOS'!FJ$3:FJ$500)+IF($C31="",0,SUMIF('DADOS BRUTOS'!$A$3:$A$500,$C31,'DADOS BRUTOS'!FJ$3:FJ$500)))</f>
        <v/>
      </c>
      <c r="IK31" s="56">
        <f>IF(OR(IK$4="",$B31=""),0,SUMIF('DADOS BRUTOS'!$A$3:$A$500,$B31,'DADOS BRUTOS'!FK$3:FK$500)+IF($C31="",0,SUMIF('DADOS BRUTOS'!$A$3:$A$500,$C31,'DADOS BRUTOS'!FK$3:FK$500)))</f>
        <v/>
      </c>
      <c r="IL31" s="56">
        <f>IF(OR(IL$4="",$B31=""),0,SUMIF('DADOS BRUTOS'!$A$3:$A$500,$B31,'DADOS BRUTOS'!FL$3:FL$500)+IF($C31="",0,SUMIF('DADOS BRUTOS'!$A$3:$A$500,$C31,'DADOS BRUTOS'!FL$3:FL$500)))</f>
        <v/>
      </c>
      <c r="IM31" s="56">
        <f>IF(OR(IM$4="",$B31=""),0,SUMIF('DADOS BRUTOS'!$A$3:$A$500,$B31,'DADOS BRUTOS'!FM$3:FM$500)+IF($C31="",0,SUMIF('DADOS BRUTOS'!$A$3:$A$500,$C31,'DADOS BRUTOS'!FM$3:FM$500)))</f>
        <v/>
      </c>
      <c r="IN31" s="56">
        <f>IF(OR(IN$4="",$B31=""),0,SUMIF('DADOS BRUTOS'!$A$3:$A$500,$B31,'DADOS BRUTOS'!FN$3:FN$500)+IF($C31="",0,SUMIF('DADOS BRUTOS'!$A$3:$A$500,$C31,'DADOS BRUTOS'!FN$3:FN$500)))</f>
        <v/>
      </c>
      <c r="IO31" s="56">
        <f>IF(OR(IO$4="",$B31=""),0,SUMIF('DADOS BRUTOS'!$A$3:$A$500,$B31,'DADOS BRUTOS'!FO$3:FO$500)+IF($C31="",0,SUMIF('DADOS BRUTOS'!$A$3:$A$500,$C31,'DADOS BRUTOS'!FO$3:FO$500)))</f>
        <v/>
      </c>
      <c r="IP31" s="56">
        <f>IF(OR(IP$4="",$B31=""),0,SUMIF('DADOS BRUTOS'!$A$3:$A$500,$B31,'DADOS BRUTOS'!FP$3:FP$500)+IF($C31="",0,SUMIF('DADOS BRUTOS'!$A$3:$A$500,$C31,'DADOS BRUTOS'!FP$3:FP$500)))</f>
        <v/>
      </c>
      <c r="IQ31" s="56">
        <f>IF(OR(IQ$4="",$B31=""),0,SUMIF('DADOS BRUTOS'!$A$3:$A$500,$B31,'DADOS BRUTOS'!FQ$3:FQ$500)+IF($C31="",0,SUMIF('DADOS BRUTOS'!$A$3:$A$500,$C31,'DADOS BRUTOS'!FQ$3:FQ$500)))</f>
        <v/>
      </c>
      <c r="IR31" s="56">
        <f>IF(OR(IR$4="",$B31=""),0,SUMIF('DADOS BRUTOS'!$A$3:$A$500,$B31,'DADOS BRUTOS'!FR$3:FR$500)+IF($C31="",0,SUMIF('DADOS BRUTOS'!$A$3:$A$500,$C31,'DADOS BRUTOS'!FR$3:FR$500)))</f>
        <v/>
      </c>
      <c r="IS31" s="56">
        <f>IF(OR(IS$4="",$B31=""),0,SUMIF('DADOS BRUTOS'!$A$3:$A$500,$B31,'DADOS BRUTOS'!FS$3:FS$500)+IF($C31="",0,SUMIF('DADOS BRUTOS'!$A$3:$A$500,$C31,'DADOS BRUTOS'!FS$3:FS$500)))</f>
        <v/>
      </c>
      <c r="IT31" s="56">
        <f>IF(OR(IT$4="",$B31=""),0,SUMIF('DADOS BRUTOS'!$A$3:$A$500,$B31,'DADOS BRUTOS'!FT$3:FT$500)+IF($C31="",0,SUMIF('DADOS BRUTOS'!$A$3:$A$500,$C31,'DADOS BRUTOS'!FT$3:FT$500)))</f>
        <v/>
      </c>
      <c r="IU31" s="56">
        <f>IF(OR(IU$4="",$B31=""),0,SUMIF('DADOS BRUTOS'!$A$3:$A$500,$B31,'DADOS BRUTOS'!FU$3:FU$500)+IF($C31="",0,SUMIF('DADOS BRUTOS'!$A$3:$A$500,$C31,'DADOS BRUTOS'!FU$3:FU$500)))</f>
        <v/>
      </c>
      <c r="IV31" s="56">
        <f>IF(OR(IV$4="",$B31=""),0,SUMIF('DADOS BRUTOS'!$A$3:$A$500,$B31,'DADOS BRUTOS'!FV$3:FV$500)+IF($C31="",0,SUMIF('DADOS BRUTOS'!$A$3:$A$500,$C31,'DADOS BRUTOS'!FV$3:FV$500)))</f>
        <v/>
      </c>
      <c r="IW31" s="56">
        <f>IF(OR(IW$4="",$B31=""),0,SUMIF('DADOS BRUTOS'!$A$3:$A$500,$B31,'DADOS BRUTOS'!FW$3:FW$500)+IF($C31="",0,SUMIF('DADOS BRUTOS'!$A$3:$A$500,$C31,'DADOS BRUTOS'!FW$3:FW$500)))</f>
        <v/>
      </c>
      <c r="IX31" s="56">
        <f>IF(OR(IX$4="",$B31=""),0,SUMIF('DADOS BRUTOS'!$A$3:$A$500,$B31,'DADOS BRUTOS'!FX$3:FX$500)+IF($C31="",0,SUMIF('DADOS BRUTOS'!$A$3:$A$500,$C31,'DADOS BRUTOS'!FX$3:FX$500)))</f>
        <v/>
      </c>
      <c r="IY31" s="56">
        <f>IF(OR(IY$4="",$B31=""),0,SUMIF('DADOS BRUTOS'!$A$3:$A$500,$B31,'DADOS BRUTOS'!FY$3:FY$500)+IF($C31="",0,SUMIF('DADOS BRUTOS'!$A$3:$A$500,$C31,'DADOS BRUTOS'!FY$3:FY$500)))</f>
        <v/>
      </c>
      <c r="IZ31" s="56">
        <f>IF(OR(IZ$4="",$B31=""),0,SUMIF('DADOS BRUTOS'!$A$3:$A$500,$B31,'DADOS BRUTOS'!FZ$3:FZ$500)+IF($C31="",0,SUMIF('DADOS BRUTOS'!$A$3:$A$500,$C31,'DADOS BRUTOS'!FZ$3:FZ$500)))</f>
        <v/>
      </c>
      <c r="JA31" s="56">
        <f>IF(OR(JA$4="",$B31=""),0,SUMIF('DADOS BRUTOS'!$A$3:$A$500,$B31,'DADOS BRUTOS'!GA$3:GA$500)+IF($C31="",0,SUMIF('DADOS BRUTOS'!$A$3:$A$500,$C31,'DADOS BRUTOS'!GA$3:GA$500)))</f>
        <v/>
      </c>
      <c r="JB31" s="56">
        <f>IF(OR(JB$4="",$B31=""),0,SUMIF('DADOS BRUTOS'!$A$3:$A$500,$B31,'DADOS BRUTOS'!GB$3:GB$500)+IF($C31="",0,SUMIF('DADOS BRUTOS'!$A$3:$A$500,$C31,'DADOS BRUTOS'!GB$3:GB$500)))</f>
        <v/>
      </c>
      <c r="JC31" s="56">
        <f>IF(OR(JC$4="",$B31=""),0,SUMIF('DADOS BRUTOS'!$A$3:$A$500,$B31,'DADOS BRUTOS'!GC$3:GC$500)+IF($C31="",0,SUMIF('DADOS BRUTOS'!$A$3:$A$500,$C31,'DADOS BRUTOS'!GC$3:GC$500)))</f>
        <v/>
      </c>
      <c r="JD31" s="56">
        <f>IF(OR(JD$4="",$B31=""),0,SUMIF('DADOS BRUTOS'!$A$3:$A$500,$B31,'DADOS BRUTOS'!GD$3:GD$500)+IF($C31="",0,SUMIF('DADOS BRUTOS'!$A$3:$A$500,$C31,'DADOS BRUTOS'!GD$3:GD$500)))</f>
        <v/>
      </c>
      <c r="JE31" s="56">
        <f>IF(OR(JE$4="",$B31=""),0,SUMIF('DADOS BRUTOS'!$A$3:$A$500,$B31,'DADOS BRUTOS'!GE$3:GE$500)+IF($C31="",0,SUMIF('DADOS BRUTOS'!$A$3:$A$500,$C31,'DADOS BRUTOS'!GE$3:GE$500)))</f>
        <v/>
      </c>
      <c r="JF31" s="56">
        <f>IF(OR(JF$4="",$B31=""),0,SUMIF('DADOS BRUTOS'!$A$3:$A$500,$B31,'DADOS BRUTOS'!GF$3:GF$500)+IF($C31="",0,SUMIF('DADOS BRUTOS'!$A$3:$A$500,$C31,'DADOS BRUTOS'!GF$3:GF$500)))</f>
        <v/>
      </c>
      <c r="JG31" s="56">
        <f>IF(OR(JG$4="",$B31=""),0,SUMIF('DADOS BRUTOS'!$A$3:$A$500,$B31,'DADOS BRUTOS'!GG$3:GG$500)+IF($C31="",0,SUMIF('DADOS BRUTOS'!$A$3:$A$500,$C31,'DADOS BRUTOS'!GG$3:GG$500)))</f>
        <v/>
      </c>
      <c r="JH31" s="56">
        <f>IF(OR(JH$4="",$B31=""),0,SUMIF('DADOS BRUTOS'!$A$3:$A$500,$B31,'DADOS BRUTOS'!GH$3:GH$500)+IF($C31="",0,SUMIF('DADOS BRUTOS'!$A$3:$A$500,$C31,'DADOS BRUTOS'!GH$3:GH$500)))</f>
        <v/>
      </c>
      <c r="JI31" s="56">
        <f>IF(OR(JI$4="",$B31=""),0,SUMIF('DADOS BRUTOS'!$A$3:$A$500,$B31,'DADOS BRUTOS'!GI$3:GI$500)+IF($C31="",0,SUMIF('DADOS BRUTOS'!$A$3:$A$500,$C31,'DADOS BRUTOS'!GI$3:GI$500)))</f>
        <v/>
      </c>
      <c r="JJ31" s="56">
        <f>IF(OR(JJ$4="",$B31=""),0,SUMIF('DADOS BRUTOS'!$A$3:$A$500,$B31,'DADOS BRUTOS'!GJ$3:GJ$500)+IF($C31="",0,SUMIF('DADOS BRUTOS'!$A$3:$A$500,$C31,'DADOS BRUTOS'!GJ$3:GJ$500)))</f>
        <v/>
      </c>
      <c r="JK31" s="56">
        <f>IF(OR(JK$4="",$B31=""),0,SUMIF('DADOS BRUTOS'!$A$3:$A$500,$B31,'DADOS BRUTOS'!GK$3:GK$500)+IF($C31="",0,SUMIF('DADOS BRUTOS'!$A$3:$A$500,$C31,'DADOS BRUTOS'!GK$3:GK$500)))</f>
        <v/>
      </c>
      <c r="JL31" s="56">
        <f>IF(OR(JL$4="",$B31=""),0,SUMIF('DADOS BRUTOS'!$A$3:$A$500,$B31,'DADOS BRUTOS'!GL$3:GL$500)+IF($C31="",0,SUMIF('DADOS BRUTOS'!$A$3:$A$500,$C31,'DADOS BRUTOS'!GL$3:GL$500)))</f>
        <v/>
      </c>
      <c r="JM31" s="56">
        <f>IF(OR(JM$4="",$B31=""),0,SUMIF('DADOS BRUTOS'!$A$3:$A$500,$B31,'DADOS BRUTOS'!GM$3:GM$500)+IF($C31="",0,SUMIF('DADOS BRUTOS'!$A$3:$A$500,$C31,'DADOS BRUTOS'!GM$3:GM$500)))</f>
        <v/>
      </c>
      <c r="JN31" s="56">
        <f>IF(OR(JN$4="",$B31=""),0,SUMIF('DADOS BRUTOS'!$A$3:$A$500,$B31,'DADOS BRUTOS'!GN$3:GN$500)+IF($C31="",0,SUMIF('DADOS BRUTOS'!$A$3:$A$500,$C31,'DADOS BRUTOS'!GN$3:GN$500)))</f>
        <v/>
      </c>
      <c r="JO31" s="56">
        <f>IF(OR(JO$4="",$B31=""),0,SUMIF('DADOS BRUTOS'!$A$3:$A$500,$B31,'DADOS BRUTOS'!GO$3:GO$500)+IF($C31="",0,SUMIF('DADOS BRUTOS'!$A$3:$A$500,$C31,'DADOS BRUTOS'!GO$3:GO$500)))</f>
        <v/>
      </c>
      <c r="JP31" s="56">
        <f>IF(OR(JP$4="",$B31=""),0,SUMIF('DADOS BRUTOS'!$A$3:$A$500,$B31,'DADOS BRUTOS'!GP$3:GP$500)+IF($C31="",0,SUMIF('DADOS BRUTOS'!$A$3:$A$500,$C31,'DADOS BRUTOS'!GP$3:GP$500)))</f>
        <v/>
      </c>
      <c r="JQ31" s="56">
        <f>IF(OR(JQ$4="",$B31=""),0,SUMIF('DADOS BRUTOS'!$A$3:$A$500,$B31,'DADOS BRUTOS'!GQ$3:GQ$500)+IF($C31="",0,SUMIF('DADOS BRUTOS'!$A$3:$A$500,$C31,'DADOS BRUTOS'!GQ$3:GQ$500)))</f>
        <v/>
      </c>
      <c r="JR31" s="56">
        <f>IF(OR(JR$4="",$B31=""),0,SUMIF('DADOS BRUTOS'!$A$3:$A$500,$B31,'DADOS BRUTOS'!GR$3:GR$500)+IF($C31="",0,SUMIF('DADOS BRUTOS'!$A$3:$A$500,$C31,'DADOS BRUTOS'!GR$3:GR$500)))</f>
        <v/>
      </c>
      <c r="JS31" s="56">
        <f>IF(OR(JS$4="",$B31=""),0,SUMIF('DADOS BRUTOS'!$A$3:$A$500,$B31,'DADOS BRUTOS'!GS$3:GS$500)+IF($C31="",0,SUMIF('DADOS BRUTOS'!$A$3:$A$500,$C31,'DADOS BRUTOS'!GS$3:GS$500)))</f>
        <v/>
      </c>
    </row>
    <row r="32">
      <c r="A32" s="34">
        <f>'VALOR POR PL'!D38</f>
        <v/>
      </c>
      <c r="B32" s="21" t="inlineStr">
        <is>
          <t>REVESTIMENTOS DE MASSA EM PISOS</t>
        </is>
      </c>
      <c r="C32" s="21" t="n"/>
      <c r="D32" s="17">
        <f>SUMIF($CB$4:$JS$4,"&lt;="&amp;D$4,$CB32:$JS32)</f>
        <v/>
      </c>
      <c r="E32" s="17">
        <f>SUMIF($CB$4:$JS$4,E$4,$CB32:$JS32)</f>
        <v/>
      </c>
      <c r="F32" s="17">
        <f>SUMIF($CB$4:$JS$4,F$4,$CB32:$JS32)</f>
        <v/>
      </c>
      <c r="G32" s="17">
        <f>SUMIF($CB$4:$JS$4,G$4,$CB32:$JS32)</f>
        <v/>
      </c>
      <c r="H32" s="17">
        <f>SUMIF($CB$4:$JS$4,H$4,$CB32:$JS32)</f>
        <v/>
      </c>
      <c r="I32" s="17">
        <f>SUMIF($CB$4:$JS$4,I$4,$CB32:$JS32)</f>
        <v/>
      </c>
      <c r="J32" s="17">
        <f>SUMIF($CB$4:$JS$4,J$4,$CB32:$JS32)</f>
        <v/>
      </c>
      <c r="K32" s="17">
        <f>SUMIF($CB$4:$JS$4,K$4,$CB32:$JS32)</f>
        <v/>
      </c>
      <c r="L32" s="17">
        <f>SUMIF($CB$4:$JS$4,L$4,$CB32:$JS32)</f>
        <v/>
      </c>
      <c r="M32" s="17">
        <f>SUMIF($CB$4:$JS$4,M$4,$CB32:$JS32)</f>
        <v/>
      </c>
      <c r="N32" s="17">
        <f>SUMIF($CB$4:$JS$4,N$4,$CB32:$JS32)</f>
        <v/>
      </c>
      <c r="O32" s="17">
        <f>SUMIF($CB$4:$JS$4,O$4,$CB32:$JS32)</f>
        <v/>
      </c>
      <c r="P32" s="17">
        <f>SUMIF($CB$4:$JS$4,P$4,$CB32:$JS32)</f>
        <v/>
      </c>
      <c r="Q32" s="17">
        <f>SUMIF($CB$4:$JS$4,Q$4,$CB32:$JS32)</f>
        <v/>
      </c>
      <c r="R32" s="17">
        <f>SUMIF($CB$4:$JS$4,R$4,$CB32:$JS32)</f>
        <v/>
      </c>
      <c r="S32" s="17">
        <f>SUMIF($CB$4:$JS$4,S$4,$CB32:$JS32)</f>
        <v/>
      </c>
      <c r="T32" s="17">
        <f>SUMIF($CB$4:$JS$4,T$4,$CB32:$JS32)</f>
        <v/>
      </c>
      <c r="U32" s="17">
        <f>SUMIF($CB$4:$JS$4,U$4,$CB32:$JS32)</f>
        <v/>
      </c>
      <c r="V32" s="17">
        <f>SUMIF($CB$4:$JS$4,V$4,$CB32:$JS32)</f>
        <v/>
      </c>
      <c r="W32" s="17">
        <f>SUMIF($CB$4:$JS$4,W$4,$CB32:$JS32)</f>
        <v/>
      </c>
      <c r="X32" s="17">
        <f>SUMIF($CB$4:$JS$4,X$4,$CB32:$JS32)</f>
        <v/>
      </c>
      <c r="Y32" s="17">
        <f>SUMIF($CB$4:$JS$4,Y$4,$CB32:$JS32)</f>
        <v/>
      </c>
      <c r="Z32" s="17">
        <f>SUMIF($CB$4:$JS$4,Z$4,$CB32:$JS32)</f>
        <v/>
      </c>
      <c r="AA32" s="17">
        <f>SUMIF($CB$4:$JS$4,AA$4,$CB32:$JS32)</f>
        <v/>
      </c>
      <c r="AB32" s="17">
        <f>SUMIF($CB$4:$JS$4,AB$4,$CB32:$JS32)</f>
        <v/>
      </c>
      <c r="AC32" s="17">
        <f>SUMIF($CB$4:$JS$4,AC$4,$CB32:$JS32)</f>
        <v/>
      </c>
      <c r="AD32" s="17">
        <f>SUMIF($CB$4:$JS$4,AD$4,$CB32:$JS32)</f>
        <v/>
      </c>
      <c r="AE32" s="17">
        <f>SUMIF($CB$4:$JS$4,AE$4,$CB32:$JS32)</f>
        <v/>
      </c>
      <c r="AF32" s="17">
        <f>SUMIF($CB$4:$JS$4,AF$4,$CB32:$JS32)</f>
        <v/>
      </c>
      <c r="AG32" s="17">
        <f>SUMIF($CB$4:$JS$4,AG$4,$CB32:$JS32)</f>
        <v/>
      </c>
      <c r="AH32" s="17">
        <f>SUMIF($CB$4:$JS$4,AH$4,$CB32:$JS32)</f>
        <v/>
      </c>
      <c r="AI32" s="17">
        <f>SUMIF($CB$4:$JS$4,AI$4,$CB32:$JS32)</f>
        <v/>
      </c>
      <c r="AJ32" s="17">
        <f>SUMIF($CB$4:$JS$4,AJ$4,$CB32:$JS32)</f>
        <v/>
      </c>
      <c r="AK32" s="17">
        <f>SUMIF($CB$4:$JS$4,AK$4,$CB32:$JS32)</f>
        <v/>
      </c>
      <c r="AL32" s="17">
        <f>SUMIF($CB$4:$JS$4,AL$4,$CB32:$JS32)</f>
        <v/>
      </c>
      <c r="AM32" s="17">
        <f>SUMIF($CB$4:$JS$4,AM$4,$CB32:$JS32)</f>
        <v/>
      </c>
      <c r="AN32" s="17">
        <f>SUMIF($CB$4:$JS$4,AN$4,$CB32:$JS32)</f>
        <v/>
      </c>
      <c r="AO32" s="17">
        <f>SUMIF($CB$4:$JS$4,AO$4,$CB32:$JS32)</f>
        <v/>
      </c>
      <c r="AP32" s="17">
        <f>SUMIF($CB$4:$JS$4,AP$4,$CB32:$JS32)</f>
        <v/>
      </c>
      <c r="AQ32" s="17">
        <f>SUMIF($CB$4:$JS$4,AQ$4,$CB32:$JS32)</f>
        <v/>
      </c>
      <c r="AR32" s="17">
        <f>SUMIF($CB$4:$JS$4,AR$4,$CB32:$JS32)</f>
        <v/>
      </c>
      <c r="AS32" s="17">
        <f>SUMIF($CB$4:$JS$4,AS$4,$CB32:$JS32)</f>
        <v/>
      </c>
      <c r="AT32" s="17">
        <f>SUMIF($CB$4:$JS$4,AT$4,$CB32:$JS32)</f>
        <v/>
      </c>
      <c r="AU32" s="17">
        <f>SUMIF($CB$4:$JS$4,AU$4,$CB32:$JS32)</f>
        <v/>
      </c>
      <c r="AV32" s="17">
        <f>SUMIF($CB$4:$JS$4,AV$4,$CB32:$JS32)</f>
        <v/>
      </c>
      <c r="AW32" s="17">
        <f>SUMIF($CB$4:$JS$4,AW$4,$CB32:$JS32)</f>
        <v/>
      </c>
      <c r="AX32" s="17">
        <f>SUMIF($CB$4:$JS$4,AX$4,$CB32:$JS32)</f>
        <v/>
      </c>
      <c r="AY32" s="17">
        <f>SUMIF($CB$4:$JS$4,AY$4,$CB32:$JS32)</f>
        <v/>
      </c>
      <c r="AZ32" s="17">
        <f>SUMIF($CB$4:$JS$4,AZ$4,$CB32:$JS32)</f>
        <v/>
      </c>
      <c r="BA32" s="17">
        <f>SUMIF($CB$4:$JS$4,BA$4,$CB32:$JS32)</f>
        <v/>
      </c>
      <c r="BB32" s="17">
        <f>SUMIF($CB$4:$JS$4,BB$4,$CB32:$JS32)</f>
        <v/>
      </c>
      <c r="BC32" s="17">
        <f>SUMIF($CB$4:$JS$4,BC$4,$CB32:$JS32)</f>
        <v/>
      </c>
      <c r="BD32" s="17">
        <f>SUMIF($CB$4:$JS$4,BD$4,$CB32:$JS32)</f>
        <v/>
      </c>
      <c r="BE32" s="17">
        <f>SUMIF($CB$4:$JS$4,BE$4,$CB32:$JS32)</f>
        <v/>
      </c>
      <c r="BF32" s="17">
        <f>SUMIF($CB$4:$JS$4,BF$4,$CB32:$JS32)</f>
        <v/>
      </c>
      <c r="BG32" s="17">
        <f>SUMIF($CB$4:$JS$4,BG$4,$CB32:$JS32)</f>
        <v/>
      </c>
      <c r="BH32" s="17">
        <f>SUMIF($CB$4:$JS$4,BH$4,$CB32:$JS32)</f>
        <v/>
      </c>
      <c r="BI32" s="17">
        <f>SUMIF($CB$4:$JS$4,BI$4,$CB32:$JS32)</f>
        <v/>
      </c>
      <c r="BJ32" s="17">
        <f>SUMIF($CB$4:$JS$4,BJ$4,$CB32:$JS32)</f>
        <v/>
      </c>
      <c r="BK32" s="17">
        <f>SUMIF($CB$4:$JS$4,BK$4,$CB32:$JS32)</f>
        <v/>
      </c>
      <c r="BL32" s="17">
        <f>SUMIF($CB$4:$JS$4,BL$4,$CB32:$JS32)</f>
        <v/>
      </c>
      <c r="BM32" s="17">
        <f>SUMIF($CB$4:$JS$4,BM$4,$CB32:$JS32)</f>
        <v/>
      </c>
      <c r="BN32" s="17">
        <f>SUMIF($CB$4:$JS$4,BN$4,$CB32:$JS32)</f>
        <v/>
      </c>
      <c r="BO32" s="17">
        <f>SUMIF($CB$4:$JS$4,BO$4,$CB32:$JS32)</f>
        <v/>
      </c>
      <c r="BP32" s="17">
        <f>SUMIF($CB$4:$JS$4,BP$4,$CB32:$JS32)</f>
        <v/>
      </c>
      <c r="BQ32" s="17">
        <f>SUMIF($CB$4:$JS$4,BQ$4,$CB32:$JS32)</f>
        <v/>
      </c>
      <c r="BR32" s="17">
        <f>SUMIF($CB$4:$JS$4,BR$4,$CB32:$JS32)</f>
        <v/>
      </c>
      <c r="BS32" s="17">
        <f>SUMIF($CB$4:$JS$4,BS$4,$CB32:$JS32)</f>
        <v/>
      </c>
      <c r="BT32" s="17">
        <f>SUMIF($CB$4:$JS$4,BT$4,$CB32:$JS32)</f>
        <v/>
      </c>
      <c r="BU32" s="17">
        <f>SUMIF($CB$4:$JS$4,BU$4,$CB32:$JS32)</f>
        <v/>
      </c>
      <c r="BV32" s="17">
        <f>SUMIF($CB$4:$JS$4,BV$4,$CB32:$JS32)</f>
        <v/>
      </c>
      <c r="BW32" s="17">
        <f>SUMIF($CB$4:$JS$4,BW$4,$CB32:$JS32)</f>
        <v/>
      </c>
      <c r="BX32" s="17">
        <f>SUMIF($CB$4:$JS$4,"&gt;"&amp;'VALOR POR PL'!$P$8,$CB32:$JS32)</f>
        <v/>
      </c>
      <c r="BY32" s="17">
        <f>SUM($CB32:$JS32)</f>
        <v/>
      </c>
      <c r="CB32" s="56">
        <f>IF(OR(CB$4="",$B32=""),0,SUMIF('DADOS BRUTOS'!$A$3:$A$500,$B32,'DADOS BRUTOS'!B$3:B$500)+IF($C32="",0,SUMIF('DADOS BRUTOS'!$A$3:$A$500,$C32,'DADOS BRUTOS'!B$3:B$500)))</f>
        <v/>
      </c>
      <c r="CC32" s="56">
        <f>IF(OR(CC$4="",$B32=""),0,SUMIF('DADOS BRUTOS'!$A$3:$A$500,$B32,'DADOS BRUTOS'!C$3:C$500)+IF($C32="",0,SUMIF('DADOS BRUTOS'!$A$3:$A$500,$C32,'DADOS BRUTOS'!C$3:C$500)))</f>
        <v/>
      </c>
      <c r="CD32" s="56">
        <f>IF(OR(CD$4="",$B32=""),0,SUMIF('DADOS BRUTOS'!$A$3:$A$500,$B32,'DADOS BRUTOS'!D$3:D$500)+IF($C32="",0,SUMIF('DADOS BRUTOS'!$A$3:$A$500,$C32,'DADOS BRUTOS'!D$3:D$500)))</f>
        <v/>
      </c>
      <c r="CE32" s="56">
        <f>IF(OR(CE$4="",$B32=""),0,SUMIF('DADOS BRUTOS'!$A$3:$A$500,$B32,'DADOS BRUTOS'!E$3:E$500)+IF($C32="",0,SUMIF('DADOS BRUTOS'!$A$3:$A$500,$C32,'DADOS BRUTOS'!E$3:E$500)))</f>
        <v/>
      </c>
      <c r="CF32" s="56">
        <f>IF(OR(CF$4="",$B32=""),0,SUMIF('DADOS BRUTOS'!$A$3:$A$500,$B32,'DADOS BRUTOS'!F$3:F$500)+IF($C32="",0,SUMIF('DADOS BRUTOS'!$A$3:$A$500,$C32,'DADOS BRUTOS'!F$3:F$500)))</f>
        <v/>
      </c>
      <c r="CG32" s="56">
        <f>IF(OR(CG$4="",$B32=""),0,SUMIF('DADOS BRUTOS'!$A$3:$A$500,$B32,'DADOS BRUTOS'!G$3:G$500)+IF($C32="",0,SUMIF('DADOS BRUTOS'!$A$3:$A$500,$C32,'DADOS BRUTOS'!G$3:G$500)))</f>
        <v/>
      </c>
      <c r="CH32" s="56">
        <f>IF(OR(CH$4="",$B32=""),0,SUMIF('DADOS BRUTOS'!$A$3:$A$500,$B32,'DADOS BRUTOS'!H$3:H$500)+IF($C32="",0,SUMIF('DADOS BRUTOS'!$A$3:$A$500,$C32,'DADOS BRUTOS'!H$3:H$500)))</f>
        <v/>
      </c>
      <c r="CI32" s="56">
        <f>IF(OR(CI$4="",$B32=""),0,SUMIF('DADOS BRUTOS'!$A$3:$A$500,$B32,'DADOS BRUTOS'!I$3:I$500)+IF($C32="",0,SUMIF('DADOS BRUTOS'!$A$3:$A$500,$C32,'DADOS BRUTOS'!I$3:I$500)))</f>
        <v/>
      </c>
      <c r="CJ32" s="56">
        <f>IF(OR(CJ$4="",$B32=""),0,SUMIF('DADOS BRUTOS'!$A$3:$A$500,$B32,'DADOS BRUTOS'!J$3:J$500)+IF($C32="",0,SUMIF('DADOS BRUTOS'!$A$3:$A$500,$C32,'DADOS BRUTOS'!J$3:J$500)))</f>
        <v/>
      </c>
      <c r="CK32" s="56">
        <f>IF(OR(CK$4="",$B32=""),0,SUMIF('DADOS BRUTOS'!$A$3:$A$500,$B32,'DADOS BRUTOS'!K$3:K$500)+IF($C32="",0,SUMIF('DADOS BRUTOS'!$A$3:$A$500,$C32,'DADOS BRUTOS'!K$3:K$500)))</f>
        <v/>
      </c>
      <c r="CL32" s="56">
        <f>IF(OR(CL$4="",$B32=""),0,SUMIF('DADOS BRUTOS'!$A$3:$A$500,$B32,'DADOS BRUTOS'!L$3:L$500)+IF($C32="",0,SUMIF('DADOS BRUTOS'!$A$3:$A$500,$C32,'DADOS BRUTOS'!L$3:L$500)))</f>
        <v/>
      </c>
      <c r="CM32" s="56">
        <f>IF(OR(CM$4="",$B32=""),0,SUMIF('DADOS BRUTOS'!$A$3:$A$500,$B32,'DADOS BRUTOS'!M$3:M$500)+IF($C32="",0,SUMIF('DADOS BRUTOS'!$A$3:$A$500,$C32,'DADOS BRUTOS'!M$3:M$500)))</f>
        <v/>
      </c>
      <c r="CN32" s="56">
        <f>IF(OR(CN$4="",$B32=""),0,SUMIF('DADOS BRUTOS'!$A$3:$A$500,$B32,'DADOS BRUTOS'!N$3:N$500)+IF($C32="",0,SUMIF('DADOS BRUTOS'!$A$3:$A$500,$C32,'DADOS BRUTOS'!N$3:N$500)))</f>
        <v/>
      </c>
      <c r="CO32" s="56">
        <f>IF(OR(CO$4="",$B32=""),0,SUMIF('DADOS BRUTOS'!$A$3:$A$500,$B32,'DADOS BRUTOS'!O$3:O$500)+IF($C32="",0,SUMIF('DADOS BRUTOS'!$A$3:$A$500,$C32,'DADOS BRUTOS'!O$3:O$500)))</f>
        <v/>
      </c>
      <c r="CP32" s="56">
        <f>IF(OR(CP$4="",$B32=""),0,SUMIF('DADOS BRUTOS'!$A$3:$A$500,$B32,'DADOS BRUTOS'!P$3:P$500)+IF($C32="",0,SUMIF('DADOS BRUTOS'!$A$3:$A$500,$C32,'DADOS BRUTOS'!P$3:P$500)))</f>
        <v/>
      </c>
      <c r="CQ32" s="56">
        <f>IF(OR(CQ$4="",$B32=""),0,SUMIF('DADOS BRUTOS'!$A$3:$A$500,$B32,'DADOS BRUTOS'!Q$3:Q$500)+IF($C32="",0,SUMIF('DADOS BRUTOS'!$A$3:$A$500,$C32,'DADOS BRUTOS'!Q$3:Q$500)))</f>
        <v/>
      </c>
      <c r="CR32" s="56">
        <f>IF(OR(CR$4="",$B32=""),0,SUMIF('DADOS BRUTOS'!$A$3:$A$500,$B32,'DADOS BRUTOS'!R$3:R$500)+IF($C32="",0,SUMIF('DADOS BRUTOS'!$A$3:$A$500,$C32,'DADOS BRUTOS'!R$3:R$500)))</f>
        <v/>
      </c>
      <c r="CS32" s="56">
        <f>IF(OR(CS$4="",$B32=""),0,SUMIF('DADOS BRUTOS'!$A$3:$A$500,$B32,'DADOS BRUTOS'!S$3:S$500)+IF($C32="",0,SUMIF('DADOS BRUTOS'!$A$3:$A$500,$C32,'DADOS BRUTOS'!S$3:S$500)))</f>
        <v/>
      </c>
      <c r="CT32" s="56">
        <f>IF(OR(CT$4="",$B32=""),0,SUMIF('DADOS BRUTOS'!$A$3:$A$500,$B32,'DADOS BRUTOS'!T$3:T$500)+IF($C32="",0,SUMIF('DADOS BRUTOS'!$A$3:$A$500,$C32,'DADOS BRUTOS'!T$3:T$500)))</f>
        <v/>
      </c>
      <c r="CU32" s="56">
        <f>IF(OR(CU$4="",$B32=""),0,SUMIF('DADOS BRUTOS'!$A$3:$A$500,$B32,'DADOS BRUTOS'!U$3:U$500)+IF($C32="",0,SUMIF('DADOS BRUTOS'!$A$3:$A$500,$C32,'DADOS BRUTOS'!U$3:U$500)))</f>
        <v/>
      </c>
      <c r="CV32" s="56">
        <f>IF(OR(CV$4="",$B32=""),0,SUMIF('DADOS BRUTOS'!$A$3:$A$500,$B32,'DADOS BRUTOS'!V$3:V$500)+IF($C32="",0,SUMIF('DADOS BRUTOS'!$A$3:$A$500,$C32,'DADOS BRUTOS'!V$3:V$500)))</f>
        <v/>
      </c>
      <c r="CW32" s="56">
        <f>IF(OR(CW$4="",$B32=""),0,SUMIF('DADOS BRUTOS'!$A$3:$A$500,$B32,'DADOS BRUTOS'!W$3:W$500)+IF($C32="",0,SUMIF('DADOS BRUTOS'!$A$3:$A$500,$C32,'DADOS BRUTOS'!W$3:W$500)))</f>
        <v/>
      </c>
      <c r="CX32" s="56">
        <f>IF(OR(CX$4="",$B32=""),0,SUMIF('DADOS BRUTOS'!$A$3:$A$500,$B32,'DADOS BRUTOS'!X$3:X$500)+IF($C32="",0,SUMIF('DADOS BRUTOS'!$A$3:$A$500,$C32,'DADOS BRUTOS'!X$3:X$500)))</f>
        <v/>
      </c>
      <c r="CY32" s="56">
        <f>IF(OR(CY$4="",$B32=""),0,SUMIF('DADOS BRUTOS'!$A$3:$A$500,$B32,'DADOS BRUTOS'!Y$3:Y$500)+IF($C32="",0,SUMIF('DADOS BRUTOS'!$A$3:$A$500,$C32,'DADOS BRUTOS'!Y$3:Y$500)))</f>
        <v/>
      </c>
      <c r="CZ32" s="56">
        <f>IF(OR(CZ$4="",$B32=""),0,SUMIF('DADOS BRUTOS'!$A$3:$A$500,$B32,'DADOS BRUTOS'!Z$3:Z$500)+IF($C32="",0,SUMIF('DADOS BRUTOS'!$A$3:$A$500,$C32,'DADOS BRUTOS'!Z$3:Z$500)))</f>
        <v/>
      </c>
      <c r="DA32" s="56">
        <f>IF(OR(DA$4="",$B32=""),0,SUMIF('DADOS BRUTOS'!$A$3:$A$500,$B32,'DADOS BRUTOS'!AA$3:AA$500)+IF($C32="",0,SUMIF('DADOS BRUTOS'!$A$3:$A$500,$C32,'DADOS BRUTOS'!AA$3:AA$500)))</f>
        <v/>
      </c>
      <c r="DB32" s="56">
        <f>IF(OR(DB$4="",$B32=""),0,SUMIF('DADOS BRUTOS'!$A$3:$A$500,$B32,'DADOS BRUTOS'!AB$3:AB$500)+IF($C32="",0,SUMIF('DADOS BRUTOS'!$A$3:$A$500,$C32,'DADOS BRUTOS'!AB$3:AB$500)))</f>
        <v/>
      </c>
      <c r="DC32" s="56">
        <f>IF(OR(DC$4="",$B32=""),0,SUMIF('DADOS BRUTOS'!$A$3:$A$500,$B32,'DADOS BRUTOS'!AC$3:AC$500)+IF($C32="",0,SUMIF('DADOS BRUTOS'!$A$3:$A$500,$C32,'DADOS BRUTOS'!AC$3:AC$500)))</f>
        <v/>
      </c>
      <c r="DD32" s="56">
        <f>IF(OR(DD$4="",$B32=""),0,SUMIF('DADOS BRUTOS'!$A$3:$A$500,$B32,'DADOS BRUTOS'!AD$3:AD$500)+IF($C32="",0,SUMIF('DADOS BRUTOS'!$A$3:$A$500,$C32,'DADOS BRUTOS'!AD$3:AD$500)))</f>
        <v/>
      </c>
      <c r="DE32" s="56">
        <f>IF(OR(DE$4="",$B32=""),0,SUMIF('DADOS BRUTOS'!$A$3:$A$500,$B32,'DADOS BRUTOS'!AE$3:AE$500)+IF($C32="",0,SUMIF('DADOS BRUTOS'!$A$3:$A$500,$C32,'DADOS BRUTOS'!AE$3:AE$500)))</f>
        <v/>
      </c>
      <c r="DF32" s="56">
        <f>IF(OR(DF$4="",$B32=""),0,SUMIF('DADOS BRUTOS'!$A$3:$A$500,$B32,'DADOS BRUTOS'!AF$3:AF$500)+IF($C32="",0,SUMIF('DADOS BRUTOS'!$A$3:$A$500,$C32,'DADOS BRUTOS'!AF$3:AF$500)))</f>
        <v/>
      </c>
      <c r="DG32" s="56">
        <f>IF(OR(DG$4="",$B32=""),0,SUMIF('DADOS BRUTOS'!$A$3:$A$500,$B32,'DADOS BRUTOS'!AG$3:AG$500)+IF($C32="",0,SUMIF('DADOS BRUTOS'!$A$3:$A$500,$C32,'DADOS BRUTOS'!AG$3:AG$500)))</f>
        <v/>
      </c>
      <c r="DH32" s="56">
        <f>IF(OR(DH$4="",$B32=""),0,SUMIF('DADOS BRUTOS'!$A$3:$A$500,$B32,'DADOS BRUTOS'!AH$3:AH$500)+IF($C32="",0,SUMIF('DADOS BRUTOS'!$A$3:$A$500,$C32,'DADOS BRUTOS'!AH$3:AH$500)))</f>
        <v/>
      </c>
      <c r="DI32" s="56">
        <f>IF(OR(DI$4="",$B32=""),0,SUMIF('DADOS BRUTOS'!$A$3:$A$500,$B32,'DADOS BRUTOS'!AI$3:AI$500)+IF($C32="",0,SUMIF('DADOS BRUTOS'!$A$3:$A$500,$C32,'DADOS BRUTOS'!AI$3:AI$500)))</f>
        <v/>
      </c>
      <c r="DJ32" s="56">
        <f>IF(OR(DJ$4="",$B32=""),0,SUMIF('DADOS BRUTOS'!$A$3:$A$500,$B32,'DADOS BRUTOS'!AJ$3:AJ$500)+IF($C32="",0,SUMIF('DADOS BRUTOS'!$A$3:$A$500,$C32,'DADOS BRUTOS'!AJ$3:AJ$500)))</f>
        <v/>
      </c>
      <c r="DK32" s="56">
        <f>IF(OR(DK$4="",$B32=""),0,SUMIF('DADOS BRUTOS'!$A$3:$A$500,$B32,'DADOS BRUTOS'!AK$3:AK$500)+IF($C32="",0,SUMIF('DADOS BRUTOS'!$A$3:$A$500,$C32,'DADOS BRUTOS'!AK$3:AK$500)))</f>
        <v/>
      </c>
      <c r="DL32" s="56">
        <f>IF(OR(DL$4="",$B32=""),0,SUMIF('DADOS BRUTOS'!$A$3:$A$500,$B32,'DADOS BRUTOS'!AL$3:AL$500)+IF($C32="",0,SUMIF('DADOS BRUTOS'!$A$3:$A$500,$C32,'DADOS BRUTOS'!AL$3:AL$500)))</f>
        <v/>
      </c>
      <c r="DM32" s="56">
        <f>IF(OR(DM$4="",$B32=""),0,SUMIF('DADOS BRUTOS'!$A$3:$A$500,$B32,'DADOS BRUTOS'!AM$3:AM$500)+IF($C32="",0,SUMIF('DADOS BRUTOS'!$A$3:$A$500,$C32,'DADOS BRUTOS'!AM$3:AM$500)))</f>
        <v/>
      </c>
      <c r="DN32" s="56">
        <f>IF(OR(DN$4="",$B32=""),0,SUMIF('DADOS BRUTOS'!$A$3:$A$500,$B32,'DADOS BRUTOS'!AN$3:AN$500)+IF($C32="",0,SUMIF('DADOS BRUTOS'!$A$3:$A$500,$C32,'DADOS BRUTOS'!AN$3:AN$500)))</f>
        <v/>
      </c>
      <c r="DO32" s="56">
        <f>IF(OR(DO$4="",$B32=""),0,SUMIF('DADOS BRUTOS'!$A$3:$A$500,$B32,'DADOS BRUTOS'!AO$3:AO$500)+IF($C32="",0,SUMIF('DADOS BRUTOS'!$A$3:$A$500,$C32,'DADOS BRUTOS'!AO$3:AO$500)))</f>
        <v/>
      </c>
      <c r="DP32" s="56">
        <f>IF(OR(DP$4="",$B32=""),0,SUMIF('DADOS BRUTOS'!$A$3:$A$500,$B32,'DADOS BRUTOS'!AP$3:AP$500)+IF($C32="",0,SUMIF('DADOS BRUTOS'!$A$3:$A$500,$C32,'DADOS BRUTOS'!AP$3:AP$500)))</f>
        <v/>
      </c>
      <c r="DQ32" s="56">
        <f>IF(OR(DQ$4="",$B32=""),0,SUMIF('DADOS BRUTOS'!$A$3:$A$500,$B32,'DADOS BRUTOS'!AQ$3:AQ$500)+IF($C32="",0,SUMIF('DADOS BRUTOS'!$A$3:$A$500,$C32,'DADOS BRUTOS'!AQ$3:AQ$500)))</f>
        <v/>
      </c>
      <c r="DR32" s="56">
        <f>IF(OR(DR$4="",$B32=""),0,SUMIF('DADOS BRUTOS'!$A$3:$A$500,$B32,'DADOS BRUTOS'!AR$3:AR$500)+IF($C32="",0,SUMIF('DADOS BRUTOS'!$A$3:$A$500,$C32,'DADOS BRUTOS'!AR$3:AR$500)))</f>
        <v/>
      </c>
      <c r="DS32" s="56">
        <f>IF(OR(DS$4="",$B32=""),0,SUMIF('DADOS BRUTOS'!$A$3:$A$500,$B32,'DADOS BRUTOS'!AS$3:AS$500)+IF($C32="",0,SUMIF('DADOS BRUTOS'!$A$3:$A$500,$C32,'DADOS BRUTOS'!AS$3:AS$500)))</f>
        <v/>
      </c>
      <c r="DT32" s="56">
        <f>IF(OR(DT$4="",$B32=""),0,SUMIF('DADOS BRUTOS'!$A$3:$A$500,$B32,'DADOS BRUTOS'!AT$3:AT$500)+IF($C32="",0,SUMIF('DADOS BRUTOS'!$A$3:$A$500,$C32,'DADOS BRUTOS'!AT$3:AT$500)))</f>
        <v/>
      </c>
      <c r="DU32" s="56">
        <f>IF(OR(DU$4="",$B32=""),0,SUMIF('DADOS BRUTOS'!$A$3:$A$500,$B32,'DADOS BRUTOS'!AU$3:AU$500)+IF($C32="",0,SUMIF('DADOS BRUTOS'!$A$3:$A$500,$C32,'DADOS BRUTOS'!AU$3:AU$500)))</f>
        <v/>
      </c>
      <c r="DV32" s="56">
        <f>IF(OR(DV$4="",$B32=""),0,SUMIF('DADOS BRUTOS'!$A$3:$A$500,$B32,'DADOS BRUTOS'!AV$3:AV$500)+IF($C32="",0,SUMIF('DADOS BRUTOS'!$A$3:$A$500,$C32,'DADOS BRUTOS'!AV$3:AV$500)))</f>
        <v/>
      </c>
      <c r="DW32" s="56">
        <f>IF(OR(DW$4="",$B32=""),0,SUMIF('DADOS BRUTOS'!$A$3:$A$500,$B32,'DADOS BRUTOS'!AW$3:AW$500)+IF($C32="",0,SUMIF('DADOS BRUTOS'!$A$3:$A$500,$C32,'DADOS BRUTOS'!AW$3:AW$500)))</f>
        <v/>
      </c>
      <c r="DX32" s="56">
        <f>IF(OR(DX$4="",$B32=""),0,SUMIF('DADOS BRUTOS'!$A$3:$A$500,$B32,'DADOS BRUTOS'!AX$3:AX$500)+IF($C32="",0,SUMIF('DADOS BRUTOS'!$A$3:$A$500,$C32,'DADOS BRUTOS'!AX$3:AX$500)))</f>
        <v/>
      </c>
      <c r="DY32" s="56">
        <f>IF(OR(DY$4="",$B32=""),0,SUMIF('DADOS BRUTOS'!$A$3:$A$500,$B32,'DADOS BRUTOS'!AY$3:AY$500)+IF($C32="",0,SUMIF('DADOS BRUTOS'!$A$3:$A$500,$C32,'DADOS BRUTOS'!AY$3:AY$500)))</f>
        <v/>
      </c>
      <c r="DZ32" s="56">
        <f>IF(OR(DZ$4="",$B32=""),0,SUMIF('DADOS BRUTOS'!$A$3:$A$500,$B32,'DADOS BRUTOS'!AZ$3:AZ$500)+IF($C32="",0,SUMIF('DADOS BRUTOS'!$A$3:$A$500,$C32,'DADOS BRUTOS'!AZ$3:AZ$500)))</f>
        <v/>
      </c>
      <c r="EA32" s="56">
        <f>IF(OR(EA$4="",$B32=""),0,SUMIF('DADOS BRUTOS'!$A$3:$A$500,$B32,'DADOS BRUTOS'!BA$3:BA$500)+IF($C32="",0,SUMIF('DADOS BRUTOS'!$A$3:$A$500,$C32,'DADOS BRUTOS'!BA$3:BA$500)))</f>
        <v/>
      </c>
      <c r="EB32" s="56">
        <f>IF(OR(EB$4="",$B32=""),0,SUMIF('DADOS BRUTOS'!$A$3:$A$500,$B32,'DADOS BRUTOS'!BB$3:BB$500)+IF($C32="",0,SUMIF('DADOS BRUTOS'!$A$3:$A$500,$C32,'DADOS BRUTOS'!BB$3:BB$500)))</f>
        <v/>
      </c>
      <c r="EC32" s="56">
        <f>IF(OR(EC$4="",$B32=""),0,SUMIF('DADOS BRUTOS'!$A$3:$A$500,$B32,'DADOS BRUTOS'!BC$3:BC$500)+IF($C32="",0,SUMIF('DADOS BRUTOS'!$A$3:$A$500,$C32,'DADOS BRUTOS'!BC$3:BC$500)))</f>
        <v/>
      </c>
      <c r="ED32" s="56">
        <f>IF(OR(ED$4="",$B32=""),0,SUMIF('DADOS BRUTOS'!$A$3:$A$500,$B32,'DADOS BRUTOS'!BD$3:BD$500)+IF($C32="",0,SUMIF('DADOS BRUTOS'!$A$3:$A$500,$C32,'DADOS BRUTOS'!BD$3:BD$500)))</f>
        <v/>
      </c>
      <c r="EE32" s="56">
        <f>IF(OR(EE$4="",$B32=""),0,SUMIF('DADOS BRUTOS'!$A$3:$A$500,$B32,'DADOS BRUTOS'!BE$3:BE$500)+IF($C32="",0,SUMIF('DADOS BRUTOS'!$A$3:$A$500,$C32,'DADOS BRUTOS'!BE$3:BE$500)))</f>
        <v/>
      </c>
      <c r="EF32" s="56">
        <f>IF(OR(EF$4="",$B32=""),0,SUMIF('DADOS BRUTOS'!$A$3:$A$500,$B32,'DADOS BRUTOS'!BF$3:BF$500)+IF($C32="",0,SUMIF('DADOS BRUTOS'!$A$3:$A$500,$C32,'DADOS BRUTOS'!BF$3:BF$500)))</f>
        <v/>
      </c>
      <c r="EG32" s="56">
        <f>IF(OR(EG$4="",$B32=""),0,SUMIF('DADOS BRUTOS'!$A$3:$A$500,$B32,'DADOS BRUTOS'!BG$3:BG$500)+IF($C32="",0,SUMIF('DADOS BRUTOS'!$A$3:$A$500,$C32,'DADOS BRUTOS'!BG$3:BG$500)))</f>
        <v/>
      </c>
      <c r="EH32" s="56">
        <f>IF(OR(EH$4="",$B32=""),0,SUMIF('DADOS BRUTOS'!$A$3:$A$500,$B32,'DADOS BRUTOS'!BH$3:BH$500)+IF($C32="",0,SUMIF('DADOS BRUTOS'!$A$3:$A$500,$C32,'DADOS BRUTOS'!BH$3:BH$500)))</f>
        <v/>
      </c>
      <c r="EI32" s="56">
        <f>IF(OR(EI$4="",$B32=""),0,SUMIF('DADOS BRUTOS'!$A$3:$A$500,$B32,'DADOS BRUTOS'!BI$3:BI$500)+IF($C32="",0,SUMIF('DADOS BRUTOS'!$A$3:$A$500,$C32,'DADOS BRUTOS'!BI$3:BI$500)))</f>
        <v/>
      </c>
      <c r="EJ32" s="56">
        <f>IF(OR(EJ$4="",$B32=""),0,SUMIF('DADOS BRUTOS'!$A$3:$A$500,$B32,'DADOS BRUTOS'!BJ$3:BJ$500)+IF($C32="",0,SUMIF('DADOS BRUTOS'!$A$3:$A$500,$C32,'DADOS BRUTOS'!BJ$3:BJ$500)))</f>
        <v/>
      </c>
      <c r="EK32" s="56">
        <f>IF(OR(EK$4="",$B32=""),0,SUMIF('DADOS BRUTOS'!$A$3:$A$500,$B32,'DADOS BRUTOS'!BK$3:BK$500)+IF($C32="",0,SUMIF('DADOS BRUTOS'!$A$3:$A$500,$C32,'DADOS BRUTOS'!BK$3:BK$500)))</f>
        <v/>
      </c>
      <c r="EL32" s="56">
        <f>IF(OR(EL$4="",$B32=""),0,SUMIF('DADOS BRUTOS'!$A$3:$A$500,$B32,'DADOS BRUTOS'!BL$3:BL$500)+IF($C32="",0,SUMIF('DADOS BRUTOS'!$A$3:$A$500,$C32,'DADOS BRUTOS'!BL$3:BL$500)))</f>
        <v/>
      </c>
      <c r="EM32" s="56">
        <f>IF(OR(EM$4="",$B32=""),0,SUMIF('DADOS BRUTOS'!$A$3:$A$500,$B32,'DADOS BRUTOS'!BM$3:BM$500)+IF($C32="",0,SUMIF('DADOS BRUTOS'!$A$3:$A$500,$C32,'DADOS BRUTOS'!BM$3:BM$500)))</f>
        <v/>
      </c>
      <c r="EN32" s="56">
        <f>IF(OR(EN$4="",$B32=""),0,SUMIF('DADOS BRUTOS'!$A$3:$A$500,$B32,'DADOS BRUTOS'!BN$3:BN$500)+IF($C32="",0,SUMIF('DADOS BRUTOS'!$A$3:$A$500,$C32,'DADOS BRUTOS'!BN$3:BN$500)))</f>
        <v/>
      </c>
      <c r="EO32" s="56">
        <f>IF(OR(EO$4="",$B32=""),0,SUMIF('DADOS BRUTOS'!$A$3:$A$500,$B32,'DADOS BRUTOS'!BO$3:BO$500)+IF($C32="",0,SUMIF('DADOS BRUTOS'!$A$3:$A$500,$C32,'DADOS BRUTOS'!BO$3:BO$500)))</f>
        <v/>
      </c>
      <c r="EP32" s="56">
        <f>IF(OR(EP$4="",$B32=""),0,SUMIF('DADOS BRUTOS'!$A$3:$A$500,$B32,'DADOS BRUTOS'!BP$3:BP$500)+IF($C32="",0,SUMIF('DADOS BRUTOS'!$A$3:$A$500,$C32,'DADOS BRUTOS'!BP$3:BP$500)))</f>
        <v/>
      </c>
      <c r="EQ32" s="56">
        <f>IF(OR(EQ$4="",$B32=""),0,SUMIF('DADOS BRUTOS'!$A$3:$A$500,$B32,'DADOS BRUTOS'!BQ$3:BQ$500)+IF($C32="",0,SUMIF('DADOS BRUTOS'!$A$3:$A$500,$C32,'DADOS BRUTOS'!BQ$3:BQ$500)))</f>
        <v/>
      </c>
      <c r="ER32" s="56">
        <f>IF(OR(ER$4="",$B32=""),0,SUMIF('DADOS BRUTOS'!$A$3:$A$500,$B32,'DADOS BRUTOS'!BR$3:BR$500)+IF($C32="",0,SUMIF('DADOS BRUTOS'!$A$3:$A$500,$C32,'DADOS BRUTOS'!BR$3:BR$500)))</f>
        <v/>
      </c>
      <c r="ES32" s="56">
        <f>IF(OR(ES$4="",$B32=""),0,SUMIF('DADOS BRUTOS'!$A$3:$A$500,$B32,'DADOS BRUTOS'!BS$3:BS$500)+IF($C32="",0,SUMIF('DADOS BRUTOS'!$A$3:$A$500,$C32,'DADOS BRUTOS'!BS$3:BS$500)))</f>
        <v/>
      </c>
      <c r="ET32" s="56">
        <f>IF(OR(ET$4="",$B32=""),0,SUMIF('DADOS BRUTOS'!$A$3:$A$500,$B32,'DADOS BRUTOS'!BT$3:BT$500)+IF($C32="",0,SUMIF('DADOS BRUTOS'!$A$3:$A$500,$C32,'DADOS BRUTOS'!BT$3:BT$500)))</f>
        <v/>
      </c>
      <c r="EU32" s="56">
        <f>IF(OR(EU$4="",$B32=""),0,SUMIF('DADOS BRUTOS'!$A$3:$A$500,$B32,'DADOS BRUTOS'!BU$3:BU$500)+IF($C32="",0,SUMIF('DADOS BRUTOS'!$A$3:$A$500,$C32,'DADOS BRUTOS'!BU$3:BU$500)))</f>
        <v/>
      </c>
      <c r="EV32" s="56">
        <f>IF(OR(EV$4="",$B32=""),0,SUMIF('DADOS BRUTOS'!$A$3:$A$500,$B32,'DADOS BRUTOS'!BV$3:BV$500)+IF($C32="",0,SUMIF('DADOS BRUTOS'!$A$3:$A$500,$C32,'DADOS BRUTOS'!BV$3:BV$500)))</f>
        <v/>
      </c>
      <c r="EW32" s="56">
        <f>IF(OR(EW$4="",$B32=""),0,SUMIF('DADOS BRUTOS'!$A$3:$A$500,$B32,'DADOS BRUTOS'!BW$3:BW$500)+IF($C32="",0,SUMIF('DADOS BRUTOS'!$A$3:$A$500,$C32,'DADOS BRUTOS'!BW$3:BW$500)))</f>
        <v/>
      </c>
      <c r="EX32" s="56">
        <f>IF(OR(EX$4="",$B32=""),0,SUMIF('DADOS BRUTOS'!$A$3:$A$500,$B32,'DADOS BRUTOS'!BX$3:BX$500)+IF($C32="",0,SUMIF('DADOS BRUTOS'!$A$3:$A$500,$C32,'DADOS BRUTOS'!BX$3:BX$500)))</f>
        <v/>
      </c>
      <c r="EY32" s="56">
        <f>IF(OR(EY$4="",$B32=""),0,SUMIF('DADOS BRUTOS'!$A$3:$A$500,$B32,'DADOS BRUTOS'!BY$3:BY$500)+IF($C32="",0,SUMIF('DADOS BRUTOS'!$A$3:$A$500,$C32,'DADOS BRUTOS'!BY$3:BY$500)))</f>
        <v/>
      </c>
      <c r="EZ32" s="56">
        <f>IF(OR(EZ$4="",$B32=""),0,SUMIF('DADOS BRUTOS'!$A$3:$A$500,$B32,'DADOS BRUTOS'!BZ$3:BZ$500)+IF($C32="",0,SUMIF('DADOS BRUTOS'!$A$3:$A$500,$C32,'DADOS BRUTOS'!BZ$3:BZ$500)))</f>
        <v/>
      </c>
      <c r="FA32" s="56">
        <f>IF(OR(FA$4="",$B32=""),0,SUMIF('DADOS BRUTOS'!$A$3:$A$500,$B32,'DADOS BRUTOS'!CA$3:CA$500)+IF($C32="",0,SUMIF('DADOS BRUTOS'!$A$3:$A$500,$C32,'DADOS BRUTOS'!CA$3:CA$500)))</f>
        <v/>
      </c>
      <c r="FB32" s="56">
        <f>IF(OR(FB$4="",$B32=""),0,SUMIF('DADOS BRUTOS'!$A$3:$A$500,$B32,'DADOS BRUTOS'!CB$3:CB$500)+IF($C32="",0,SUMIF('DADOS BRUTOS'!$A$3:$A$500,$C32,'DADOS BRUTOS'!CB$3:CB$500)))</f>
        <v/>
      </c>
      <c r="FC32" s="56">
        <f>IF(OR(FC$4="",$B32=""),0,SUMIF('DADOS BRUTOS'!$A$3:$A$500,$B32,'DADOS BRUTOS'!CC$3:CC$500)+IF($C32="",0,SUMIF('DADOS BRUTOS'!$A$3:$A$500,$C32,'DADOS BRUTOS'!CC$3:CC$500)))</f>
        <v/>
      </c>
      <c r="FD32" s="56">
        <f>IF(OR(FD$4="",$B32=""),0,SUMIF('DADOS BRUTOS'!$A$3:$A$500,$B32,'DADOS BRUTOS'!CD$3:CD$500)+IF($C32="",0,SUMIF('DADOS BRUTOS'!$A$3:$A$500,$C32,'DADOS BRUTOS'!CD$3:CD$500)))</f>
        <v/>
      </c>
      <c r="FE32" s="56">
        <f>IF(OR(FE$4="",$B32=""),0,SUMIF('DADOS BRUTOS'!$A$3:$A$500,$B32,'DADOS BRUTOS'!CE$3:CE$500)+IF($C32="",0,SUMIF('DADOS BRUTOS'!$A$3:$A$500,$C32,'DADOS BRUTOS'!CE$3:CE$500)))</f>
        <v/>
      </c>
      <c r="FF32" s="56">
        <f>IF(OR(FF$4="",$B32=""),0,SUMIF('DADOS BRUTOS'!$A$3:$A$500,$B32,'DADOS BRUTOS'!CF$3:CF$500)+IF($C32="",0,SUMIF('DADOS BRUTOS'!$A$3:$A$500,$C32,'DADOS BRUTOS'!CF$3:CF$500)))</f>
        <v/>
      </c>
      <c r="FG32" s="56">
        <f>IF(OR(FG$4="",$B32=""),0,SUMIF('DADOS BRUTOS'!$A$3:$A$500,$B32,'DADOS BRUTOS'!CG$3:CG$500)+IF($C32="",0,SUMIF('DADOS BRUTOS'!$A$3:$A$500,$C32,'DADOS BRUTOS'!CG$3:CG$500)))</f>
        <v/>
      </c>
      <c r="FH32" s="56">
        <f>IF(OR(FH$4="",$B32=""),0,SUMIF('DADOS BRUTOS'!$A$3:$A$500,$B32,'DADOS BRUTOS'!CH$3:CH$500)+IF($C32="",0,SUMIF('DADOS BRUTOS'!$A$3:$A$500,$C32,'DADOS BRUTOS'!CH$3:CH$500)))</f>
        <v/>
      </c>
      <c r="FI32" s="56">
        <f>IF(OR(FI$4="",$B32=""),0,SUMIF('DADOS BRUTOS'!$A$3:$A$500,$B32,'DADOS BRUTOS'!CI$3:CI$500)+IF($C32="",0,SUMIF('DADOS BRUTOS'!$A$3:$A$500,$C32,'DADOS BRUTOS'!CI$3:CI$500)))</f>
        <v/>
      </c>
      <c r="FJ32" s="56">
        <f>IF(OR(FJ$4="",$B32=""),0,SUMIF('DADOS BRUTOS'!$A$3:$A$500,$B32,'DADOS BRUTOS'!CJ$3:CJ$500)+IF($C32="",0,SUMIF('DADOS BRUTOS'!$A$3:$A$500,$C32,'DADOS BRUTOS'!CJ$3:CJ$500)))</f>
        <v/>
      </c>
      <c r="FK32" s="56">
        <f>IF(OR(FK$4="",$B32=""),0,SUMIF('DADOS BRUTOS'!$A$3:$A$500,$B32,'DADOS BRUTOS'!CK$3:CK$500)+IF($C32="",0,SUMIF('DADOS BRUTOS'!$A$3:$A$500,$C32,'DADOS BRUTOS'!CK$3:CK$500)))</f>
        <v/>
      </c>
      <c r="FL32" s="56">
        <f>IF(OR(FL$4="",$B32=""),0,SUMIF('DADOS BRUTOS'!$A$3:$A$500,$B32,'DADOS BRUTOS'!CL$3:CL$500)+IF($C32="",0,SUMIF('DADOS BRUTOS'!$A$3:$A$500,$C32,'DADOS BRUTOS'!CL$3:CL$500)))</f>
        <v/>
      </c>
      <c r="FM32" s="56">
        <f>IF(OR(FM$4="",$B32=""),0,SUMIF('DADOS BRUTOS'!$A$3:$A$500,$B32,'DADOS BRUTOS'!CM$3:CM$500)+IF($C32="",0,SUMIF('DADOS BRUTOS'!$A$3:$A$500,$C32,'DADOS BRUTOS'!CM$3:CM$500)))</f>
        <v/>
      </c>
      <c r="FN32" s="56">
        <f>IF(OR(FN$4="",$B32=""),0,SUMIF('DADOS BRUTOS'!$A$3:$A$500,$B32,'DADOS BRUTOS'!CN$3:CN$500)+IF($C32="",0,SUMIF('DADOS BRUTOS'!$A$3:$A$500,$C32,'DADOS BRUTOS'!CN$3:CN$500)))</f>
        <v/>
      </c>
      <c r="FO32" s="56">
        <f>IF(OR(FO$4="",$B32=""),0,SUMIF('DADOS BRUTOS'!$A$3:$A$500,$B32,'DADOS BRUTOS'!CO$3:CO$500)+IF($C32="",0,SUMIF('DADOS BRUTOS'!$A$3:$A$500,$C32,'DADOS BRUTOS'!CO$3:CO$500)))</f>
        <v/>
      </c>
      <c r="FP32" s="56">
        <f>IF(OR(FP$4="",$B32=""),0,SUMIF('DADOS BRUTOS'!$A$3:$A$500,$B32,'DADOS BRUTOS'!CP$3:CP$500)+IF($C32="",0,SUMIF('DADOS BRUTOS'!$A$3:$A$500,$C32,'DADOS BRUTOS'!CP$3:CP$500)))</f>
        <v/>
      </c>
      <c r="FQ32" s="56">
        <f>IF(OR(FQ$4="",$B32=""),0,SUMIF('DADOS BRUTOS'!$A$3:$A$500,$B32,'DADOS BRUTOS'!CQ$3:CQ$500)+IF($C32="",0,SUMIF('DADOS BRUTOS'!$A$3:$A$500,$C32,'DADOS BRUTOS'!CQ$3:CQ$500)))</f>
        <v/>
      </c>
      <c r="FR32" s="56">
        <f>IF(OR(FR$4="",$B32=""),0,SUMIF('DADOS BRUTOS'!$A$3:$A$500,$B32,'DADOS BRUTOS'!CR$3:CR$500)+IF($C32="",0,SUMIF('DADOS BRUTOS'!$A$3:$A$500,$C32,'DADOS BRUTOS'!CR$3:CR$500)))</f>
        <v/>
      </c>
      <c r="FS32" s="56">
        <f>IF(OR(FS$4="",$B32=""),0,SUMIF('DADOS BRUTOS'!$A$3:$A$500,$B32,'DADOS BRUTOS'!CS$3:CS$500)+IF($C32="",0,SUMIF('DADOS BRUTOS'!$A$3:$A$500,$C32,'DADOS BRUTOS'!CS$3:CS$500)))</f>
        <v/>
      </c>
      <c r="FT32" s="56">
        <f>IF(OR(FT$4="",$B32=""),0,SUMIF('DADOS BRUTOS'!$A$3:$A$500,$B32,'DADOS BRUTOS'!CT$3:CT$500)+IF($C32="",0,SUMIF('DADOS BRUTOS'!$A$3:$A$500,$C32,'DADOS BRUTOS'!CT$3:CT$500)))</f>
        <v/>
      </c>
      <c r="FU32" s="56">
        <f>IF(OR(FU$4="",$B32=""),0,SUMIF('DADOS BRUTOS'!$A$3:$A$500,$B32,'DADOS BRUTOS'!CU$3:CU$500)+IF($C32="",0,SUMIF('DADOS BRUTOS'!$A$3:$A$500,$C32,'DADOS BRUTOS'!CU$3:CU$500)))</f>
        <v/>
      </c>
      <c r="FV32" s="56">
        <f>IF(OR(FV$4="",$B32=""),0,SUMIF('DADOS BRUTOS'!$A$3:$A$500,$B32,'DADOS BRUTOS'!CV$3:CV$500)+IF($C32="",0,SUMIF('DADOS BRUTOS'!$A$3:$A$500,$C32,'DADOS BRUTOS'!CV$3:CV$500)))</f>
        <v/>
      </c>
      <c r="FW32" s="56">
        <f>IF(OR(FW$4="",$B32=""),0,SUMIF('DADOS BRUTOS'!$A$3:$A$500,$B32,'DADOS BRUTOS'!CW$3:CW$500)+IF($C32="",0,SUMIF('DADOS BRUTOS'!$A$3:$A$500,$C32,'DADOS BRUTOS'!CW$3:CW$500)))</f>
        <v/>
      </c>
      <c r="FX32" s="56">
        <f>IF(OR(FX$4="",$B32=""),0,SUMIF('DADOS BRUTOS'!$A$3:$A$500,$B32,'DADOS BRUTOS'!CX$3:CX$500)+IF($C32="",0,SUMIF('DADOS BRUTOS'!$A$3:$A$500,$C32,'DADOS BRUTOS'!CX$3:CX$500)))</f>
        <v/>
      </c>
      <c r="FY32" s="56">
        <f>IF(OR(FY$4="",$B32=""),0,SUMIF('DADOS BRUTOS'!$A$3:$A$500,$B32,'DADOS BRUTOS'!CY$3:CY$500)+IF($C32="",0,SUMIF('DADOS BRUTOS'!$A$3:$A$500,$C32,'DADOS BRUTOS'!CY$3:CY$500)))</f>
        <v/>
      </c>
      <c r="FZ32" s="56">
        <f>IF(OR(FZ$4="",$B32=""),0,SUMIF('DADOS BRUTOS'!$A$3:$A$500,$B32,'DADOS BRUTOS'!CZ$3:CZ$500)+IF($C32="",0,SUMIF('DADOS BRUTOS'!$A$3:$A$500,$C32,'DADOS BRUTOS'!CZ$3:CZ$500)))</f>
        <v/>
      </c>
      <c r="GA32" s="56">
        <f>IF(OR(GA$4="",$B32=""),0,SUMIF('DADOS BRUTOS'!$A$3:$A$500,$B32,'DADOS BRUTOS'!DA$3:DA$500)+IF($C32="",0,SUMIF('DADOS BRUTOS'!$A$3:$A$500,$C32,'DADOS BRUTOS'!DA$3:DA$500)))</f>
        <v/>
      </c>
      <c r="GB32" s="56">
        <f>IF(OR(GB$4="",$B32=""),0,SUMIF('DADOS BRUTOS'!$A$3:$A$500,$B32,'DADOS BRUTOS'!DB$3:DB$500)+IF($C32="",0,SUMIF('DADOS BRUTOS'!$A$3:$A$500,$C32,'DADOS BRUTOS'!DB$3:DB$500)))</f>
        <v/>
      </c>
      <c r="GC32" s="56">
        <f>IF(OR(GC$4="",$B32=""),0,SUMIF('DADOS BRUTOS'!$A$3:$A$500,$B32,'DADOS BRUTOS'!DC$3:DC$500)+IF($C32="",0,SUMIF('DADOS BRUTOS'!$A$3:$A$500,$C32,'DADOS BRUTOS'!DC$3:DC$500)))</f>
        <v/>
      </c>
      <c r="GD32" s="56">
        <f>IF(OR(GD$4="",$B32=""),0,SUMIF('DADOS BRUTOS'!$A$3:$A$500,$B32,'DADOS BRUTOS'!DD$3:DD$500)+IF($C32="",0,SUMIF('DADOS BRUTOS'!$A$3:$A$500,$C32,'DADOS BRUTOS'!DD$3:DD$500)))</f>
        <v/>
      </c>
      <c r="GE32" s="56">
        <f>IF(OR(GE$4="",$B32=""),0,SUMIF('DADOS BRUTOS'!$A$3:$A$500,$B32,'DADOS BRUTOS'!DE$3:DE$500)+IF($C32="",0,SUMIF('DADOS BRUTOS'!$A$3:$A$500,$C32,'DADOS BRUTOS'!DE$3:DE$500)))</f>
        <v/>
      </c>
      <c r="GF32" s="56">
        <f>IF(OR(GF$4="",$B32=""),0,SUMIF('DADOS BRUTOS'!$A$3:$A$500,$B32,'DADOS BRUTOS'!DF$3:DF$500)+IF($C32="",0,SUMIF('DADOS BRUTOS'!$A$3:$A$500,$C32,'DADOS BRUTOS'!DF$3:DF$500)))</f>
        <v/>
      </c>
      <c r="GG32" s="56">
        <f>IF(OR(GG$4="",$B32=""),0,SUMIF('DADOS BRUTOS'!$A$3:$A$500,$B32,'DADOS BRUTOS'!DG$3:DG$500)+IF($C32="",0,SUMIF('DADOS BRUTOS'!$A$3:$A$500,$C32,'DADOS BRUTOS'!DG$3:DG$500)))</f>
        <v/>
      </c>
      <c r="GH32" s="56">
        <f>IF(OR(GH$4="",$B32=""),0,SUMIF('DADOS BRUTOS'!$A$3:$A$500,$B32,'DADOS BRUTOS'!DH$3:DH$500)+IF($C32="",0,SUMIF('DADOS BRUTOS'!$A$3:$A$500,$C32,'DADOS BRUTOS'!DH$3:DH$500)))</f>
        <v/>
      </c>
      <c r="GI32" s="56">
        <f>IF(OR(GI$4="",$B32=""),0,SUMIF('DADOS BRUTOS'!$A$3:$A$500,$B32,'DADOS BRUTOS'!DI$3:DI$500)+IF($C32="",0,SUMIF('DADOS BRUTOS'!$A$3:$A$500,$C32,'DADOS BRUTOS'!DI$3:DI$500)))</f>
        <v/>
      </c>
      <c r="GJ32" s="56">
        <f>IF(OR(GJ$4="",$B32=""),0,SUMIF('DADOS BRUTOS'!$A$3:$A$500,$B32,'DADOS BRUTOS'!DJ$3:DJ$500)+IF($C32="",0,SUMIF('DADOS BRUTOS'!$A$3:$A$500,$C32,'DADOS BRUTOS'!DJ$3:DJ$500)))</f>
        <v/>
      </c>
      <c r="GK32" s="56">
        <f>IF(OR(GK$4="",$B32=""),0,SUMIF('DADOS BRUTOS'!$A$3:$A$500,$B32,'DADOS BRUTOS'!DK$3:DK$500)+IF($C32="",0,SUMIF('DADOS BRUTOS'!$A$3:$A$500,$C32,'DADOS BRUTOS'!DK$3:DK$500)))</f>
        <v/>
      </c>
      <c r="GL32" s="56">
        <f>IF(OR(GL$4="",$B32=""),0,SUMIF('DADOS BRUTOS'!$A$3:$A$500,$B32,'DADOS BRUTOS'!DL$3:DL$500)+IF($C32="",0,SUMIF('DADOS BRUTOS'!$A$3:$A$500,$C32,'DADOS BRUTOS'!DL$3:DL$500)))</f>
        <v/>
      </c>
      <c r="GM32" s="56">
        <f>IF(OR(GM$4="",$B32=""),0,SUMIF('DADOS BRUTOS'!$A$3:$A$500,$B32,'DADOS BRUTOS'!DM$3:DM$500)+IF($C32="",0,SUMIF('DADOS BRUTOS'!$A$3:$A$500,$C32,'DADOS BRUTOS'!DM$3:DM$500)))</f>
        <v/>
      </c>
      <c r="GN32" s="56">
        <f>IF(OR(GN$4="",$B32=""),0,SUMIF('DADOS BRUTOS'!$A$3:$A$500,$B32,'DADOS BRUTOS'!DN$3:DN$500)+IF($C32="",0,SUMIF('DADOS BRUTOS'!$A$3:$A$500,$C32,'DADOS BRUTOS'!DN$3:DN$500)))</f>
        <v/>
      </c>
      <c r="GO32" s="56">
        <f>IF(OR(GO$4="",$B32=""),0,SUMIF('DADOS BRUTOS'!$A$3:$A$500,$B32,'DADOS BRUTOS'!DO$3:DO$500)+IF($C32="",0,SUMIF('DADOS BRUTOS'!$A$3:$A$500,$C32,'DADOS BRUTOS'!DO$3:DO$500)))</f>
        <v/>
      </c>
      <c r="GP32" s="56">
        <f>IF(OR(GP$4="",$B32=""),0,SUMIF('DADOS BRUTOS'!$A$3:$A$500,$B32,'DADOS BRUTOS'!DP$3:DP$500)+IF($C32="",0,SUMIF('DADOS BRUTOS'!$A$3:$A$500,$C32,'DADOS BRUTOS'!DP$3:DP$500)))</f>
        <v/>
      </c>
      <c r="GQ32" s="56">
        <f>IF(OR(GQ$4="",$B32=""),0,SUMIF('DADOS BRUTOS'!$A$3:$A$500,$B32,'DADOS BRUTOS'!DQ$3:DQ$500)+IF($C32="",0,SUMIF('DADOS BRUTOS'!$A$3:$A$500,$C32,'DADOS BRUTOS'!DQ$3:DQ$500)))</f>
        <v/>
      </c>
      <c r="GR32" s="56">
        <f>IF(OR(GR$4="",$B32=""),0,SUMIF('DADOS BRUTOS'!$A$3:$A$500,$B32,'DADOS BRUTOS'!DR$3:DR$500)+IF($C32="",0,SUMIF('DADOS BRUTOS'!$A$3:$A$500,$C32,'DADOS BRUTOS'!DR$3:DR$500)))</f>
        <v/>
      </c>
      <c r="GS32" s="56">
        <f>IF(OR(GS$4="",$B32=""),0,SUMIF('DADOS BRUTOS'!$A$3:$A$500,$B32,'DADOS BRUTOS'!DS$3:DS$500)+IF($C32="",0,SUMIF('DADOS BRUTOS'!$A$3:$A$500,$C32,'DADOS BRUTOS'!DS$3:DS$500)))</f>
        <v/>
      </c>
      <c r="GT32" s="56">
        <f>IF(OR(GT$4="",$B32=""),0,SUMIF('DADOS BRUTOS'!$A$3:$A$500,$B32,'DADOS BRUTOS'!DT$3:DT$500)+IF($C32="",0,SUMIF('DADOS BRUTOS'!$A$3:$A$500,$C32,'DADOS BRUTOS'!DT$3:DT$500)))</f>
        <v/>
      </c>
      <c r="GU32" s="56">
        <f>IF(OR(GU$4="",$B32=""),0,SUMIF('DADOS BRUTOS'!$A$3:$A$500,$B32,'DADOS BRUTOS'!DU$3:DU$500)+IF($C32="",0,SUMIF('DADOS BRUTOS'!$A$3:$A$500,$C32,'DADOS BRUTOS'!DU$3:DU$500)))</f>
        <v/>
      </c>
      <c r="GV32" s="56">
        <f>IF(OR(GV$4="",$B32=""),0,SUMIF('DADOS BRUTOS'!$A$3:$A$500,$B32,'DADOS BRUTOS'!DV$3:DV$500)+IF($C32="",0,SUMIF('DADOS BRUTOS'!$A$3:$A$500,$C32,'DADOS BRUTOS'!DV$3:DV$500)))</f>
        <v/>
      </c>
      <c r="GW32" s="56">
        <f>IF(OR(GW$4="",$B32=""),0,SUMIF('DADOS BRUTOS'!$A$3:$A$500,$B32,'DADOS BRUTOS'!DW$3:DW$500)+IF($C32="",0,SUMIF('DADOS BRUTOS'!$A$3:$A$500,$C32,'DADOS BRUTOS'!DW$3:DW$500)))</f>
        <v/>
      </c>
      <c r="GX32" s="56">
        <f>IF(OR(GX$4="",$B32=""),0,SUMIF('DADOS BRUTOS'!$A$3:$A$500,$B32,'DADOS BRUTOS'!DX$3:DX$500)+IF($C32="",0,SUMIF('DADOS BRUTOS'!$A$3:$A$500,$C32,'DADOS BRUTOS'!DX$3:DX$500)))</f>
        <v/>
      </c>
      <c r="GY32" s="56">
        <f>IF(OR(GY$4="",$B32=""),0,SUMIF('DADOS BRUTOS'!$A$3:$A$500,$B32,'DADOS BRUTOS'!DY$3:DY$500)+IF($C32="",0,SUMIF('DADOS BRUTOS'!$A$3:$A$500,$C32,'DADOS BRUTOS'!DY$3:DY$500)))</f>
        <v/>
      </c>
      <c r="GZ32" s="56">
        <f>IF(OR(GZ$4="",$B32=""),0,SUMIF('DADOS BRUTOS'!$A$3:$A$500,$B32,'DADOS BRUTOS'!DZ$3:DZ$500)+IF($C32="",0,SUMIF('DADOS BRUTOS'!$A$3:$A$500,$C32,'DADOS BRUTOS'!DZ$3:DZ$500)))</f>
        <v/>
      </c>
      <c r="HA32" s="56">
        <f>IF(OR(HA$4="",$B32=""),0,SUMIF('DADOS BRUTOS'!$A$3:$A$500,$B32,'DADOS BRUTOS'!EA$3:EA$500)+IF($C32="",0,SUMIF('DADOS BRUTOS'!$A$3:$A$500,$C32,'DADOS BRUTOS'!EA$3:EA$500)))</f>
        <v/>
      </c>
      <c r="HB32" s="56">
        <f>IF(OR(HB$4="",$B32=""),0,SUMIF('DADOS BRUTOS'!$A$3:$A$500,$B32,'DADOS BRUTOS'!EB$3:EB$500)+IF($C32="",0,SUMIF('DADOS BRUTOS'!$A$3:$A$500,$C32,'DADOS BRUTOS'!EB$3:EB$500)))</f>
        <v/>
      </c>
      <c r="HC32" s="56">
        <f>IF(OR(HC$4="",$B32=""),0,SUMIF('DADOS BRUTOS'!$A$3:$A$500,$B32,'DADOS BRUTOS'!EC$3:EC$500)+IF($C32="",0,SUMIF('DADOS BRUTOS'!$A$3:$A$500,$C32,'DADOS BRUTOS'!EC$3:EC$500)))</f>
        <v/>
      </c>
      <c r="HD32" s="56">
        <f>IF(OR(HD$4="",$B32=""),0,SUMIF('DADOS BRUTOS'!$A$3:$A$500,$B32,'DADOS BRUTOS'!ED$3:ED$500)+IF($C32="",0,SUMIF('DADOS BRUTOS'!$A$3:$A$500,$C32,'DADOS BRUTOS'!ED$3:ED$500)))</f>
        <v/>
      </c>
      <c r="HE32" s="56">
        <f>IF(OR(HE$4="",$B32=""),0,SUMIF('DADOS BRUTOS'!$A$3:$A$500,$B32,'DADOS BRUTOS'!EE$3:EE$500)+IF($C32="",0,SUMIF('DADOS BRUTOS'!$A$3:$A$500,$C32,'DADOS BRUTOS'!EE$3:EE$500)))</f>
        <v/>
      </c>
      <c r="HF32" s="56">
        <f>IF(OR(HF$4="",$B32=""),0,SUMIF('DADOS BRUTOS'!$A$3:$A$500,$B32,'DADOS BRUTOS'!EF$3:EF$500)+IF($C32="",0,SUMIF('DADOS BRUTOS'!$A$3:$A$500,$C32,'DADOS BRUTOS'!EF$3:EF$500)))</f>
        <v/>
      </c>
      <c r="HG32" s="56">
        <f>IF(OR(HG$4="",$B32=""),0,SUMIF('DADOS BRUTOS'!$A$3:$A$500,$B32,'DADOS BRUTOS'!EG$3:EG$500)+IF($C32="",0,SUMIF('DADOS BRUTOS'!$A$3:$A$500,$C32,'DADOS BRUTOS'!EG$3:EG$500)))</f>
        <v/>
      </c>
      <c r="HH32" s="56">
        <f>IF(OR(HH$4="",$B32=""),0,SUMIF('DADOS BRUTOS'!$A$3:$A$500,$B32,'DADOS BRUTOS'!EH$3:EH$500)+IF($C32="",0,SUMIF('DADOS BRUTOS'!$A$3:$A$500,$C32,'DADOS BRUTOS'!EH$3:EH$500)))</f>
        <v/>
      </c>
      <c r="HI32" s="56">
        <f>IF(OR(HI$4="",$B32=""),0,SUMIF('DADOS BRUTOS'!$A$3:$A$500,$B32,'DADOS BRUTOS'!EI$3:EI$500)+IF($C32="",0,SUMIF('DADOS BRUTOS'!$A$3:$A$500,$C32,'DADOS BRUTOS'!EI$3:EI$500)))</f>
        <v/>
      </c>
      <c r="HJ32" s="56">
        <f>IF(OR(HJ$4="",$B32=""),0,SUMIF('DADOS BRUTOS'!$A$3:$A$500,$B32,'DADOS BRUTOS'!EJ$3:EJ$500)+IF($C32="",0,SUMIF('DADOS BRUTOS'!$A$3:$A$500,$C32,'DADOS BRUTOS'!EJ$3:EJ$500)))</f>
        <v/>
      </c>
      <c r="HK32" s="56">
        <f>IF(OR(HK$4="",$B32=""),0,SUMIF('DADOS BRUTOS'!$A$3:$A$500,$B32,'DADOS BRUTOS'!EK$3:EK$500)+IF($C32="",0,SUMIF('DADOS BRUTOS'!$A$3:$A$500,$C32,'DADOS BRUTOS'!EK$3:EK$500)))</f>
        <v/>
      </c>
      <c r="HL32" s="56">
        <f>IF(OR(HL$4="",$B32=""),0,SUMIF('DADOS BRUTOS'!$A$3:$A$500,$B32,'DADOS BRUTOS'!EL$3:EL$500)+IF($C32="",0,SUMIF('DADOS BRUTOS'!$A$3:$A$500,$C32,'DADOS BRUTOS'!EL$3:EL$500)))</f>
        <v/>
      </c>
      <c r="HM32" s="56">
        <f>IF(OR(HM$4="",$B32=""),0,SUMIF('DADOS BRUTOS'!$A$3:$A$500,$B32,'DADOS BRUTOS'!EM$3:EM$500)+IF($C32="",0,SUMIF('DADOS BRUTOS'!$A$3:$A$500,$C32,'DADOS BRUTOS'!EM$3:EM$500)))</f>
        <v/>
      </c>
      <c r="HN32" s="56">
        <f>IF(OR(HN$4="",$B32=""),0,SUMIF('DADOS BRUTOS'!$A$3:$A$500,$B32,'DADOS BRUTOS'!EN$3:EN$500)+IF($C32="",0,SUMIF('DADOS BRUTOS'!$A$3:$A$500,$C32,'DADOS BRUTOS'!EN$3:EN$500)))</f>
        <v/>
      </c>
      <c r="HO32" s="56">
        <f>IF(OR(HO$4="",$B32=""),0,SUMIF('DADOS BRUTOS'!$A$3:$A$500,$B32,'DADOS BRUTOS'!EO$3:EO$500)+IF($C32="",0,SUMIF('DADOS BRUTOS'!$A$3:$A$500,$C32,'DADOS BRUTOS'!EO$3:EO$500)))</f>
        <v/>
      </c>
      <c r="HP32" s="56">
        <f>IF(OR(HP$4="",$B32=""),0,SUMIF('DADOS BRUTOS'!$A$3:$A$500,$B32,'DADOS BRUTOS'!EP$3:EP$500)+IF($C32="",0,SUMIF('DADOS BRUTOS'!$A$3:$A$500,$C32,'DADOS BRUTOS'!EP$3:EP$500)))</f>
        <v/>
      </c>
      <c r="HQ32" s="56">
        <f>IF(OR(HQ$4="",$B32=""),0,SUMIF('DADOS BRUTOS'!$A$3:$A$500,$B32,'DADOS BRUTOS'!EQ$3:EQ$500)+IF($C32="",0,SUMIF('DADOS BRUTOS'!$A$3:$A$500,$C32,'DADOS BRUTOS'!EQ$3:EQ$500)))</f>
        <v/>
      </c>
      <c r="HR32" s="56">
        <f>IF(OR(HR$4="",$B32=""),0,SUMIF('DADOS BRUTOS'!$A$3:$A$500,$B32,'DADOS BRUTOS'!ER$3:ER$500)+IF($C32="",0,SUMIF('DADOS BRUTOS'!$A$3:$A$500,$C32,'DADOS BRUTOS'!ER$3:ER$500)))</f>
        <v/>
      </c>
      <c r="HS32" s="56">
        <f>IF(OR(HS$4="",$B32=""),0,SUMIF('DADOS BRUTOS'!$A$3:$A$500,$B32,'DADOS BRUTOS'!ES$3:ES$500)+IF($C32="",0,SUMIF('DADOS BRUTOS'!$A$3:$A$500,$C32,'DADOS BRUTOS'!ES$3:ES$500)))</f>
        <v/>
      </c>
      <c r="HT32" s="56">
        <f>IF(OR(HT$4="",$B32=""),0,SUMIF('DADOS BRUTOS'!$A$3:$A$500,$B32,'DADOS BRUTOS'!ET$3:ET$500)+IF($C32="",0,SUMIF('DADOS BRUTOS'!$A$3:$A$500,$C32,'DADOS BRUTOS'!ET$3:ET$500)))</f>
        <v/>
      </c>
      <c r="HU32" s="56">
        <f>IF(OR(HU$4="",$B32=""),0,SUMIF('DADOS BRUTOS'!$A$3:$A$500,$B32,'DADOS BRUTOS'!EU$3:EU$500)+IF($C32="",0,SUMIF('DADOS BRUTOS'!$A$3:$A$500,$C32,'DADOS BRUTOS'!EU$3:EU$500)))</f>
        <v/>
      </c>
      <c r="HV32" s="56">
        <f>IF(OR(HV$4="",$B32=""),0,SUMIF('DADOS BRUTOS'!$A$3:$A$500,$B32,'DADOS BRUTOS'!EV$3:EV$500)+IF($C32="",0,SUMIF('DADOS BRUTOS'!$A$3:$A$500,$C32,'DADOS BRUTOS'!EV$3:EV$500)))</f>
        <v/>
      </c>
      <c r="HW32" s="56">
        <f>IF(OR(HW$4="",$B32=""),0,SUMIF('DADOS BRUTOS'!$A$3:$A$500,$B32,'DADOS BRUTOS'!EW$3:EW$500)+IF($C32="",0,SUMIF('DADOS BRUTOS'!$A$3:$A$500,$C32,'DADOS BRUTOS'!EW$3:EW$500)))</f>
        <v/>
      </c>
      <c r="HX32" s="56">
        <f>IF(OR(HX$4="",$B32=""),0,SUMIF('DADOS BRUTOS'!$A$3:$A$500,$B32,'DADOS BRUTOS'!EX$3:EX$500)+IF($C32="",0,SUMIF('DADOS BRUTOS'!$A$3:$A$500,$C32,'DADOS BRUTOS'!EX$3:EX$500)))</f>
        <v/>
      </c>
      <c r="HY32" s="56">
        <f>IF(OR(HY$4="",$B32=""),0,SUMIF('DADOS BRUTOS'!$A$3:$A$500,$B32,'DADOS BRUTOS'!EY$3:EY$500)+IF($C32="",0,SUMIF('DADOS BRUTOS'!$A$3:$A$500,$C32,'DADOS BRUTOS'!EY$3:EY$500)))</f>
        <v/>
      </c>
      <c r="HZ32" s="56">
        <f>IF(OR(HZ$4="",$B32=""),0,SUMIF('DADOS BRUTOS'!$A$3:$A$500,$B32,'DADOS BRUTOS'!EZ$3:EZ$500)+IF($C32="",0,SUMIF('DADOS BRUTOS'!$A$3:$A$500,$C32,'DADOS BRUTOS'!EZ$3:EZ$500)))</f>
        <v/>
      </c>
      <c r="IA32" s="56">
        <f>IF(OR(IA$4="",$B32=""),0,SUMIF('DADOS BRUTOS'!$A$3:$A$500,$B32,'DADOS BRUTOS'!FA$3:FA$500)+IF($C32="",0,SUMIF('DADOS BRUTOS'!$A$3:$A$500,$C32,'DADOS BRUTOS'!FA$3:FA$500)))</f>
        <v/>
      </c>
      <c r="IB32" s="56">
        <f>IF(OR(IB$4="",$B32=""),0,SUMIF('DADOS BRUTOS'!$A$3:$A$500,$B32,'DADOS BRUTOS'!FB$3:FB$500)+IF($C32="",0,SUMIF('DADOS BRUTOS'!$A$3:$A$500,$C32,'DADOS BRUTOS'!FB$3:FB$500)))</f>
        <v/>
      </c>
      <c r="IC32" s="56">
        <f>IF(OR(IC$4="",$B32=""),0,SUMIF('DADOS BRUTOS'!$A$3:$A$500,$B32,'DADOS BRUTOS'!FC$3:FC$500)+IF($C32="",0,SUMIF('DADOS BRUTOS'!$A$3:$A$500,$C32,'DADOS BRUTOS'!FC$3:FC$500)))</f>
        <v/>
      </c>
      <c r="ID32" s="56">
        <f>IF(OR(ID$4="",$B32=""),0,SUMIF('DADOS BRUTOS'!$A$3:$A$500,$B32,'DADOS BRUTOS'!FD$3:FD$500)+IF($C32="",0,SUMIF('DADOS BRUTOS'!$A$3:$A$500,$C32,'DADOS BRUTOS'!FD$3:FD$500)))</f>
        <v/>
      </c>
      <c r="IE32" s="56">
        <f>IF(OR(IE$4="",$B32=""),0,SUMIF('DADOS BRUTOS'!$A$3:$A$500,$B32,'DADOS BRUTOS'!FE$3:FE$500)+IF($C32="",0,SUMIF('DADOS BRUTOS'!$A$3:$A$500,$C32,'DADOS BRUTOS'!FE$3:FE$500)))</f>
        <v/>
      </c>
      <c r="IF32" s="56">
        <f>IF(OR(IF$4="",$B32=""),0,SUMIF('DADOS BRUTOS'!$A$3:$A$500,$B32,'DADOS BRUTOS'!FF$3:FF$500)+IF($C32="",0,SUMIF('DADOS BRUTOS'!$A$3:$A$500,$C32,'DADOS BRUTOS'!FF$3:FF$500)))</f>
        <v/>
      </c>
      <c r="IG32" s="56">
        <f>IF(OR(IG$4="",$B32=""),0,SUMIF('DADOS BRUTOS'!$A$3:$A$500,$B32,'DADOS BRUTOS'!FG$3:FG$500)+IF($C32="",0,SUMIF('DADOS BRUTOS'!$A$3:$A$500,$C32,'DADOS BRUTOS'!FG$3:FG$500)))</f>
        <v/>
      </c>
      <c r="IH32" s="56">
        <f>IF(OR(IH$4="",$B32=""),0,SUMIF('DADOS BRUTOS'!$A$3:$A$500,$B32,'DADOS BRUTOS'!FH$3:FH$500)+IF($C32="",0,SUMIF('DADOS BRUTOS'!$A$3:$A$500,$C32,'DADOS BRUTOS'!FH$3:FH$500)))</f>
        <v/>
      </c>
      <c r="II32" s="56">
        <f>IF(OR(II$4="",$B32=""),0,SUMIF('DADOS BRUTOS'!$A$3:$A$500,$B32,'DADOS BRUTOS'!FI$3:FI$500)+IF($C32="",0,SUMIF('DADOS BRUTOS'!$A$3:$A$500,$C32,'DADOS BRUTOS'!FI$3:FI$500)))</f>
        <v/>
      </c>
      <c r="IJ32" s="56">
        <f>IF(OR(IJ$4="",$B32=""),0,SUMIF('DADOS BRUTOS'!$A$3:$A$500,$B32,'DADOS BRUTOS'!FJ$3:FJ$500)+IF($C32="",0,SUMIF('DADOS BRUTOS'!$A$3:$A$500,$C32,'DADOS BRUTOS'!FJ$3:FJ$500)))</f>
        <v/>
      </c>
      <c r="IK32" s="56">
        <f>IF(OR(IK$4="",$B32=""),0,SUMIF('DADOS BRUTOS'!$A$3:$A$500,$B32,'DADOS BRUTOS'!FK$3:FK$500)+IF($C32="",0,SUMIF('DADOS BRUTOS'!$A$3:$A$500,$C32,'DADOS BRUTOS'!FK$3:FK$500)))</f>
        <v/>
      </c>
      <c r="IL32" s="56">
        <f>IF(OR(IL$4="",$B32=""),0,SUMIF('DADOS BRUTOS'!$A$3:$A$500,$B32,'DADOS BRUTOS'!FL$3:FL$500)+IF($C32="",0,SUMIF('DADOS BRUTOS'!$A$3:$A$500,$C32,'DADOS BRUTOS'!FL$3:FL$500)))</f>
        <v/>
      </c>
      <c r="IM32" s="56">
        <f>IF(OR(IM$4="",$B32=""),0,SUMIF('DADOS BRUTOS'!$A$3:$A$500,$B32,'DADOS BRUTOS'!FM$3:FM$500)+IF($C32="",0,SUMIF('DADOS BRUTOS'!$A$3:$A$500,$C32,'DADOS BRUTOS'!FM$3:FM$500)))</f>
        <v/>
      </c>
      <c r="IN32" s="56">
        <f>IF(OR(IN$4="",$B32=""),0,SUMIF('DADOS BRUTOS'!$A$3:$A$500,$B32,'DADOS BRUTOS'!FN$3:FN$500)+IF($C32="",0,SUMIF('DADOS BRUTOS'!$A$3:$A$500,$C32,'DADOS BRUTOS'!FN$3:FN$500)))</f>
        <v/>
      </c>
      <c r="IO32" s="56">
        <f>IF(OR(IO$4="",$B32=""),0,SUMIF('DADOS BRUTOS'!$A$3:$A$500,$B32,'DADOS BRUTOS'!FO$3:FO$500)+IF($C32="",0,SUMIF('DADOS BRUTOS'!$A$3:$A$500,$C32,'DADOS BRUTOS'!FO$3:FO$500)))</f>
        <v/>
      </c>
      <c r="IP32" s="56">
        <f>IF(OR(IP$4="",$B32=""),0,SUMIF('DADOS BRUTOS'!$A$3:$A$500,$B32,'DADOS BRUTOS'!FP$3:FP$500)+IF($C32="",0,SUMIF('DADOS BRUTOS'!$A$3:$A$500,$C32,'DADOS BRUTOS'!FP$3:FP$500)))</f>
        <v/>
      </c>
      <c r="IQ32" s="56">
        <f>IF(OR(IQ$4="",$B32=""),0,SUMIF('DADOS BRUTOS'!$A$3:$A$500,$B32,'DADOS BRUTOS'!FQ$3:FQ$500)+IF($C32="",0,SUMIF('DADOS BRUTOS'!$A$3:$A$500,$C32,'DADOS BRUTOS'!FQ$3:FQ$500)))</f>
        <v/>
      </c>
      <c r="IR32" s="56">
        <f>IF(OR(IR$4="",$B32=""),0,SUMIF('DADOS BRUTOS'!$A$3:$A$500,$B32,'DADOS BRUTOS'!FR$3:FR$500)+IF($C32="",0,SUMIF('DADOS BRUTOS'!$A$3:$A$500,$C32,'DADOS BRUTOS'!FR$3:FR$500)))</f>
        <v/>
      </c>
      <c r="IS32" s="56">
        <f>IF(OR(IS$4="",$B32=""),0,SUMIF('DADOS BRUTOS'!$A$3:$A$500,$B32,'DADOS BRUTOS'!FS$3:FS$500)+IF($C32="",0,SUMIF('DADOS BRUTOS'!$A$3:$A$500,$C32,'DADOS BRUTOS'!FS$3:FS$500)))</f>
        <v/>
      </c>
      <c r="IT32" s="56">
        <f>IF(OR(IT$4="",$B32=""),0,SUMIF('DADOS BRUTOS'!$A$3:$A$500,$B32,'DADOS BRUTOS'!FT$3:FT$500)+IF($C32="",0,SUMIF('DADOS BRUTOS'!$A$3:$A$500,$C32,'DADOS BRUTOS'!FT$3:FT$500)))</f>
        <v/>
      </c>
      <c r="IU32" s="56">
        <f>IF(OR(IU$4="",$B32=""),0,SUMIF('DADOS BRUTOS'!$A$3:$A$500,$B32,'DADOS BRUTOS'!FU$3:FU$500)+IF($C32="",0,SUMIF('DADOS BRUTOS'!$A$3:$A$500,$C32,'DADOS BRUTOS'!FU$3:FU$500)))</f>
        <v/>
      </c>
      <c r="IV32" s="56">
        <f>IF(OR(IV$4="",$B32=""),0,SUMIF('DADOS BRUTOS'!$A$3:$A$500,$B32,'DADOS BRUTOS'!FV$3:FV$500)+IF($C32="",0,SUMIF('DADOS BRUTOS'!$A$3:$A$500,$C32,'DADOS BRUTOS'!FV$3:FV$500)))</f>
        <v/>
      </c>
      <c r="IW32" s="56">
        <f>IF(OR(IW$4="",$B32=""),0,SUMIF('DADOS BRUTOS'!$A$3:$A$500,$B32,'DADOS BRUTOS'!FW$3:FW$500)+IF($C32="",0,SUMIF('DADOS BRUTOS'!$A$3:$A$500,$C32,'DADOS BRUTOS'!FW$3:FW$500)))</f>
        <v/>
      </c>
      <c r="IX32" s="56">
        <f>IF(OR(IX$4="",$B32=""),0,SUMIF('DADOS BRUTOS'!$A$3:$A$500,$B32,'DADOS BRUTOS'!FX$3:FX$500)+IF($C32="",0,SUMIF('DADOS BRUTOS'!$A$3:$A$500,$C32,'DADOS BRUTOS'!FX$3:FX$500)))</f>
        <v/>
      </c>
      <c r="IY32" s="56">
        <f>IF(OR(IY$4="",$B32=""),0,SUMIF('DADOS BRUTOS'!$A$3:$A$500,$B32,'DADOS BRUTOS'!FY$3:FY$500)+IF($C32="",0,SUMIF('DADOS BRUTOS'!$A$3:$A$500,$C32,'DADOS BRUTOS'!FY$3:FY$500)))</f>
        <v/>
      </c>
      <c r="IZ32" s="56">
        <f>IF(OR(IZ$4="",$B32=""),0,SUMIF('DADOS BRUTOS'!$A$3:$A$500,$B32,'DADOS BRUTOS'!FZ$3:FZ$500)+IF($C32="",0,SUMIF('DADOS BRUTOS'!$A$3:$A$500,$C32,'DADOS BRUTOS'!FZ$3:FZ$500)))</f>
        <v/>
      </c>
      <c r="JA32" s="56">
        <f>IF(OR(JA$4="",$B32=""),0,SUMIF('DADOS BRUTOS'!$A$3:$A$500,$B32,'DADOS BRUTOS'!GA$3:GA$500)+IF($C32="",0,SUMIF('DADOS BRUTOS'!$A$3:$A$500,$C32,'DADOS BRUTOS'!GA$3:GA$500)))</f>
        <v/>
      </c>
      <c r="JB32" s="56">
        <f>IF(OR(JB$4="",$B32=""),0,SUMIF('DADOS BRUTOS'!$A$3:$A$500,$B32,'DADOS BRUTOS'!GB$3:GB$500)+IF($C32="",0,SUMIF('DADOS BRUTOS'!$A$3:$A$500,$C32,'DADOS BRUTOS'!GB$3:GB$500)))</f>
        <v/>
      </c>
      <c r="JC32" s="56">
        <f>IF(OR(JC$4="",$B32=""),0,SUMIF('DADOS BRUTOS'!$A$3:$A$500,$B32,'DADOS BRUTOS'!GC$3:GC$500)+IF($C32="",0,SUMIF('DADOS BRUTOS'!$A$3:$A$500,$C32,'DADOS BRUTOS'!GC$3:GC$500)))</f>
        <v/>
      </c>
      <c r="JD32" s="56">
        <f>IF(OR(JD$4="",$B32=""),0,SUMIF('DADOS BRUTOS'!$A$3:$A$500,$B32,'DADOS BRUTOS'!GD$3:GD$500)+IF($C32="",0,SUMIF('DADOS BRUTOS'!$A$3:$A$500,$C32,'DADOS BRUTOS'!GD$3:GD$500)))</f>
        <v/>
      </c>
      <c r="JE32" s="56">
        <f>IF(OR(JE$4="",$B32=""),0,SUMIF('DADOS BRUTOS'!$A$3:$A$500,$B32,'DADOS BRUTOS'!GE$3:GE$500)+IF($C32="",0,SUMIF('DADOS BRUTOS'!$A$3:$A$500,$C32,'DADOS BRUTOS'!GE$3:GE$500)))</f>
        <v/>
      </c>
      <c r="JF32" s="56">
        <f>IF(OR(JF$4="",$B32=""),0,SUMIF('DADOS BRUTOS'!$A$3:$A$500,$B32,'DADOS BRUTOS'!GF$3:GF$500)+IF($C32="",0,SUMIF('DADOS BRUTOS'!$A$3:$A$500,$C32,'DADOS BRUTOS'!GF$3:GF$500)))</f>
        <v/>
      </c>
      <c r="JG32" s="56">
        <f>IF(OR(JG$4="",$B32=""),0,SUMIF('DADOS BRUTOS'!$A$3:$A$500,$B32,'DADOS BRUTOS'!GG$3:GG$500)+IF($C32="",0,SUMIF('DADOS BRUTOS'!$A$3:$A$500,$C32,'DADOS BRUTOS'!GG$3:GG$500)))</f>
        <v/>
      </c>
      <c r="JH32" s="56">
        <f>IF(OR(JH$4="",$B32=""),0,SUMIF('DADOS BRUTOS'!$A$3:$A$500,$B32,'DADOS BRUTOS'!GH$3:GH$500)+IF($C32="",0,SUMIF('DADOS BRUTOS'!$A$3:$A$500,$C32,'DADOS BRUTOS'!GH$3:GH$500)))</f>
        <v/>
      </c>
      <c r="JI32" s="56">
        <f>IF(OR(JI$4="",$B32=""),0,SUMIF('DADOS BRUTOS'!$A$3:$A$500,$B32,'DADOS BRUTOS'!GI$3:GI$500)+IF($C32="",0,SUMIF('DADOS BRUTOS'!$A$3:$A$500,$C32,'DADOS BRUTOS'!GI$3:GI$500)))</f>
        <v/>
      </c>
      <c r="JJ32" s="56">
        <f>IF(OR(JJ$4="",$B32=""),0,SUMIF('DADOS BRUTOS'!$A$3:$A$500,$B32,'DADOS BRUTOS'!GJ$3:GJ$500)+IF($C32="",0,SUMIF('DADOS BRUTOS'!$A$3:$A$500,$C32,'DADOS BRUTOS'!GJ$3:GJ$500)))</f>
        <v/>
      </c>
      <c r="JK32" s="56">
        <f>IF(OR(JK$4="",$B32=""),0,SUMIF('DADOS BRUTOS'!$A$3:$A$500,$B32,'DADOS BRUTOS'!GK$3:GK$500)+IF($C32="",0,SUMIF('DADOS BRUTOS'!$A$3:$A$500,$C32,'DADOS BRUTOS'!GK$3:GK$500)))</f>
        <v/>
      </c>
      <c r="JL32" s="56">
        <f>IF(OR(JL$4="",$B32=""),0,SUMIF('DADOS BRUTOS'!$A$3:$A$500,$B32,'DADOS BRUTOS'!GL$3:GL$500)+IF($C32="",0,SUMIF('DADOS BRUTOS'!$A$3:$A$500,$C32,'DADOS BRUTOS'!GL$3:GL$500)))</f>
        <v/>
      </c>
      <c r="JM32" s="56">
        <f>IF(OR(JM$4="",$B32=""),0,SUMIF('DADOS BRUTOS'!$A$3:$A$500,$B32,'DADOS BRUTOS'!GM$3:GM$500)+IF($C32="",0,SUMIF('DADOS BRUTOS'!$A$3:$A$500,$C32,'DADOS BRUTOS'!GM$3:GM$500)))</f>
        <v/>
      </c>
      <c r="JN32" s="56">
        <f>IF(OR(JN$4="",$B32=""),0,SUMIF('DADOS BRUTOS'!$A$3:$A$500,$B32,'DADOS BRUTOS'!GN$3:GN$500)+IF($C32="",0,SUMIF('DADOS BRUTOS'!$A$3:$A$500,$C32,'DADOS BRUTOS'!GN$3:GN$500)))</f>
        <v/>
      </c>
      <c r="JO32" s="56">
        <f>IF(OR(JO$4="",$B32=""),0,SUMIF('DADOS BRUTOS'!$A$3:$A$500,$B32,'DADOS BRUTOS'!GO$3:GO$500)+IF($C32="",0,SUMIF('DADOS BRUTOS'!$A$3:$A$500,$C32,'DADOS BRUTOS'!GO$3:GO$500)))</f>
        <v/>
      </c>
      <c r="JP32" s="56">
        <f>IF(OR(JP$4="",$B32=""),0,SUMIF('DADOS BRUTOS'!$A$3:$A$500,$B32,'DADOS BRUTOS'!GP$3:GP$500)+IF($C32="",0,SUMIF('DADOS BRUTOS'!$A$3:$A$500,$C32,'DADOS BRUTOS'!GP$3:GP$500)))</f>
        <v/>
      </c>
      <c r="JQ32" s="56">
        <f>IF(OR(JQ$4="",$B32=""),0,SUMIF('DADOS BRUTOS'!$A$3:$A$500,$B32,'DADOS BRUTOS'!GQ$3:GQ$500)+IF($C32="",0,SUMIF('DADOS BRUTOS'!$A$3:$A$500,$C32,'DADOS BRUTOS'!GQ$3:GQ$500)))</f>
        <v/>
      </c>
      <c r="JR32" s="56">
        <f>IF(OR(JR$4="",$B32=""),0,SUMIF('DADOS BRUTOS'!$A$3:$A$500,$B32,'DADOS BRUTOS'!GR$3:GR$500)+IF($C32="",0,SUMIF('DADOS BRUTOS'!$A$3:$A$500,$C32,'DADOS BRUTOS'!GR$3:GR$500)))</f>
        <v/>
      </c>
      <c r="JS32" s="56">
        <f>IF(OR(JS$4="",$B32=""),0,SUMIF('DADOS BRUTOS'!$A$3:$A$500,$B32,'DADOS BRUTOS'!GS$3:GS$500)+IF($C32="",0,SUMIF('DADOS BRUTOS'!$A$3:$A$500,$C32,'DADOS BRUTOS'!GS$3:GS$500)))</f>
        <v/>
      </c>
    </row>
    <row r="33">
      <c r="A33" s="34">
        <f>'VALOR POR PL'!D39</f>
        <v/>
      </c>
      <c r="B33" s="21" t="inlineStr">
        <is>
          <t>REVESTIMENTOS DE MASSAS EM PAREDES</t>
        </is>
      </c>
      <c r="C33" s="21" t="n"/>
      <c r="D33" s="17">
        <f>SUMIF($CB$4:$JS$4,"&lt;="&amp;D$4,$CB33:$JS33)</f>
        <v/>
      </c>
      <c r="E33" s="17">
        <f>SUMIF($CB$4:$JS$4,E$4,$CB33:$JS33)</f>
        <v/>
      </c>
      <c r="F33" s="17">
        <f>SUMIF($CB$4:$JS$4,F$4,$CB33:$JS33)</f>
        <v/>
      </c>
      <c r="G33" s="17">
        <f>SUMIF($CB$4:$JS$4,G$4,$CB33:$JS33)</f>
        <v/>
      </c>
      <c r="H33" s="17">
        <f>SUMIF($CB$4:$JS$4,H$4,$CB33:$JS33)</f>
        <v/>
      </c>
      <c r="I33" s="17">
        <f>SUMIF($CB$4:$JS$4,I$4,$CB33:$JS33)</f>
        <v/>
      </c>
      <c r="J33" s="17">
        <f>SUMIF($CB$4:$JS$4,J$4,$CB33:$JS33)</f>
        <v/>
      </c>
      <c r="K33" s="17">
        <f>SUMIF($CB$4:$JS$4,K$4,$CB33:$JS33)</f>
        <v/>
      </c>
      <c r="L33" s="17">
        <f>SUMIF($CB$4:$JS$4,L$4,$CB33:$JS33)</f>
        <v/>
      </c>
      <c r="M33" s="17">
        <f>SUMIF($CB$4:$JS$4,M$4,$CB33:$JS33)</f>
        <v/>
      </c>
      <c r="N33" s="17">
        <f>SUMIF($CB$4:$JS$4,N$4,$CB33:$JS33)</f>
        <v/>
      </c>
      <c r="O33" s="17">
        <f>SUMIF($CB$4:$JS$4,O$4,$CB33:$JS33)</f>
        <v/>
      </c>
      <c r="P33" s="17">
        <f>SUMIF($CB$4:$JS$4,P$4,$CB33:$JS33)</f>
        <v/>
      </c>
      <c r="Q33" s="17">
        <f>SUMIF($CB$4:$JS$4,Q$4,$CB33:$JS33)</f>
        <v/>
      </c>
      <c r="R33" s="17">
        <f>SUMIF($CB$4:$JS$4,R$4,$CB33:$JS33)</f>
        <v/>
      </c>
      <c r="S33" s="17">
        <f>SUMIF($CB$4:$JS$4,S$4,$CB33:$JS33)</f>
        <v/>
      </c>
      <c r="T33" s="17">
        <f>SUMIF($CB$4:$JS$4,T$4,$CB33:$JS33)</f>
        <v/>
      </c>
      <c r="U33" s="17">
        <f>SUMIF($CB$4:$JS$4,U$4,$CB33:$JS33)</f>
        <v/>
      </c>
      <c r="V33" s="17">
        <f>SUMIF($CB$4:$JS$4,V$4,$CB33:$JS33)</f>
        <v/>
      </c>
      <c r="W33" s="17">
        <f>SUMIF($CB$4:$JS$4,W$4,$CB33:$JS33)</f>
        <v/>
      </c>
      <c r="X33" s="17">
        <f>SUMIF($CB$4:$JS$4,X$4,$CB33:$JS33)</f>
        <v/>
      </c>
      <c r="Y33" s="17">
        <f>SUMIF($CB$4:$JS$4,Y$4,$CB33:$JS33)</f>
        <v/>
      </c>
      <c r="Z33" s="17">
        <f>SUMIF($CB$4:$JS$4,Z$4,$CB33:$JS33)</f>
        <v/>
      </c>
      <c r="AA33" s="17">
        <f>SUMIF($CB$4:$JS$4,AA$4,$CB33:$JS33)</f>
        <v/>
      </c>
      <c r="AB33" s="17">
        <f>SUMIF($CB$4:$JS$4,AB$4,$CB33:$JS33)</f>
        <v/>
      </c>
      <c r="AC33" s="17">
        <f>SUMIF($CB$4:$JS$4,AC$4,$CB33:$JS33)</f>
        <v/>
      </c>
      <c r="AD33" s="17">
        <f>SUMIF($CB$4:$JS$4,AD$4,$CB33:$JS33)</f>
        <v/>
      </c>
      <c r="AE33" s="17">
        <f>SUMIF($CB$4:$JS$4,AE$4,$CB33:$JS33)</f>
        <v/>
      </c>
      <c r="AF33" s="17">
        <f>SUMIF($CB$4:$JS$4,AF$4,$CB33:$JS33)</f>
        <v/>
      </c>
      <c r="AG33" s="17">
        <f>SUMIF($CB$4:$JS$4,AG$4,$CB33:$JS33)</f>
        <v/>
      </c>
      <c r="AH33" s="17">
        <f>SUMIF($CB$4:$JS$4,AH$4,$CB33:$JS33)</f>
        <v/>
      </c>
      <c r="AI33" s="17">
        <f>SUMIF($CB$4:$JS$4,AI$4,$CB33:$JS33)</f>
        <v/>
      </c>
      <c r="AJ33" s="17">
        <f>SUMIF($CB$4:$JS$4,AJ$4,$CB33:$JS33)</f>
        <v/>
      </c>
      <c r="AK33" s="17">
        <f>SUMIF($CB$4:$JS$4,AK$4,$CB33:$JS33)</f>
        <v/>
      </c>
      <c r="AL33" s="17">
        <f>SUMIF($CB$4:$JS$4,AL$4,$CB33:$JS33)</f>
        <v/>
      </c>
      <c r="AM33" s="17">
        <f>SUMIF($CB$4:$JS$4,AM$4,$CB33:$JS33)</f>
        <v/>
      </c>
      <c r="AN33" s="17">
        <f>SUMIF($CB$4:$JS$4,AN$4,$CB33:$JS33)</f>
        <v/>
      </c>
      <c r="AO33" s="17">
        <f>SUMIF($CB$4:$JS$4,AO$4,$CB33:$JS33)</f>
        <v/>
      </c>
      <c r="AP33" s="17">
        <f>SUMIF($CB$4:$JS$4,AP$4,$CB33:$JS33)</f>
        <v/>
      </c>
      <c r="AQ33" s="17">
        <f>SUMIF($CB$4:$JS$4,AQ$4,$CB33:$JS33)</f>
        <v/>
      </c>
      <c r="AR33" s="17">
        <f>SUMIF($CB$4:$JS$4,AR$4,$CB33:$JS33)</f>
        <v/>
      </c>
      <c r="AS33" s="17">
        <f>SUMIF($CB$4:$JS$4,AS$4,$CB33:$JS33)</f>
        <v/>
      </c>
      <c r="AT33" s="17">
        <f>SUMIF($CB$4:$JS$4,AT$4,$CB33:$JS33)</f>
        <v/>
      </c>
      <c r="AU33" s="17">
        <f>SUMIF($CB$4:$JS$4,AU$4,$CB33:$JS33)</f>
        <v/>
      </c>
      <c r="AV33" s="17">
        <f>SUMIF($CB$4:$JS$4,AV$4,$CB33:$JS33)</f>
        <v/>
      </c>
      <c r="AW33" s="17">
        <f>SUMIF($CB$4:$JS$4,AW$4,$CB33:$JS33)</f>
        <v/>
      </c>
      <c r="AX33" s="17">
        <f>SUMIF($CB$4:$JS$4,AX$4,$CB33:$JS33)</f>
        <v/>
      </c>
      <c r="AY33" s="17">
        <f>SUMIF($CB$4:$JS$4,AY$4,$CB33:$JS33)</f>
        <v/>
      </c>
      <c r="AZ33" s="17">
        <f>SUMIF($CB$4:$JS$4,AZ$4,$CB33:$JS33)</f>
        <v/>
      </c>
      <c r="BA33" s="17">
        <f>SUMIF($CB$4:$JS$4,BA$4,$CB33:$JS33)</f>
        <v/>
      </c>
      <c r="BB33" s="17">
        <f>SUMIF($CB$4:$JS$4,BB$4,$CB33:$JS33)</f>
        <v/>
      </c>
      <c r="BC33" s="17">
        <f>SUMIF($CB$4:$JS$4,BC$4,$CB33:$JS33)</f>
        <v/>
      </c>
      <c r="BD33" s="17">
        <f>SUMIF($CB$4:$JS$4,BD$4,$CB33:$JS33)</f>
        <v/>
      </c>
      <c r="BE33" s="17">
        <f>SUMIF($CB$4:$JS$4,BE$4,$CB33:$JS33)</f>
        <v/>
      </c>
      <c r="BF33" s="17">
        <f>SUMIF($CB$4:$JS$4,BF$4,$CB33:$JS33)</f>
        <v/>
      </c>
      <c r="BG33" s="17">
        <f>SUMIF($CB$4:$JS$4,BG$4,$CB33:$JS33)</f>
        <v/>
      </c>
      <c r="BH33" s="17">
        <f>SUMIF($CB$4:$JS$4,BH$4,$CB33:$JS33)</f>
        <v/>
      </c>
      <c r="BI33" s="17">
        <f>SUMIF($CB$4:$JS$4,BI$4,$CB33:$JS33)</f>
        <v/>
      </c>
      <c r="BJ33" s="17">
        <f>SUMIF($CB$4:$JS$4,BJ$4,$CB33:$JS33)</f>
        <v/>
      </c>
      <c r="BK33" s="17">
        <f>SUMIF($CB$4:$JS$4,BK$4,$CB33:$JS33)</f>
        <v/>
      </c>
      <c r="BL33" s="17">
        <f>SUMIF($CB$4:$JS$4,BL$4,$CB33:$JS33)</f>
        <v/>
      </c>
      <c r="BM33" s="17">
        <f>SUMIF($CB$4:$JS$4,BM$4,$CB33:$JS33)</f>
        <v/>
      </c>
      <c r="BN33" s="17">
        <f>SUMIF($CB$4:$JS$4,BN$4,$CB33:$JS33)</f>
        <v/>
      </c>
      <c r="BO33" s="17">
        <f>SUMIF($CB$4:$JS$4,BO$4,$CB33:$JS33)</f>
        <v/>
      </c>
      <c r="BP33" s="17">
        <f>SUMIF($CB$4:$JS$4,BP$4,$CB33:$JS33)</f>
        <v/>
      </c>
      <c r="BQ33" s="17">
        <f>SUMIF($CB$4:$JS$4,BQ$4,$CB33:$JS33)</f>
        <v/>
      </c>
      <c r="BR33" s="17">
        <f>SUMIF($CB$4:$JS$4,BR$4,$CB33:$JS33)</f>
        <v/>
      </c>
      <c r="BS33" s="17">
        <f>SUMIF($CB$4:$JS$4,BS$4,$CB33:$JS33)</f>
        <v/>
      </c>
      <c r="BT33" s="17">
        <f>SUMIF($CB$4:$JS$4,BT$4,$CB33:$JS33)</f>
        <v/>
      </c>
      <c r="BU33" s="17">
        <f>SUMIF($CB$4:$JS$4,BU$4,$CB33:$JS33)</f>
        <v/>
      </c>
      <c r="BV33" s="17">
        <f>SUMIF($CB$4:$JS$4,BV$4,$CB33:$JS33)</f>
        <v/>
      </c>
      <c r="BW33" s="17">
        <f>SUMIF($CB$4:$JS$4,BW$4,$CB33:$JS33)</f>
        <v/>
      </c>
      <c r="BX33" s="17">
        <f>SUMIF($CB$4:$JS$4,"&gt;"&amp;'VALOR POR PL'!$P$8,$CB33:$JS33)</f>
        <v/>
      </c>
      <c r="BY33" s="17">
        <f>SUM($CB33:$JS33)</f>
        <v/>
      </c>
      <c r="CB33" s="56">
        <f>IF(OR(CB$4="",$B33=""),0,SUMIF('DADOS BRUTOS'!$A$3:$A$500,$B33,'DADOS BRUTOS'!B$3:B$500)+IF($C33="",0,SUMIF('DADOS BRUTOS'!$A$3:$A$500,$C33,'DADOS BRUTOS'!B$3:B$500)))</f>
        <v/>
      </c>
      <c r="CC33" s="56">
        <f>IF(OR(CC$4="",$B33=""),0,SUMIF('DADOS BRUTOS'!$A$3:$A$500,$B33,'DADOS BRUTOS'!C$3:C$500)+IF($C33="",0,SUMIF('DADOS BRUTOS'!$A$3:$A$500,$C33,'DADOS BRUTOS'!C$3:C$500)))</f>
        <v/>
      </c>
      <c r="CD33" s="56">
        <f>IF(OR(CD$4="",$B33=""),0,SUMIF('DADOS BRUTOS'!$A$3:$A$500,$B33,'DADOS BRUTOS'!D$3:D$500)+IF($C33="",0,SUMIF('DADOS BRUTOS'!$A$3:$A$500,$C33,'DADOS BRUTOS'!D$3:D$500)))</f>
        <v/>
      </c>
      <c r="CE33" s="56">
        <f>IF(OR(CE$4="",$B33=""),0,SUMIF('DADOS BRUTOS'!$A$3:$A$500,$B33,'DADOS BRUTOS'!E$3:E$500)+IF($C33="",0,SUMIF('DADOS BRUTOS'!$A$3:$A$500,$C33,'DADOS BRUTOS'!E$3:E$500)))</f>
        <v/>
      </c>
      <c r="CF33" s="56">
        <f>IF(OR(CF$4="",$B33=""),0,SUMIF('DADOS BRUTOS'!$A$3:$A$500,$B33,'DADOS BRUTOS'!F$3:F$500)+IF($C33="",0,SUMIF('DADOS BRUTOS'!$A$3:$A$500,$C33,'DADOS BRUTOS'!F$3:F$500)))</f>
        <v/>
      </c>
      <c r="CG33" s="56">
        <f>IF(OR(CG$4="",$B33=""),0,SUMIF('DADOS BRUTOS'!$A$3:$A$500,$B33,'DADOS BRUTOS'!G$3:G$500)+IF($C33="",0,SUMIF('DADOS BRUTOS'!$A$3:$A$500,$C33,'DADOS BRUTOS'!G$3:G$500)))</f>
        <v/>
      </c>
      <c r="CH33" s="56">
        <f>IF(OR(CH$4="",$B33=""),0,SUMIF('DADOS BRUTOS'!$A$3:$A$500,$B33,'DADOS BRUTOS'!H$3:H$500)+IF($C33="",0,SUMIF('DADOS BRUTOS'!$A$3:$A$500,$C33,'DADOS BRUTOS'!H$3:H$500)))</f>
        <v/>
      </c>
      <c r="CI33" s="56">
        <f>IF(OR(CI$4="",$B33=""),0,SUMIF('DADOS BRUTOS'!$A$3:$A$500,$B33,'DADOS BRUTOS'!I$3:I$500)+IF($C33="",0,SUMIF('DADOS BRUTOS'!$A$3:$A$500,$C33,'DADOS BRUTOS'!I$3:I$500)))</f>
        <v/>
      </c>
      <c r="CJ33" s="56">
        <f>IF(OR(CJ$4="",$B33=""),0,SUMIF('DADOS BRUTOS'!$A$3:$A$500,$B33,'DADOS BRUTOS'!J$3:J$500)+IF($C33="",0,SUMIF('DADOS BRUTOS'!$A$3:$A$500,$C33,'DADOS BRUTOS'!J$3:J$500)))</f>
        <v/>
      </c>
      <c r="CK33" s="56">
        <f>IF(OR(CK$4="",$B33=""),0,SUMIF('DADOS BRUTOS'!$A$3:$A$500,$B33,'DADOS BRUTOS'!K$3:K$500)+IF($C33="",0,SUMIF('DADOS BRUTOS'!$A$3:$A$500,$C33,'DADOS BRUTOS'!K$3:K$500)))</f>
        <v/>
      </c>
      <c r="CL33" s="56">
        <f>IF(OR(CL$4="",$B33=""),0,SUMIF('DADOS BRUTOS'!$A$3:$A$500,$B33,'DADOS BRUTOS'!L$3:L$500)+IF($C33="",0,SUMIF('DADOS BRUTOS'!$A$3:$A$500,$C33,'DADOS BRUTOS'!L$3:L$500)))</f>
        <v/>
      </c>
      <c r="CM33" s="56">
        <f>IF(OR(CM$4="",$B33=""),0,SUMIF('DADOS BRUTOS'!$A$3:$A$500,$B33,'DADOS BRUTOS'!M$3:M$500)+IF($C33="",0,SUMIF('DADOS BRUTOS'!$A$3:$A$500,$C33,'DADOS BRUTOS'!M$3:M$500)))</f>
        <v/>
      </c>
      <c r="CN33" s="56">
        <f>IF(OR(CN$4="",$B33=""),0,SUMIF('DADOS BRUTOS'!$A$3:$A$500,$B33,'DADOS BRUTOS'!N$3:N$500)+IF($C33="",0,SUMIF('DADOS BRUTOS'!$A$3:$A$500,$C33,'DADOS BRUTOS'!N$3:N$500)))</f>
        <v/>
      </c>
      <c r="CO33" s="56">
        <f>IF(OR(CO$4="",$B33=""),0,SUMIF('DADOS BRUTOS'!$A$3:$A$500,$B33,'DADOS BRUTOS'!O$3:O$500)+IF($C33="",0,SUMIF('DADOS BRUTOS'!$A$3:$A$500,$C33,'DADOS BRUTOS'!O$3:O$500)))</f>
        <v/>
      </c>
      <c r="CP33" s="56">
        <f>IF(OR(CP$4="",$B33=""),0,SUMIF('DADOS BRUTOS'!$A$3:$A$500,$B33,'DADOS BRUTOS'!P$3:P$500)+IF($C33="",0,SUMIF('DADOS BRUTOS'!$A$3:$A$500,$C33,'DADOS BRUTOS'!P$3:P$500)))</f>
        <v/>
      </c>
      <c r="CQ33" s="56">
        <f>IF(OR(CQ$4="",$B33=""),0,SUMIF('DADOS BRUTOS'!$A$3:$A$500,$B33,'DADOS BRUTOS'!Q$3:Q$500)+IF($C33="",0,SUMIF('DADOS BRUTOS'!$A$3:$A$500,$C33,'DADOS BRUTOS'!Q$3:Q$500)))</f>
        <v/>
      </c>
      <c r="CR33" s="56">
        <f>IF(OR(CR$4="",$B33=""),0,SUMIF('DADOS BRUTOS'!$A$3:$A$500,$B33,'DADOS BRUTOS'!R$3:R$500)+IF($C33="",0,SUMIF('DADOS BRUTOS'!$A$3:$A$500,$C33,'DADOS BRUTOS'!R$3:R$500)))</f>
        <v/>
      </c>
      <c r="CS33" s="56">
        <f>IF(OR(CS$4="",$B33=""),0,SUMIF('DADOS BRUTOS'!$A$3:$A$500,$B33,'DADOS BRUTOS'!S$3:S$500)+IF($C33="",0,SUMIF('DADOS BRUTOS'!$A$3:$A$500,$C33,'DADOS BRUTOS'!S$3:S$500)))</f>
        <v/>
      </c>
      <c r="CT33" s="56">
        <f>IF(OR(CT$4="",$B33=""),0,SUMIF('DADOS BRUTOS'!$A$3:$A$500,$B33,'DADOS BRUTOS'!T$3:T$500)+IF($C33="",0,SUMIF('DADOS BRUTOS'!$A$3:$A$500,$C33,'DADOS BRUTOS'!T$3:T$500)))</f>
        <v/>
      </c>
      <c r="CU33" s="56">
        <f>IF(OR(CU$4="",$B33=""),0,SUMIF('DADOS BRUTOS'!$A$3:$A$500,$B33,'DADOS BRUTOS'!U$3:U$500)+IF($C33="",0,SUMIF('DADOS BRUTOS'!$A$3:$A$500,$C33,'DADOS BRUTOS'!U$3:U$500)))</f>
        <v/>
      </c>
      <c r="CV33" s="56">
        <f>IF(OR(CV$4="",$B33=""),0,SUMIF('DADOS BRUTOS'!$A$3:$A$500,$B33,'DADOS BRUTOS'!V$3:V$500)+IF($C33="",0,SUMIF('DADOS BRUTOS'!$A$3:$A$500,$C33,'DADOS BRUTOS'!V$3:V$500)))</f>
        <v/>
      </c>
      <c r="CW33" s="56">
        <f>IF(OR(CW$4="",$B33=""),0,SUMIF('DADOS BRUTOS'!$A$3:$A$500,$B33,'DADOS BRUTOS'!W$3:W$500)+IF($C33="",0,SUMIF('DADOS BRUTOS'!$A$3:$A$500,$C33,'DADOS BRUTOS'!W$3:W$500)))</f>
        <v/>
      </c>
      <c r="CX33" s="56">
        <f>IF(OR(CX$4="",$B33=""),0,SUMIF('DADOS BRUTOS'!$A$3:$A$500,$B33,'DADOS BRUTOS'!X$3:X$500)+IF($C33="",0,SUMIF('DADOS BRUTOS'!$A$3:$A$500,$C33,'DADOS BRUTOS'!X$3:X$500)))</f>
        <v/>
      </c>
      <c r="CY33" s="56">
        <f>IF(OR(CY$4="",$B33=""),0,SUMIF('DADOS BRUTOS'!$A$3:$A$500,$B33,'DADOS BRUTOS'!Y$3:Y$500)+IF($C33="",0,SUMIF('DADOS BRUTOS'!$A$3:$A$500,$C33,'DADOS BRUTOS'!Y$3:Y$500)))</f>
        <v/>
      </c>
      <c r="CZ33" s="56">
        <f>IF(OR(CZ$4="",$B33=""),0,SUMIF('DADOS BRUTOS'!$A$3:$A$500,$B33,'DADOS BRUTOS'!Z$3:Z$500)+IF($C33="",0,SUMIF('DADOS BRUTOS'!$A$3:$A$500,$C33,'DADOS BRUTOS'!Z$3:Z$500)))</f>
        <v/>
      </c>
      <c r="DA33" s="56">
        <f>IF(OR(DA$4="",$B33=""),0,SUMIF('DADOS BRUTOS'!$A$3:$A$500,$B33,'DADOS BRUTOS'!AA$3:AA$500)+IF($C33="",0,SUMIF('DADOS BRUTOS'!$A$3:$A$500,$C33,'DADOS BRUTOS'!AA$3:AA$500)))</f>
        <v/>
      </c>
      <c r="DB33" s="56">
        <f>IF(OR(DB$4="",$B33=""),0,SUMIF('DADOS BRUTOS'!$A$3:$A$500,$B33,'DADOS BRUTOS'!AB$3:AB$500)+IF($C33="",0,SUMIF('DADOS BRUTOS'!$A$3:$A$500,$C33,'DADOS BRUTOS'!AB$3:AB$500)))</f>
        <v/>
      </c>
      <c r="DC33" s="56">
        <f>IF(OR(DC$4="",$B33=""),0,SUMIF('DADOS BRUTOS'!$A$3:$A$500,$B33,'DADOS BRUTOS'!AC$3:AC$500)+IF($C33="",0,SUMIF('DADOS BRUTOS'!$A$3:$A$500,$C33,'DADOS BRUTOS'!AC$3:AC$500)))</f>
        <v/>
      </c>
      <c r="DD33" s="56">
        <f>IF(OR(DD$4="",$B33=""),0,SUMIF('DADOS BRUTOS'!$A$3:$A$500,$B33,'DADOS BRUTOS'!AD$3:AD$500)+IF($C33="",0,SUMIF('DADOS BRUTOS'!$A$3:$A$500,$C33,'DADOS BRUTOS'!AD$3:AD$500)))</f>
        <v/>
      </c>
      <c r="DE33" s="56">
        <f>IF(OR(DE$4="",$B33=""),0,SUMIF('DADOS BRUTOS'!$A$3:$A$500,$B33,'DADOS BRUTOS'!AE$3:AE$500)+IF($C33="",0,SUMIF('DADOS BRUTOS'!$A$3:$A$500,$C33,'DADOS BRUTOS'!AE$3:AE$500)))</f>
        <v/>
      </c>
      <c r="DF33" s="56">
        <f>IF(OR(DF$4="",$B33=""),0,SUMIF('DADOS BRUTOS'!$A$3:$A$500,$B33,'DADOS BRUTOS'!AF$3:AF$500)+IF($C33="",0,SUMIF('DADOS BRUTOS'!$A$3:$A$500,$C33,'DADOS BRUTOS'!AF$3:AF$500)))</f>
        <v/>
      </c>
      <c r="DG33" s="56">
        <f>IF(OR(DG$4="",$B33=""),0,SUMIF('DADOS BRUTOS'!$A$3:$A$500,$B33,'DADOS BRUTOS'!AG$3:AG$500)+IF($C33="",0,SUMIF('DADOS BRUTOS'!$A$3:$A$500,$C33,'DADOS BRUTOS'!AG$3:AG$500)))</f>
        <v/>
      </c>
      <c r="DH33" s="56">
        <f>IF(OR(DH$4="",$B33=""),0,SUMIF('DADOS BRUTOS'!$A$3:$A$500,$B33,'DADOS BRUTOS'!AH$3:AH$500)+IF($C33="",0,SUMIF('DADOS BRUTOS'!$A$3:$A$500,$C33,'DADOS BRUTOS'!AH$3:AH$500)))</f>
        <v/>
      </c>
      <c r="DI33" s="56">
        <f>IF(OR(DI$4="",$B33=""),0,SUMIF('DADOS BRUTOS'!$A$3:$A$500,$B33,'DADOS BRUTOS'!AI$3:AI$500)+IF($C33="",0,SUMIF('DADOS BRUTOS'!$A$3:$A$500,$C33,'DADOS BRUTOS'!AI$3:AI$500)))</f>
        <v/>
      </c>
      <c r="DJ33" s="56">
        <f>IF(OR(DJ$4="",$B33=""),0,SUMIF('DADOS BRUTOS'!$A$3:$A$500,$B33,'DADOS BRUTOS'!AJ$3:AJ$500)+IF($C33="",0,SUMIF('DADOS BRUTOS'!$A$3:$A$500,$C33,'DADOS BRUTOS'!AJ$3:AJ$500)))</f>
        <v/>
      </c>
      <c r="DK33" s="56">
        <f>IF(OR(DK$4="",$B33=""),0,SUMIF('DADOS BRUTOS'!$A$3:$A$500,$B33,'DADOS BRUTOS'!AK$3:AK$500)+IF($C33="",0,SUMIF('DADOS BRUTOS'!$A$3:$A$500,$C33,'DADOS BRUTOS'!AK$3:AK$500)))</f>
        <v/>
      </c>
      <c r="DL33" s="56">
        <f>IF(OR(DL$4="",$B33=""),0,SUMIF('DADOS BRUTOS'!$A$3:$A$500,$B33,'DADOS BRUTOS'!AL$3:AL$500)+IF($C33="",0,SUMIF('DADOS BRUTOS'!$A$3:$A$500,$C33,'DADOS BRUTOS'!AL$3:AL$500)))</f>
        <v/>
      </c>
      <c r="DM33" s="56">
        <f>IF(OR(DM$4="",$B33=""),0,SUMIF('DADOS BRUTOS'!$A$3:$A$500,$B33,'DADOS BRUTOS'!AM$3:AM$500)+IF($C33="",0,SUMIF('DADOS BRUTOS'!$A$3:$A$500,$C33,'DADOS BRUTOS'!AM$3:AM$500)))</f>
        <v/>
      </c>
      <c r="DN33" s="56">
        <f>IF(OR(DN$4="",$B33=""),0,SUMIF('DADOS BRUTOS'!$A$3:$A$500,$B33,'DADOS BRUTOS'!AN$3:AN$500)+IF($C33="",0,SUMIF('DADOS BRUTOS'!$A$3:$A$500,$C33,'DADOS BRUTOS'!AN$3:AN$500)))</f>
        <v/>
      </c>
      <c r="DO33" s="56">
        <f>IF(OR(DO$4="",$B33=""),0,SUMIF('DADOS BRUTOS'!$A$3:$A$500,$B33,'DADOS BRUTOS'!AO$3:AO$500)+IF($C33="",0,SUMIF('DADOS BRUTOS'!$A$3:$A$500,$C33,'DADOS BRUTOS'!AO$3:AO$500)))</f>
        <v/>
      </c>
      <c r="DP33" s="56">
        <f>IF(OR(DP$4="",$B33=""),0,SUMIF('DADOS BRUTOS'!$A$3:$A$500,$B33,'DADOS BRUTOS'!AP$3:AP$500)+IF($C33="",0,SUMIF('DADOS BRUTOS'!$A$3:$A$500,$C33,'DADOS BRUTOS'!AP$3:AP$500)))</f>
        <v/>
      </c>
      <c r="DQ33" s="56">
        <f>IF(OR(DQ$4="",$B33=""),0,SUMIF('DADOS BRUTOS'!$A$3:$A$500,$B33,'DADOS BRUTOS'!AQ$3:AQ$500)+IF($C33="",0,SUMIF('DADOS BRUTOS'!$A$3:$A$500,$C33,'DADOS BRUTOS'!AQ$3:AQ$500)))</f>
        <v/>
      </c>
      <c r="DR33" s="56">
        <f>IF(OR(DR$4="",$B33=""),0,SUMIF('DADOS BRUTOS'!$A$3:$A$500,$B33,'DADOS BRUTOS'!AR$3:AR$500)+IF($C33="",0,SUMIF('DADOS BRUTOS'!$A$3:$A$500,$C33,'DADOS BRUTOS'!AR$3:AR$500)))</f>
        <v/>
      </c>
      <c r="DS33" s="56">
        <f>IF(OR(DS$4="",$B33=""),0,SUMIF('DADOS BRUTOS'!$A$3:$A$500,$B33,'DADOS BRUTOS'!AS$3:AS$500)+IF($C33="",0,SUMIF('DADOS BRUTOS'!$A$3:$A$500,$C33,'DADOS BRUTOS'!AS$3:AS$500)))</f>
        <v/>
      </c>
      <c r="DT33" s="56">
        <f>IF(OR(DT$4="",$B33=""),0,SUMIF('DADOS BRUTOS'!$A$3:$A$500,$B33,'DADOS BRUTOS'!AT$3:AT$500)+IF($C33="",0,SUMIF('DADOS BRUTOS'!$A$3:$A$500,$C33,'DADOS BRUTOS'!AT$3:AT$500)))</f>
        <v/>
      </c>
      <c r="DU33" s="56">
        <f>IF(OR(DU$4="",$B33=""),0,SUMIF('DADOS BRUTOS'!$A$3:$A$500,$B33,'DADOS BRUTOS'!AU$3:AU$500)+IF($C33="",0,SUMIF('DADOS BRUTOS'!$A$3:$A$500,$C33,'DADOS BRUTOS'!AU$3:AU$500)))</f>
        <v/>
      </c>
      <c r="DV33" s="56">
        <f>IF(OR(DV$4="",$B33=""),0,SUMIF('DADOS BRUTOS'!$A$3:$A$500,$B33,'DADOS BRUTOS'!AV$3:AV$500)+IF($C33="",0,SUMIF('DADOS BRUTOS'!$A$3:$A$500,$C33,'DADOS BRUTOS'!AV$3:AV$500)))</f>
        <v/>
      </c>
      <c r="DW33" s="56">
        <f>IF(OR(DW$4="",$B33=""),0,SUMIF('DADOS BRUTOS'!$A$3:$A$500,$B33,'DADOS BRUTOS'!AW$3:AW$500)+IF($C33="",0,SUMIF('DADOS BRUTOS'!$A$3:$A$500,$C33,'DADOS BRUTOS'!AW$3:AW$500)))</f>
        <v/>
      </c>
      <c r="DX33" s="56">
        <f>IF(OR(DX$4="",$B33=""),0,SUMIF('DADOS BRUTOS'!$A$3:$A$500,$B33,'DADOS BRUTOS'!AX$3:AX$500)+IF($C33="",0,SUMIF('DADOS BRUTOS'!$A$3:$A$500,$C33,'DADOS BRUTOS'!AX$3:AX$500)))</f>
        <v/>
      </c>
      <c r="DY33" s="56">
        <f>IF(OR(DY$4="",$B33=""),0,SUMIF('DADOS BRUTOS'!$A$3:$A$500,$B33,'DADOS BRUTOS'!AY$3:AY$500)+IF($C33="",0,SUMIF('DADOS BRUTOS'!$A$3:$A$500,$C33,'DADOS BRUTOS'!AY$3:AY$500)))</f>
        <v/>
      </c>
      <c r="DZ33" s="56">
        <f>IF(OR(DZ$4="",$B33=""),0,SUMIF('DADOS BRUTOS'!$A$3:$A$500,$B33,'DADOS BRUTOS'!AZ$3:AZ$500)+IF($C33="",0,SUMIF('DADOS BRUTOS'!$A$3:$A$500,$C33,'DADOS BRUTOS'!AZ$3:AZ$500)))</f>
        <v/>
      </c>
      <c r="EA33" s="56">
        <f>IF(OR(EA$4="",$B33=""),0,SUMIF('DADOS BRUTOS'!$A$3:$A$500,$B33,'DADOS BRUTOS'!BA$3:BA$500)+IF($C33="",0,SUMIF('DADOS BRUTOS'!$A$3:$A$500,$C33,'DADOS BRUTOS'!BA$3:BA$500)))</f>
        <v/>
      </c>
      <c r="EB33" s="56">
        <f>IF(OR(EB$4="",$B33=""),0,SUMIF('DADOS BRUTOS'!$A$3:$A$500,$B33,'DADOS BRUTOS'!BB$3:BB$500)+IF($C33="",0,SUMIF('DADOS BRUTOS'!$A$3:$A$500,$C33,'DADOS BRUTOS'!BB$3:BB$500)))</f>
        <v/>
      </c>
      <c r="EC33" s="56">
        <f>IF(OR(EC$4="",$B33=""),0,SUMIF('DADOS BRUTOS'!$A$3:$A$500,$B33,'DADOS BRUTOS'!BC$3:BC$500)+IF($C33="",0,SUMIF('DADOS BRUTOS'!$A$3:$A$500,$C33,'DADOS BRUTOS'!BC$3:BC$500)))</f>
        <v/>
      </c>
      <c r="ED33" s="56">
        <f>IF(OR(ED$4="",$B33=""),0,SUMIF('DADOS BRUTOS'!$A$3:$A$500,$B33,'DADOS BRUTOS'!BD$3:BD$500)+IF($C33="",0,SUMIF('DADOS BRUTOS'!$A$3:$A$500,$C33,'DADOS BRUTOS'!BD$3:BD$500)))</f>
        <v/>
      </c>
      <c r="EE33" s="56">
        <f>IF(OR(EE$4="",$B33=""),0,SUMIF('DADOS BRUTOS'!$A$3:$A$500,$B33,'DADOS BRUTOS'!BE$3:BE$500)+IF($C33="",0,SUMIF('DADOS BRUTOS'!$A$3:$A$500,$C33,'DADOS BRUTOS'!BE$3:BE$500)))</f>
        <v/>
      </c>
      <c r="EF33" s="56">
        <f>IF(OR(EF$4="",$B33=""),0,SUMIF('DADOS BRUTOS'!$A$3:$A$500,$B33,'DADOS BRUTOS'!BF$3:BF$500)+IF($C33="",0,SUMIF('DADOS BRUTOS'!$A$3:$A$500,$C33,'DADOS BRUTOS'!BF$3:BF$500)))</f>
        <v/>
      </c>
      <c r="EG33" s="56">
        <f>IF(OR(EG$4="",$B33=""),0,SUMIF('DADOS BRUTOS'!$A$3:$A$500,$B33,'DADOS BRUTOS'!BG$3:BG$500)+IF($C33="",0,SUMIF('DADOS BRUTOS'!$A$3:$A$500,$C33,'DADOS BRUTOS'!BG$3:BG$500)))</f>
        <v/>
      </c>
      <c r="EH33" s="56">
        <f>IF(OR(EH$4="",$B33=""),0,SUMIF('DADOS BRUTOS'!$A$3:$A$500,$B33,'DADOS BRUTOS'!BH$3:BH$500)+IF($C33="",0,SUMIF('DADOS BRUTOS'!$A$3:$A$500,$C33,'DADOS BRUTOS'!BH$3:BH$500)))</f>
        <v/>
      </c>
      <c r="EI33" s="56">
        <f>IF(OR(EI$4="",$B33=""),0,SUMIF('DADOS BRUTOS'!$A$3:$A$500,$B33,'DADOS BRUTOS'!BI$3:BI$500)+IF($C33="",0,SUMIF('DADOS BRUTOS'!$A$3:$A$500,$C33,'DADOS BRUTOS'!BI$3:BI$500)))</f>
        <v/>
      </c>
      <c r="EJ33" s="56">
        <f>IF(OR(EJ$4="",$B33=""),0,SUMIF('DADOS BRUTOS'!$A$3:$A$500,$B33,'DADOS BRUTOS'!BJ$3:BJ$500)+IF($C33="",0,SUMIF('DADOS BRUTOS'!$A$3:$A$500,$C33,'DADOS BRUTOS'!BJ$3:BJ$500)))</f>
        <v/>
      </c>
      <c r="EK33" s="56">
        <f>IF(OR(EK$4="",$B33=""),0,SUMIF('DADOS BRUTOS'!$A$3:$A$500,$B33,'DADOS BRUTOS'!BK$3:BK$500)+IF($C33="",0,SUMIF('DADOS BRUTOS'!$A$3:$A$500,$C33,'DADOS BRUTOS'!BK$3:BK$500)))</f>
        <v/>
      </c>
      <c r="EL33" s="56">
        <f>IF(OR(EL$4="",$B33=""),0,SUMIF('DADOS BRUTOS'!$A$3:$A$500,$B33,'DADOS BRUTOS'!BL$3:BL$500)+IF($C33="",0,SUMIF('DADOS BRUTOS'!$A$3:$A$500,$C33,'DADOS BRUTOS'!BL$3:BL$500)))</f>
        <v/>
      </c>
      <c r="EM33" s="56">
        <f>IF(OR(EM$4="",$B33=""),0,SUMIF('DADOS BRUTOS'!$A$3:$A$500,$B33,'DADOS BRUTOS'!BM$3:BM$500)+IF($C33="",0,SUMIF('DADOS BRUTOS'!$A$3:$A$500,$C33,'DADOS BRUTOS'!BM$3:BM$500)))</f>
        <v/>
      </c>
      <c r="EN33" s="56">
        <f>IF(OR(EN$4="",$B33=""),0,SUMIF('DADOS BRUTOS'!$A$3:$A$500,$B33,'DADOS BRUTOS'!BN$3:BN$500)+IF($C33="",0,SUMIF('DADOS BRUTOS'!$A$3:$A$500,$C33,'DADOS BRUTOS'!BN$3:BN$500)))</f>
        <v/>
      </c>
      <c r="EO33" s="56">
        <f>IF(OR(EO$4="",$B33=""),0,SUMIF('DADOS BRUTOS'!$A$3:$A$500,$B33,'DADOS BRUTOS'!BO$3:BO$500)+IF($C33="",0,SUMIF('DADOS BRUTOS'!$A$3:$A$500,$C33,'DADOS BRUTOS'!BO$3:BO$500)))</f>
        <v/>
      </c>
      <c r="EP33" s="56">
        <f>IF(OR(EP$4="",$B33=""),0,SUMIF('DADOS BRUTOS'!$A$3:$A$500,$B33,'DADOS BRUTOS'!BP$3:BP$500)+IF($C33="",0,SUMIF('DADOS BRUTOS'!$A$3:$A$500,$C33,'DADOS BRUTOS'!BP$3:BP$500)))</f>
        <v/>
      </c>
      <c r="EQ33" s="56">
        <f>IF(OR(EQ$4="",$B33=""),0,SUMIF('DADOS BRUTOS'!$A$3:$A$500,$B33,'DADOS BRUTOS'!BQ$3:BQ$500)+IF($C33="",0,SUMIF('DADOS BRUTOS'!$A$3:$A$500,$C33,'DADOS BRUTOS'!BQ$3:BQ$500)))</f>
        <v/>
      </c>
      <c r="ER33" s="56">
        <f>IF(OR(ER$4="",$B33=""),0,SUMIF('DADOS BRUTOS'!$A$3:$A$500,$B33,'DADOS BRUTOS'!BR$3:BR$500)+IF($C33="",0,SUMIF('DADOS BRUTOS'!$A$3:$A$500,$C33,'DADOS BRUTOS'!BR$3:BR$500)))</f>
        <v/>
      </c>
      <c r="ES33" s="56">
        <f>IF(OR(ES$4="",$B33=""),0,SUMIF('DADOS BRUTOS'!$A$3:$A$500,$B33,'DADOS BRUTOS'!BS$3:BS$500)+IF($C33="",0,SUMIF('DADOS BRUTOS'!$A$3:$A$500,$C33,'DADOS BRUTOS'!BS$3:BS$500)))</f>
        <v/>
      </c>
      <c r="ET33" s="56">
        <f>IF(OR(ET$4="",$B33=""),0,SUMIF('DADOS BRUTOS'!$A$3:$A$500,$B33,'DADOS BRUTOS'!BT$3:BT$500)+IF($C33="",0,SUMIF('DADOS BRUTOS'!$A$3:$A$500,$C33,'DADOS BRUTOS'!BT$3:BT$500)))</f>
        <v/>
      </c>
      <c r="EU33" s="56">
        <f>IF(OR(EU$4="",$B33=""),0,SUMIF('DADOS BRUTOS'!$A$3:$A$500,$B33,'DADOS BRUTOS'!BU$3:BU$500)+IF($C33="",0,SUMIF('DADOS BRUTOS'!$A$3:$A$500,$C33,'DADOS BRUTOS'!BU$3:BU$500)))</f>
        <v/>
      </c>
      <c r="EV33" s="56">
        <f>IF(OR(EV$4="",$B33=""),0,SUMIF('DADOS BRUTOS'!$A$3:$A$500,$B33,'DADOS BRUTOS'!BV$3:BV$500)+IF($C33="",0,SUMIF('DADOS BRUTOS'!$A$3:$A$500,$C33,'DADOS BRUTOS'!BV$3:BV$500)))</f>
        <v/>
      </c>
      <c r="EW33" s="56">
        <f>IF(OR(EW$4="",$B33=""),0,SUMIF('DADOS BRUTOS'!$A$3:$A$500,$B33,'DADOS BRUTOS'!BW$3:BW$500)+IF($C33="",0,SUMIF('DADOS BRUTOS'!$A$3:$A$500,$C33,'DADOS BRUTOS'!BW$3:BW$500)))</f>
        <v/>
      </c>
      <c r="EX33" s="56">
        <f>IF(OR(EX$4="",$B33=""),0,SUMIF('DADOS BRUTOS'!$A$3:$A$500,$B33,'DADOS BRUTOS'!BX$3:BX$500)+IF($C33="",0,SUMIF('DADOS BRUTOS'!$A$3:$A$500,$C33,'DADOS BRUTOS'!BX$3:BX$500)))</f>
        <v/>
      </c>
      <c r="EY33" s="56">
        <f>IF(OR(EY$4="",$B33=""),0,SUMIF('DADOS BRUTOS'!$A$3:$A$500,$B33,'DADOS BRUTOS'!BY$3:BY$500)+IF($C33="",0,SUMIF('DADOS BRUTOS'!$A$3:$A$500,$C33,'DADOS BRUTOS'!BY$3:BY$500)))</f>
        <v/>
      </c>
      <c r="EZ33" s="56">
        <f>IF(OR(EZ$4="",$B33=""),0,SUMIF('DADOS BRUTOS'!$A$3:$A$500,$B33,'DADOS BRUTOS'!BZ$3:BZ$500)+IF($C33="",0,SUMIF('DADOS BRUTOS'!$A$3:$A$500,$C33,'DADOS BRUTOS'!BZ$3:BZ$500)))</f>
        <v/>
      </c>
      <c r="FA33" s="56">
        <f>IF(OR(FA$4="",$B33=""),0,SUMIF('DADOS BRUTOS'!$A$3:$A$500,$B33,'DADOS BRUTOS'!CA$3:CA$500)+IF($C33="",0,SUMIF('DADOS BRUTOS'!$A$3:$A$500,$C33,'DADOS BRUTOS'!CA$3:CA$500)))</f>
        <v/>
      </c>
      <c r="FB33" s="56">
        <f>IF(OR(FB$4="",$B33=""),0,SUMIF('DADOS BRUTOS'!$A$3:$A$500,$B33,'DADOS BRUTOS'!CB$3:CB$500)+IF($C33="",0,SUMIF('DADOS BRUTOS'!$A$3:$A$500,$C33,'DADOS BRUTOS'!CB$3:CB$500)))</f>
        <v/>
      </c>
      <c r="FC33" s="56">
        <f>IF(OR(FC$4="",$B33=""),0,SUMIF('DADOS BRUTOS'!$A$3:$A$500,$B33,'DADOS BRUTOS'!CC$3:CC$500)+IF($C33="",0,SUMIF('DADOS BRUTOS'!$A$3:$A$500,$C33,'DADOS BRUTOS'!CC$3:CC$500)))</f>
        <v/>
      </c>
      <c r="FD33" s="56">
        <f>IF(OR(FD$4="",$B33=""),0,SUMIF('DADOS BRUTOS'!$A$3:$A$500,$B33,'DADOS BRUTOS'!CD$3:CD$500)+IF($C33="",0,SUMIF('DADOS BRUTOS'!$A$3:$A$500,$C33,'DADOS BRUTOS'!CD$3:CD$500)))</f>
        <v/>
      </c>
      <c r="FE33" s="56">
        <f>IF(OR(FE$4="",$B33=""),0,SUMIF('DADOS BRUTOS'!$A$3:$A$500,$B33,'DADOS BRUTOS'!CE$3:CE$500)+IF($C33="",0,SUMIF('DADOS BRUTOS'!$A$3:$A$500,$C33,'DADOS BRUTOS'!CE$3:CE$500)))</f>
        <v/>
      </c>
      <c r="FF33" s="56">
        <f>IF(OR(FF$4="",$B33=""),0,SUMIF('DADOS BRUTOS'!$A$3:$A$500,$B33,'DADOS BRUTOS'!CF$3:CF$500)+IF($C33="",0,SUMIF('DADOS BRUTOS'!$A$3:$A$500,$C33,'DADOS BRUTOS'!CF$3:CF$500)))</f>
        <v/>
      </c>
      <c r="FG33" s="56">
        <f>IF(OR(FG$4="",$B33=""),0,SUMIF('DADOS BRUTOS'!$A$3:$A$500,$B33,'DADOS BRUTOS'!CG$3:CG$500)+IF($C33="",0,SUMIF('DADOS BRUTOS'!$A$3:$A$500,$C33,'DADOS BRUTOS'!CG$3:CG$500)))</f>
        <v/>
      </c>
      <c r="FH33" s="56">
        <f>IF(OR(FH$4="",$B33=""),0,SUMIF('DADOS BRUTOS'!$A$3:$A$500,$B33,'DADOS BRUTOS'!CH$3:CH$500)+IF($C33="",0,SUMIF('DADOS BRUTOS'!$A$3:$A$500,$C33,'DADOS BRUTOS'!CH$3:CH$500)))</f>
        <v/>
      </c>
      <c r="FI33" s="56">
        <f>IF(OR(FI$4="",$B33=""),0,SUMIF('DADOS BRUTOS'!$A$3:$A$500,$B33,'DADOS BRUTOS'!CI$3:CI$500)+IF($C33="",0,SUMIF('DADOS BRUTOS'!$A$3:$A$500,$C33,'DADOS BRUTOS'!CI$3:CI$500)))</f>
        <v/>
      </c>
      <c r="FJ33" s="56">
        <f>IF(OR(FJ$4="",$B33=""),0,SUMIF('DADOS BRUTOS'!$A$3:$A$500,$B33,'DADOS BRUTOS'!CJ$3:CJ$500)+IF($C33="",0,SUMIF('DADOS BRUTOS'!$A$3:$A$500,$C33,'DADOS BRUTOS'!CJ$3:CJ$500)))</f>
        <v/>
      </c>
      <c r="FK33" s="56">
        <f>IF(OR(FK$4="",$B33=""),0,SUMIF('DADOS BRUTOS'!$A$3:$A$500,$B33,'DADOS BRUTOS'!CK$3:CK$500)+IF($C33="",0,SUMIF('DADOS BRUTOS'!$A$3:$A$500,$C33,'DADOS BRUTOS'!CK$3:CK$500)))</f>
        <v/>
      </c>
      <c r="FL33" s="56">
        <f>IF(OR(FL$4="",$B33=""),0,SUMIF('DADOS BRUTOS'!$A$3:$A$500,$B33,'DADOS BRUTOS'!CL$3:CL$500)+IF($C33="",0,SUMIF('DADOS BRUTOS'!$A$3:$A$500,$C33,'DADOS BRUTOS'!CL$3:CL$500)))</f>
        <v/>
      </c>
      <c r="FM33" s="56">
        <f>IF(OR(FM$4="",$B33=""),0,SUMIF('DADOS BRUTOS'!$A$3:$A$500,$B33,'DADOS BRUTOS'!CM$3:CM$500)+IF($C33="",0,SUMIF('DADOS BRUTOS'!$A$3:$A$500,$C33,'DADOS BRUTOS'!CM$3:CM$500)))</f>
        <v/>
      </c>
      <c r="FN33" s="56">
        <f>IF(OR(FN$4="",$B33=""),0,SUMIF('DADOS BRUTOS'!$A$3:$A$500,$B33,'DADOS BRUTOS'!CN$3:CN$500)+IF($C33="",0,SUMIF('DADOS BRUTOS'!$A$3:$A$500,$C33,'DADOS BRUTOS'!CN$3:CN$500)))</f>
        <v/>
      </c>
      <c r="FO33" s="56">
        <f>IF(OR(FO$4="",$B33=""),0,SUMIF('DADOS BRUTOS'!$A$3:$A$500,$B33,'DADOS BRUTOS'!CO$3:CO$500)+IF($C33="",0,SUMIF('DADOS BRUTOS'!$A$3:$A$500,$C33,'DADOS BRUTOS'!CO$3:CO$500)))</f>
        <v/>
      </c>
      <c r="FP33" s="56">
        <f>IF(OR(FP$4="",$B33=""),0,SUMIF('DADOS BRUTOS'!$A$3:$A$500,$B33,'DADOS BRUTOS'!CP$3:CP$500)+IF($C33="",0,SUMIF('DADOS BRUTOS'!$A$3:$A$500,$C33,'DADOS BRUTOS'!CP$3:CP$500)))</f>
        <v/>
      </c>
      <c r="FQ33" s="56">
        <f>IF(OR(FQ$4="",$B33=""),0,SUMIF('DADOS BRUTOS'!$A$3:$A$500,$B33,'DADOS BRUTOS'!CQ$3:CQ$500)+IF($C33="",0,SUMIF('DADOS BRUTOS'!$A$3:$A$500,$C33,'DADOS BRUTOS'!CQ$3:CQ$500)))</f>
        <v/>
      </c>
      <c r="FR33" s="56">
        <f>IF(OR(FR$4="",$B33=""),0,SUMIF('DADOS BRUTOS'!$A$3:$A$500,$B33,'DADOS BRUTOS'!CR$3:CR$500)+IF($C33="",0,SUMIF('DADOS BRUTOS'!$A$3:$A$500,$C33,'DADOS BRUTOS'!CR$3:CR$500)))</f>
        <v/>
      </c>
      <c r="FS33" s="56">
        <f>IF(OR(FS$4="",$B33=""),0,SUMIF('DADOS BRUTOS'!$A$3:$A$500,$B33,'DADOS BRUTOS'!CS$3:CS$500)+IF($C33="",0,SUMIF('DADOS BRUTOS'!$A$3:$A$500,$C33,'DADOS BRUTOS'!CS$3:CS$500)))</f>
        <v/>
      </c>
      <c r="FT33" s="56">
        <f>IF(OR(FT$4="",$B33=""),0,SUMIF('DADOS BRUTOS'!$A$3:$A$500,$B33,'DADOS BRUTOS'!CT$3:CT$500)+IF($C33="",0,SUMIF('DADOS BRUTOS'!$A$3:$A$500,$C33,'DADOS BRUTOS'!CT$3:CT$500)))</f>
        <v/>
      </c>
      <c r="FU33" s="56">
        <f>IF(OR(FU$4="",$B33=""),0,SUMIF('DADOS BRUTOS'!$A$3:$A$500,$B33,'DADOS BRUTOS'!CU$3:CU$500)+IF($C33="",0,SUMIF('DADOS BRUTOS'!$A$3:$A$500,$C33,'DADOS BRUTOS'!CU$3:CU$500)))</f>
        <v/>
      </c>
      <c r="FV33" s="56">
        <f>IF(OR(FV$4="",$B33=""),0,SUMIF('DADOS BRUTOS'!$A$3:$A$500,$B33,'DADOS BRUTOS'!CV$3:CV$500)+IF($C33="",0,SUMIF('DADOS BRUTOS'!$A$3:$A$500,$C33,'DADOS BRUTOS'!CV$3:CV$500)))</f>
        <v/>
      </c>
      <c r="FW33" s="56">
        <f>IF(OR(FW$4="",$B33=""),0,SUMIF('DADOS BRUTOS'!$A$3:$A$500,$B33,'DADOS BRUTOS'!CW$3:CW$500)+IF($C33="",0,SUMIF('DADOS BRUTOS'!$A$3:$A$500,$C33,'DADOS BRUTOS'!CW$3:CW$500)))</f>
        <v/>
      </c>
      <c r="FX33" s="56">
        <f>IF(OR(FX$4="",$B33=""),0,SUMIF('DADOS BRUTOS'!$A$3:$A$500,$B33,'DADOS BRUTOS'!CX$3:CX$500)+IF($C33="",0,SUMIF('DADOS BRUTOS'!$A$3:$A$500,$C33,'DADOS BRUTOS'!CX$3:CX$500)))</f>
        <v/>
      </c>
      <c r="FY33" s="56">
        <f>IF(OR(FY$4="",$B33=""),0,SUMIF('DADOS BRUTOS'!$A$3:$A$500,$B33,'DADOS BRUTOS'!CY$3:CY$500)+IF($C33="",0,SUMIF('DADOS BRUTOS'!$A$3:$A$500,$C33,'DADOS BRUTOS'!CY$3:CY$500)))</f>
        <v/>
      </c>
      <c r="FZ33" s="56">
        <f>IF(OR(FZ$4="",$B33=""),0,SUMIF('DADOS BRUTOS'!$A$3:$A$500,$B33,'DADOS BRUTOS'!CZ$3:CZ$500)+IF($C33="",0,SUMIF('DADOS BRUTOS'!$A$3:$A$500,$C33,'DADOS BRUTOS'!CZ$3:CZ$500)))</f>
        <v/>
      </c>
      <c r="GA33" s="56">
        <f>IF(OR(GA$4="",$B33=""),0,SUMIF('DADOS BRUTOS'!$A$3:$A$500,$B33,'DADOS BRUTOS'!DA$3:DA$500)+IF($C33="",0,SUMIF('DADOS BRUTOS'!$A$3:$A$500,$C33,'DADOS BRUTOS'!DA$3:DA$500)))</f>
        <v/>
      </c>
      <c r="GB33" s="56">
        <f>IF(OR(GB$4="",$B33=""),0,SUMIF('DADOS BRUTOS'!$A$3:$A$500,$B33,'DADOS BRUTOS'!DB$3:DB$500)+IF($C33="",0,SUMIF('DADOS BRUTOS'!$A$3:$A$500,$C33,'DADOS BRUTOS'!DB$3:DB$500)))</f>
        <v/>
      </c>
      <c r="GC33" s="56">
        <f>IF(OR(GC$4="",$B33=""),0,SUMIF('DADOS BRUTOS'!$A$3:$A$500,$B33,'DADOS BRUTOS'!DC$3:DC$500)+IF($C33="",0,SUMIF('DADOS BRUTOS'!$A$3:$A$500,$C33,'DADOS BRUTOS'!DC$3:DC$500)))</f>
        <v/>
      </c>
      <c r="GD33" s="56">
        <f>IF(OR(GD$4="",$B33=""),0,SUMIF('DADOS BRUTOS'!$A$3:$A$500,$B33,'DADOS BRUTOS'!DD$3:DD$500)+IF($C33="",0,SUMIF('DADOS BRUTOS'!$A$3:$A$500,$C33,'DADOS BRUTOS'!DD$3:DD$500)))</f>
        <v/>
      </c>
      <c r="GE33" s="56">
        <f>IF(OR(GE$4="",$B33=""),0,SUMIF('DADOS BRUTOS'!$A$3:$A$500,$B33,'DADOS BRUTOS'!DE$3:DE$500)+IF($C33="",0,SUMIF('DADOS BRUTOS'!$A$3:$A$500,$C33,'DADOS BRUTOS'!DE$3:DE$500)))</f>
        <v/>
      </c>
      <c r="GF33" s="56">
        <f>IF(OR(GF$4="",$B33=""),0,SUMIF('DADOS BRUTOS'!$A$3:$A$500,$B33,'DADOS BRUTOS'!DF$3:DF$500)+IF($C33="",0,SUMIF('DADOS BRUTOS'!$A$3:$A$500,$C33,'DADOS BRUTOS'!DF$3:DF$500)))</f>
        <v/>
      </c>
      <c r="GG33" s="56">
        <f>IF(OR(GG$4="",$B33=""),0,SUMIF('DADOS BRUTOS'!$A$3:$A$500,$B33,'DADOS BRUTOS'!DG$3:DG$500)+IF($C33="",0,SUMIF('DADOS BRUTOS'!$A$3:$A$500,$C33,'DADOS BRUTOS'!DG$3:DG$500)))</f>
        <v/>
      </c>
      <c r="GH33" s="56">
        <f>IF(OR(GH$4="",$B33=""),0,SUMIF('DADOS BRUTOS'!$A$3:$A$500,$B33,'DADOS BRUTOS'!DH$3:DH$500)+IF($C33="",0,SUMIF('DADOS BRUTOS'!$A$3:$A$500,$C33,'DADOS BRUTOS'!DH$3:DH$500)))</f>
        <v/>
      </c>
      <c r="GI33" s="56">
        <f>IF(OR(GI$4="",$B33=""),0,SUMIF('DADOS BRUTOS'!$A$3:$A$500,$B33,'DADOS BRUTOS'!DI$3:DI$500)+IF($C33="",0,SUMIF('DADOS BRUTOS'!$A$3:$A$500,$C33,'DADOS BRUTOS'!DI$3:DI$500)))</f>
        <v/>
      </c>
      <c r="GJ33" s="56">
        <f>IF(OR(GJ$4="",$B33=""),0,SUMIF('DADOS BRUTOS'!$A$3:$A$500,$B33,'DADOS BRUTOS'!DJ$3:DJ$500)+IF($C33="",0,SUMIF('DADOS BRUTOS'!$A$3:$A$500,$C33,'DADOS BRUTOS'!DJ$3:DJ$500)))</f>
        <v/>
      </c>
      <c r="GK33" s="56">
        <f>IF(OR(GK$4="",$B33=""),0,SUMIF('DADOS BRUTOS'!$A$3:$A$500,$B33,'DADOS BRUTOS'!DK$3:DK$500)+IF($C33="",0,SUMIF('DADOS BRUTOS'!$A$3:$A$500,$C33,'DADOS BRUTOS'!DK$3:DK$500)))</f>
        <v/>
      </c>
      <c r="GL33" s="56">
        <f>IF(OR(GL$4="",$B33=""),0,SUMIF('DADOS BRUTOS'!$A$3:$A$500,$B33,'DADOS BRUTOS'!DL$3:DL$500)+IF($C33="",0,SUMIF('DADOS BRUTOS'!$A$3:$A$500,$C33,'DADOS BRUTOS'!DL$3:DL$500)))</f>
        <v/>
      </c>
      <c r="GM33" s="56">
        <f>IF(OR(GM$4="",$B33=""),0,SUMIF('DADOS BRUTOS'!$A$3:$A$500,$B33,'DADOS BRUTOS'!DM$3:DM$500)+IF($C33="",0,SUMIF('DADOS BRUTOS'!$A$3:$A$500,$C33,'DADOS BRUTOS'!DM$3:DM$500)))</f>
        <v/>
      </c>
      <c r="GN33" s="56">
        <f>IF(OR(GN$4="",$B33=""),0,SUMIF('DADOS BRUTOS'!$A$3:$A$500,$B33,'DADOS BRUTOS'!DN$3:DN$500)+IF($C33="",0,SUMIF('DADOS BRUTOS'!$A$3:$A$500,$C33,'DADOS BRUTOS'!DN$3:DN$500)))</f>
        <v/>
      </c>
      <c r="GO33" s="56">
        <f>IF(OR(GO$4="",$B33=""),0,SUMIF('DADOS BRUTOS'!$A$3:$A$500,$B33,'DADOS BRUTOS'!DO$3:DO$500)+IF($C33="",0,SUMIF('DADOS BRUTOS'!$A$3:$A$500,$C33,'DADOS BRUTOS'!DO$3:DO$500)))</f>
        <v/>
      </c>
      <c r="GP33" s="56">
        <f>IF(OR(GP$4="",$B33=""),0,SUMIF('DADOS BRUTOS'!$A$3:$A$500,$B33,'DADOS BRUTOS'!DP$3:DP$500)+IF($C33="",0,SUMIF('DADOS BRUTOS'!$A$3:$A$500,$C33,'DADOS BRUTOS'!DP$3:DP$500)))</f>
        <v/>
      </c>
      <c r="GQ33" s="56">
        <f>IF(OR(GQ$4="",$B33=""),0,SUMIF('DADOS BRUTOS'!$A$3:$A$500,$B33,'DADOS BRUTOS'!DQ$3:DQ$500)+IF($C33="",0,SUMIF('DADOS BRUTOS'!$A$3:$A$500,$C33,'DADOS BRUTOS'!DQ$3:DQ$500)))</f>
        <v/>
      </c>
      <c r="GR33" s="56">
        <f>IF(OR(GR$4="",$B33=""),0,SUMIF('DADOS BRUTOS'!$A$3:$A$500,$B33,'DADOS BRUTOS'!DR$3:DR$500)+IF($C33="",0,SUMIF('DADOS BRUTOS'!$A$3:$A$500,$C33,'DADOS BRUTOS'!DR$3:DR$500)))</f>
        <v/>
      </c>
      <c r="GS33" s="56">
        <f>IF(OR(GS$4="",$B33=""),0,SUMIF('DADOS BRUTOS'!$A$3:$A$500,$B33,'DADOS BRUTOS'!DS$3:DS$500)+IF($C33="",0,SUMIF('DADOS BRUTOS'!$A$3:$A$500,$C33,'DADOS BRUTOS'!DS$3:DS$500)))</f>
        <v/>
      </c>
      <c r="GT33" s="56">
        <f>IF(OR(GT$4="",$B33=""),0,SUMIF('DADOS BRUTOS'!$A$3:$A$500,$B33,'DADOS BRUTOS'!DT$3:DT$500)+IF($C33="",0,SUMIF('DADOS BRUTOS'!$A$3:$A$500,$C33,'DADOS BRUTOS'!DT$3:DT$500)))</f>
        <v/>
      </c>
      <c r="GU33" s="56">
        <f>IF(OR(GU$4="",$B33=""),0,SUMIF('DADOS BRUTOS'!$A$3:$A$500,$B33,'DADOS BRUTOS'!DU$3:DU$500)+IF($C33="",0,SUMIF('DADOS BRUTOS'!$A$3:$A$500,$C33,'DADOS BRUTOS'!DU$3:DU$500)))</f>
        <v/>
      </c>
      <c r="GV33" s="56">
        <f>IF(OR(GV$4="",$B33=""),0,SUMIF('DADOS BRUTOS'!$A$3:$A$500,$B33,'DADOS BRUTOS'!DV$3:DV$500)+IF($C33="",0,SUMIF('DADOS BRUTOS'!$A$3:$A$500,$C33,'DADOS BRUTOS'!DV$3:DV$500)))</f>
        <v/>
      </c>
      <c r="GW33" s="56">
        <f>IF(OR(GW$4="",$B33=""),0,SUMIF('DADOS BRUTOS'!$A$3:$A$500,$B33,'DADOS BRUTOS'!DW$3:DW$500)+IF($C33="",0,SUMIF('DADOS BRUTOS'!$A$3:$A$500,$C33,'DADOS BRUTOS'!DW$3:DW$500)))</f>
        <v/>
      </c>
      <c r="GX33" s="56">
        <f>IF(OR(GX$4="",$B33=""),0,SUMIF('DADOS BRUTOS'!$A$3:$A$500,$B33,'DADOS BRUTOS'!DX$3:DX$500)+IF($C33="",0,SUMIF('DADOS BRUTOS'!$A$3:$A$500,$C33,'DADOS BRUTOS'!DX$3:DX$500)))</f>
        <v/>
      </c>
      <c r="GY33" s="56">
        <f>IF(OR(GY$4="",$B33=""),0,SUMIF('DADOS BRUTOS'!$A$3:$A$500,$B33,'DADOS BRUTOS'!DY$3:DY$500)+IF($C33="",0,SUMIF('DADOS BRUTOS'!$A$3:$A$500,$C33,'DADOS BRUTOS'!DY$3:DY$500)))</f>
        <v/>
      </c>
      <c r="GZ33" s="56">
        <f>IF(OR(GZ$4="",$B33=""),0,SUMIF('DADOS BRUTOS'!$A$3:$A$500,$B33,'DADOS BRUTOS'!DZ$3:DZ$500)+IF($C33="",0,SUMIF('DADOS BRUTOS'!$A$3:$A$500,$C33,'DADOS BRUTOS'!DZ$3:DZ$500)))</f>
        <v/>
      </c>
      <c r="HA33" s="56">
        <f>IF(OR(HA$4="",$B33=""),0,SUMIF('DADOS BRUTOS'!$A$3:$A$500,$B33,'DADOS BRUTOS'!EA$3:EA$500)+IF($C33="",0,SUMIF('DADOS BRUTOS'!$A$3:$A$500,$C33,'DADOS BRUTOS'!EA$3:EA$500)))</f>
        <v/>
      </c>
      <c r="HB33" s="56">
        <f>IF(OR(HB$4="",$B33=""),0,SUMIF('DADOS BRUTOS'!$A$3:$A$500,$B33,'DADOS BRUTOS'!EB$3:EB$500)+IF($C33="",0,SUMIF('DADOS BRUTOS'!$A$3:$A$500,$C33,'DADOS BRUTOS'!EB$3:EB$500)))</f>
        <v/>
      </c>
      <c r="HC33" s="56">
        <f>IF(OR(HC$4="",$B33=""),0,SUMIF('DADOS BRUTOS'!$A$3:$A$500,$B33,'DADOS BRUTOS'!EC$3:EC$500)+IF($C33="",0,SUMIF('DADOS BRUTOS'!$A$3:$A$500,$C33,'DADOS BRUTOS'!EC$3:EC$500)))</f>
        <v/>
      </c>
      <c r="HD33" s="56">
        <f>IF(OR(HD$4="",$B33=""),0,SUMIF('DADOS BRUTOS'!$A$3:$A$500,$B33,'DADOS BRUTOS'!ED$3:ED$500)+IF($C33="",0,SUMIF('DADOS BRUTOS'!$A$3:$A$500,$C33,'DADOS BRUTOS'!ED$3:ED$500)))</f>
        <v/>
      </c>
      <c r="HE33" s="56">
        <f>IF(OR(HE$4="",$B33=""),0,SUMIF('DADOS BRUTOS'!$A$3:$A$500,$B33,'DADOS BRUTOS'!EE$3:EE$500)+IF($C33="",0,SUMIF('DADOS BRUTOS'!$A$3:$A$500,$C33,'DADOS BRUTOS'!EE$3:EE$500)))</f>
        <v/>
      </c>
      <c r="HF33" s="56">
        <f>IF(OR(HF$4="",$B33=""),0,SUMIF('DADOS BRUTOS'!$A$3:$A$500,$B33,'DADOS BRUTOS'!EF$3:EF$500)+IF($C33="",0,SUMIF('DADOS BRUTOS'!$A$3:$A$500,$C33,'DADOS BRUTOS'!EF$3:EF$500)))</f>
        <v/>
      </c>
      <c r="HG33" s="56">
        <f>IF(OR(HG$4="",$B33=""),0,SUMIF('DADOS BRUTOS'!$A$3:$A$500,$B33,'DADOS BRUTOS'!EG$3:EG$500)+IF($C33="",0,SUMIF('DADOS BRUTOS'!$A$3:$A$500,$C33,'DADOS BRUTOS'!EG$3:EG$500)))</f>
        <v/>
      </c>
      <c r="HH33" s="56">
        <f>IF(OR(HH$4="",$B33=""),0,SUMIF('DADOS BRUTOS'!$A$3:$A$500,$B33,'DADOS BRUTOS'!EH$3:EH$500)+IF($C33="",0,SUMIF('DADOS BRUTOS'!$A$3:$A$500,$C33,'DADOS BRUTOS'!EH$3:EH$500)))</f>
        <v/>
      </c>
      <c r="HI33" s="56">
        <f>IF(OR(HI$4="",$B33=""),0,SUMIF('DADOS BRUTOS'!$A$3:$A$500,$B33,'DADOS BRUTOS'!EI$3:EI$500)+IF($C33="",0,SUMIF('DADOS BRUTOS'!$A$3:$A$500,$C33,'DADOS BRUTOS'!EI$3:EI$500)))</f>
        <v/>
      </c>
      <c r="HJ33" s="56">
        <f>IF(OR(HJ$4="",$B33=""),0,SUMIF('DADOS BRUTOS'!$A$3:$A$500,$B33,'DADOS BRUTOS'!EJ$3:EJ$500)+IF($C33="",0,SUMIF('DADOS BRUTOS'!$A$3:$A$500,$C33,'DADOS BRUTOS'!EJ$3:EJ$500)))</f>
        <v/>
      </c>
      <c r="HK33" s="56">
        <f>IF(OR(HK$4="",$B33=""),0,SUMIF('DADOS BRUTOS'!$A$3:$A$500,$B33,'DADOS BRUTOS'!EK$3:EK$500)+IF($C33="",0,SUMIF('DADOS BRUTOS'!$A$3:$A$500,$C33,'DADOS BRUTOS'!EK$3:EK$500)))</f>
        <v/>
      </c>
      <c r="HL33" s="56">
        <f>IF(OR(HL$4="",$B33=""),0,SUMIF('DADOS BRUTOS'!$A$3:$A$500,$B33,'DADOS BRUTOS'!EL$3:EL$500)+IF($C33="",0,SUMIF('DADOS BRUTOS'!$A$3:$A$500,$C33,'DADOS BRUTOS'!EL$3:EL$500)))</f>
        <v/>
      </c>
      <c r="HM33" s="56">
        <f>IF(OR(HM$4="",$B33=""),0,SUMIF('DADOS BRUTOS'!$A$3:$A$500,$B33,'DADOS BRUTOS'!EM$3:EM$500)+IF($C33="",0,SUMIF('DADOS BRUTOS'!$A$3:$A$500,$C33,'DADOS BRUTOS'!EM$3:EM$500)))</f>
        <v/>
      </c>
      <c r="HN33" s="56">
        <f>IF(OR(HN$4="",$B33=""),0,SUMIF('DADOS BRUTOS'!$A$3:$A$500,$B33,'DADOS BRUTOS'!EN$3:EN$500)+IF($C33="",0,SUMIF('DADOS BRUTOS'!$A$3:$A$500,$C33,'DADOS BRUTOS'!EN$3:EN$500)))</f>
        <v/>
      </c>
      <c r="HO33" s="56">
        <f>IF(OR(HO$4="",$B33=""),0,SUMIF('DADOS BRUTOS'!$A$3:$A$500,$B33,'DADOS BRUTOS'!EO$3:EO$500)+IF($C33="",0,SUMIF('DADOS BRUTOS'!$A$3:$A$500,$C33,'DADOS BRUTOS'!EO$3:EO$500)))</f>
        <v/>
      </c>
      <c r="HP33" s="56">
        <f>IF(OR(HP$4="",$B33=""),0,SUMIF('DADOS BRUTOS'!$A$3:$A$500,$B33,'DADOS BRUTOS'!EP$3:EP$500)+IF($C33="",0,SUMIF('DADOS BRUTOS'!$A$3:$A$500,$C33,'DADOS BRUTOS'!EP$3:EP$500)))</f>
        <v/>
      </c>
      <c r="HQ33" s="56">
        <f>IF(OR(HQ$4="",$B33=""),0,SUMIF('DADOS BRUTOS'!$A$3:$A$500,$B33,'DADOS BRUTOS'!EQ$3:EQ$500)+IF($C33="",0,SUMIF('DADOS BRUTOS'!$A$3:$A$500,$C33,'DADOS BRUTOS'!EQ$3:EQ$500)))</f>
        <v/>
      </c>
      <c r="HR33" s="56">
        <f>IF(OR(HR$4="",$B33=""),0,SUMIF('DADOS BRUTOS'!$A$3:$A$500,$B33,'DADOS BRUTOS'!ER$3:ER$500)+IF($C33="",0,SUMIF('DADOS BRUTOS'!$A$3:$A$500,$C33,'DADOS BRUTOS'!ER$3:ER$500)))</f>
        <v/>
      </c>
      <c r="HS33" s="56">
        <f>IF(OR(HS$4="",$B33=""),0,SUMIF('DADOS BRUTOS'!$A$3:$A$500,$B33,'DADOS BRUTOS'!ES$3:ES$500)+IF($C33="",0,SUMIF('DADOS BRUTOS'!$A$3:$A$500,$C33,'DADOS BRUTOS'!ES$3:ES$500)))</f>
        <v/>
      </c>
      <c r="HT33" s="56">
        <f>IF(OR(HT$4="",$B33=""),0,SUMIF('DADOS BRUTOS'!$A$3:$A$500,$B33,'DADOS BRUTOS'!ET$3:ET$500)+IF($C33="",0,SUMIF('DADOS BRUTOS'!$A$3:$A$500,$C33,'DADOS BRUTOS'!ET$3:ET$500)))</f>
        <v/>
      </c>
      <c r="HU33" s="56">
        <f>IF(OR(HU$4="",$B33=""),0,SUMIF('DADOS BRUTOS'!$A$3:$A$500,$B33,'DADOS BRUTOS'!EU$3:EU$500)+IF($C33="",0,SUMIF('DADOS BRUTOS'!$A$3:$A$500,$C33,'DADOS BRUTOS'!EU$3:EU$500)))</f>
        <v/>
      </c>
      <c r="HV33" s="56">
        <f>IF(OR(HV$4="",$B33=""),0,SUMIF('DADOS BRUTOS'!$A$3:$A$500,$B33,'DADOS BRUTOS'!EV$3:EV$500)+IF($C33="",0,SUMIF('DADOS BRUTOS'!$A$3:$A$500,$C33,'DADOS BRUTOS'!EV$3:EV$500)))</f>
        <v/>
      </c>
      <c r="HW33" s="56">
        <f>IF(OR(HW$4="",$B33=""),0,SUMIF('DADOS BRUTOS'!$A$3:$A$500,$B33,'DADOS BRUTOS'!EW$3:EW$500)+IF($C33="",0,SUMIF('DADOS BRUTOS'!$A$3:$A$500,$C33,'DADOS BRUTOS'!EW$3:EW$500)))</f>
        <v/>
      </c>
      <c r="HX33" s="56">
        <f>IF(OR(HX$4="",$B33=""),0,SUMIF('DADOS BRUTOS'!$A$3:$A$500,$B33,'DADOS BRUTOS'!EX$3:EX$500)+IF($C33="",0,SUMIF('DADOS BRUTOS'!$A$3:$A$500,$C33,'DADOS BRUTOS'!EX$3:EX$500)))</f>
        <v/>
      </c>
      <c r="HY33" s="56">
        <f>IF(OR(HY$4="",$B33=""),0,SUMIF('DADOS BRUTOS'!$A$3:$A$500,$B33,'DADOS BRUTOS'!EY$3:EY$500)+IF($C33="",0,SUMIF('DADOS BRUTOS'!$A$3:$A$500,$C33,'DADOS BRUTOS'!EY$3:EY$500)))</f>
        <v/>
      </c>
      <c r="HZ33" s="56">
        <f>IF(OR(HZ$4="",$B33=""),0,SUMIF('DADOS BRUTOS'!$A$3:$A$500,$B33,'DADOS BRUTOS'!EZ$3:EZ$500)+IF($C33="",0,SUMIF('DADOS BRUTOS'!$A$3:$A$500,$C33,'DADOS BRUTOS'!EZ$3:EZ$500)))</f>
        <v/>
      </c>
      <c r="IA33" s="56">
        <f>IF(OR(IA$4="",$B33=""),0,SUMIF('DADOS BRUTOS'!$A$3:$A$500,$B33,'DADOS BRUTOS'!FA$3:FA$500)+IF($C33="",0,SUMIF('DADOS BRUTOS'!$A$3:$A$500,$C33,'DADOS BRUTOS'!FA$3:FA$500)))</f>
        <v/>
      </c>
      <c r="IB33" s="56">
        <f>IF(OR(IB$4="",$B33=""),0,SUMIF('DADOS BRUTOS'!$A$3:$A$500,$B33,'DADOS BRUTOS'!FB$3:FB$500)+IF($C33="",0,SUMIF('DADOS BRUTOS'!$A$3:$A$500,$C33,'DADOS BRUTOS'!FB$3:FB$500)))</f>
        <v/>
      </c>
      <c r="IC33" s="56">
        <f>IF(OR(IC$4="",$B33=""),0,SUMIF('DADOS BRUTOS'!$A$3:$A$500,$B33,'DADOS BRUTOS'!FC$3:FC$500)+IF($C33="",0,SUMIF('DADOS BRUTOS'!$A$3:$A$500,$C33,'DADOS BRUTOS'!FC$3:FC$500)))</f>
        <v/>
      </c>
      <c r="ID33" s="56">
        <f>IF(OR(ID$4="",$B33=""),0,SUMIF('DADOS BRUTOS'!$A$3:$A$500,$B33,'DADOS BRUTOS'!FD$3:FD$500)+IF($C33="",0,SUMIF('DADOS BRUTOS'!$A$3:$A$500,$C33,'DADOS BRUTOS'!FD$3:FD$500)))</f>
        <v/>
      </c>
      <c r="IE33" s="56">
        <f>IF(OR(IE$4="",$B33=""),0,SUMIF('DADOS BRUTOS'!$A$3:$A$500,$B33,'DADOS BRUTOS'!FE$3:FE$500)+IF($C33="",0,SUMIF('DADOS BRUTOS'!$A$3:$A$500,$C33,'DADOS BRUTOS'!FE$3:FE$500)))</f>
        <v/>
      </c>
      <c r="IF33" s="56">
        <f>IF(OR(IF$4="",$B33=""),0,SUMIF('DADOS BRUTOS'!$A$3:$A$500,$B33,'DADOS BRUTOS'!FF$3:FF$500)+IF($C33="",0,SUMIF('DADOS BRUTOS'!$A$3:$A$500,$C33,'DADOS BRUTOS'!FF$3:FF$500)))</f>
        <v/>
      </c>
      <c r="IG33" s="56">
        <f>IF(OR(IG$4="",$B33=""),0,SUMIF('DADOS BRUTOS'!$A$3:$A$500,$B33,'DADOS BRUTOS'!FG$3:FG$500)+IF($C33="",0,SUMIF('DADOS BRUTOS'!$A$3:$A$500,$C33,'DADOS BRUTOS'!FG$3:FG$500)))</f>
        <v/>
      </c>
      <c r="IH33" s="56">
        <f>IF(OR(IH$4="",$B33=""),0,SUMIF('DADOS BRUTOS'!$A$3:$A$500,$B33,'DADOS BRUTOS'!FH$3:FH$500)+IF($C33="",0,SUMIF('DADOS BRUTOS'!$A$3:$A$500,$C33,'DADOS BRUTOS'!FH$3:FH$500)))</f>
        <v/>
      </c>
      <c r="II33" s="56">
        <f>IF(OR(II$4="",$B33=""),0,SUMIF('DADOS BRUTOS'!$A$3:$A$500,$B33,'DADOS BRUTOS'!FI$3:FI$500)+IF($C33="",0,SUMIF('DADOS BRUTOS'!$A$3:$A$500,$C33,'DADOS BRUTOS'!FI$3:FI$500)))</f>
        <v/>
      </c>
      <c r="IJ33" s="56">
        <f>IF(OR(IJ$4="",$B33=""),0,SUMIF('DADOS BRUTOS'!$A$3:$A$500,$B33,'DADOS BRUTOS'!FJ$3:FJ$500)+IF($C33="",0,SUMIF('DADOS BRUTOS'!$A$3:$A$500,$C33,'DADOS BRUTOS'!FJ$3:FJ$500)))</f>
        <v/>
      </c>
      <c r="IK33" s="56">
        <f>IF(OR(IK$4="",$B33=""),0,SUMIF('DADOS BRUTOS'!$A$3:$A$500,$B33,'DADOS BRUTOS'!FK$3:FK$500)+IF($C33="",0,SUMIF('DADOS BRUTOS'!$A$3:$A$500,$C33,'DADOS BRUTOS'!FK$3:FK$500)))</f>
        <v/>
      </c>
      <c r="IL33" s="56">
        <f>IF(OR(IL$4="",$B33=""),0,SUMIF('DADOS BRUTOS'!$A$3:$A$500,$B33,'DADOS BRUTOS'!FL$3:FL$500)+IF($C33="",0,SUMIF('DADOS BRUTOS'!$A$3:$A$500,$C33,'DADOS BRUTOS'!FL$3:FL$500)))</f>
        <v/>
      </c>
      <c r="IM33" s="56">
        <f>IF(OR(IM$4="",$B33=""),0,SUMIF('DADOS BRUTOS'!$A$3:$A$500,$B33,'DADOS BRUTOS'!FM$3:FM$500)+IF($C33="",0,SUMIF('DADOS BRUTOS'!$A$3:$A$500,$C33,'DADOS BRUTOS'!FM$3:FM$500)))</f>
        <v/>
      </c>
      <c r="IN33" s="56">
        <f>IF(OR(IN$4="",$B33=""),0,SUMIF('DADOS BRUTOS'!$A$3:$A$500,$B33,'DADOS BRUTOS'!FN$3:FN$500)+IF($C33="",0,SUMIF('DADOS BRUTOS'!$A$3:$A$500,$C33,'DADOS BRUTOS'!FN$3:FN$500)))</f>
        <v/>
      </c>
      <c r="IO33" s="56">
        <f>IF(OR(IO$4="",$B33=""),0,SUMIF('DADOS BRUTOS'!$A$3:$A$500,$B33,'DADOS BRUTOS'!FO$3:FO$500)+IF($C33="",0,SUMIF('DADOS BRUTOS'!$A$3:$A$500,$C33,'DADOS BRUTOS'!FO$3:FO$500)))</f>
        <v/>
      </c>
      <c r="IP33" s="56">
        <f>IF(OR(IP$4="",$B33=""),0,SUMIF('DADOS BRUTOS'!$A$3:$A$500,$B33,'DADOS BRUTOS'!FP$3:FP$500)+IF($C33="",0,SUMIF('DADOS BRUTOS'!$A$3:$A$500,$C33,'DADOS BRUTOS'!FP$3:FP$500)))</f>
        <v/>
      </c>
      <c r="IQ33" s="56">
        <f>IF(OR(IQ$4="",$B33=""),0,SUMIF('DADOS BRUTOS'!$A$3:$A$500,$B33,'DADOS BRUTOS'!FQ$3:FQ$500)+IF($C33="",0,SUMIF('DADOS BRUTOS'!$A$3:$A$500,$C33,'DADOS BRUTOS'!FQ$3:FQ$500)))</f>
        <v/>
      </c>
      <c r="IR33" s="56">
        <f>IF(OR(IR$4="",$B33=""),0,SUMIF('DADOS BRUTOS'!$A$3:$A$500,$B33,'DADOS BRUTOS'!FR$3:FR$500)+IF($C33="",0,SUMIF('DADOS BRUTOS'!$A$3:$A$500,$C33,'DADOS BRUTOS'!FR$3:FR$500)))</f>
        <v/>
      </c>
      <c r="IS33" s="56">
        <f>IF(OR(IS$4="",$B33=""),0,SUMIF('DADOS BRUTOS'!$A$3:$A$500,$B33,'DADOS BRUTOS'!FS$3:FS$500)+IF($C33="",0,SUMIF('DADOS BRUTOS'!$A$3:$A$500,$C33,'DADOS BRUTOS'!FS$3:FS$500)))</f>
        <v/>
      </c>
      <c r="IT33" s="56">
        <f>IF(OR(IT$4="",$B33=""),0,SUMIF('DADOS BRUTOS'!$A$3:$A$500,$B33,'DADOS BRUTOS'!FT$3:FT$500)+IF($C33="",0,SUMIF('DADOS BRUTOS'!$A$3:$A$500,$C33,'DADOS BRUTOS'!FT$3:FT$500)))</f>
        <v/>
      </c>
      <c r="IU33" s="56">
        <f>IF(OR(IU$4="",$B33=""),0,SUMIF('DADOS BRUTOS'!$A$3:$A$500,$B33,'DADOS BRUTOS'!FU$3:FU$500)+IF($C33="",0,SUMIF('DADOS BRUTOS'!$A$3:$A$500,$C33,'DADOS BRUTOS'!FU$3:FU$500)))</f>
        <v/>
      </c>
      <c r="IV33" s="56">
        <f>IF(OR(IV$4="",$B33=""),0,SUMIF('DADOS BRUTOS'!$A$3:$A$500,$B33,'DADOS BRUTOS'!FV$3:FV$500)+IF($C33="",0,SUMIF('DADOS BRUTOS'!$A$3:$A$500,$C33,'DADOS BRUTOS'!FV$3:FV$500)))</f>
        <v/>
      </c>
      <c r="IW33" s="56">
        <f>IF(OR(IW$4="",$B33=""),0,SUMIF('DADOS BRUTOS'!$A$3:$A$500,$B33,'DADOS BRUTOS'!FW$3:FW$500)+IF($C33="",0,SUMIF('DADOS BRUTOS'!$A$3:$A$500,$C33,'DADOS BRUTOS'!FW$3:FW$500)))</f>
        <v/>
      </c>
      <c r="IX33" s="56">
        <f>IF(OR(IX$4="",$B33=""),0,SUMIF('DADOS BRUTOS'!$A$3:$A$500,$B33,'DADOS BRUTOS'!FX$3:FX$500)+IF($C33="",0,SUMIF('DADOS BRUTOS'!$A$3:$A$500,$C33,'DADOS BRUTOS'!FX$3:FX$500)))</f>
        <v/>
      </c>
      <c r="IY33" s="56">
        <f>IF(OR(IY$4="",$B33=""),0,SUMIF('DADOS BRUTOS'!$A$3:$A$500,$B33,'DADOS BRUTOS'!FY$3:FY$500)+IF($C33="",0,SUMIF('DADOS BRUTOS'!$A$3:$A$500,$C33,'DADOS BRUTOS'!FY$3:FY$500)))</f>
        <v/>
      </c>
      <c r="IZ33" s="56">
        <f>IF(OR(IZ$4="",$B33=""),0,SUMIF('DADOS BRUTOS'!$A$3:$A$500,$B33,'DADOS BRUTOS'!FZ$3:FZ$500)+IF($C33="",0,SUMIF('DADOS BRUTOS'!$A$3:$A$500,$C33,'DADOS BRUTOS'!FZ$3:FZ$500)))</f>
        <v/>
      </c>
      <c r="JA33" s="56">
        <f>IF(OR(JA$4="",$B33=""),0,SUMIF('DADOS BRUTOS'!$A$3:$A$500,$B33,'DADOS BRUTOS'!GA$3:GA$500)+IF($C33="",0,SUMIF('DADOS BRUTOS'!$A$3:$A$500,$C33,'DADOS BRUTOS'!GA$3:GA$500)))</f>
        <v/>
      </c>
      <c r="JB33" s="56">
        <f>IF(OR(JB$4="",$B33=""),0,SUMIF('DADOS BRUTOS'!$A$3:$A$500,$B33,'DADOS BRUTOS'!GB$3:GB$500)+IF($C33="",0,SUMIF('DADOS BRUTOS'!$A$3:$A$500,$C33,'DADOS BRUTOS'!GB$3:GB$500)))</f>
        <v/>
      </c>
      <c r="JC33" s="56">
        <f>IF(OR(JC$4="",$B33=""),0,SUMIF('DADOS BRUTOS'!$A$3:$A$500,$B33,'DADOS BRUTOS'!GC$3:GC$500)+IF($C33="",0,SUMIF('DADOS BRUTOS'!$A$3:$A$500,$C33,'DADOS BRUTOS'!GC$3:GC$500)))</f>
        <v/>
      </c>
      <c r="JD33" s="56">
        <f>IF(OR(JD$4="",$B33=""),0,SUMIF('DADOS BRUTOS'!$A$3:$A$500,$B33,'DADOS BRUTOS'!GD$3:GD$500)+IF($C33="",0,SUMIF('DADOS BRUTOS'!$A$3:$A$500,$C33,'DADOS BRUTOS'!GD$3:GD$500)))</f>
        <v/>
      </c>
      <c r="JE33" s="56">
        <f>IF(OR(JE$4="",$B33=""),0,SUMIF('DADOS BRUTOS'!$A$3:$A$500,$B33,'DADOS BRUTOS'!GE$3:GE$500)+IF($C33="",0,SUMIF('DADOS BRUTOS'!$A$3:$A$500,$C33,'DADOS BRUTOS'!GE$3:GE$500)))</f>
        <v/>
      </c>
      <c r="JF33" s="56">
        <f>IF(OR(JF$4="",$B33=""),0,SUMIF('DADOS BRUTOS'!$A$3:$A$500,$B33,'DADOS BRUTOS'!GF$3:GF$500)+IF($C33="",0,SUMIF('DADOS BRUTOS'!$A$3:$A$500,$C33,'DADOS BRUTOS'!GF$3:GF$500)))</f>
        <v/>
      </c>
      <c r="JG33" s="56">
        <f>IF(OR(JG$4="",$B33=""),0,SUMIF('DADOS BRUTOS'!$A$3:$A$500,$B33,'DADOS BRUTOS'!GG$3:GG$500)+IF($C33="",0,SUMIF('DADOS BRUTOS'!$A$3:$A$500,$C33,'DADOS BRUTOS'!GG$3:GG$500)))</f>
        <v/>
      </c>
      <c r="JH33" s="56">
        <f>IF(OR(JH$4="",$B33=""),0,SUMIF('DADOS BRUTOS'!$A$3:$A$500,$B33,'DADOS BRUTOS'!GH$3:GH$500)+IF($C33="",0,SUMIF('DADOS BRUTOS'!$A$3:$A$500,$C33,'DADOS BRUTOS'!GH$3:GH$500)))</f>
        <v/>
      </c>
      <c r="JI33" s="56">
        <f>IF(OR(JI$4="",$B33=""),0,SUMIF('DADOS BRUTOS'!$A$3:$A$500,$B33,'DADOS BRUTOS'!GI$3:GI$500)+IF($C33="",0,SUMIF('DADOS BRUTOS'!$A$3:$A$500,$C33,'DADOS BRUTOS'!GI$3:GI$500)))</f>
        <v/>
      </c>
      <c r="JJ33" s="56">
        <f>IF(OR(JJ$4="",$B33=""),0,SUMIF('DADOS BRUTOS'!$A$3:$A$500,$B33,'DADOS BRUTOS'!GJ$3:GJ$500)+IF($C33="",0,SUMIF('DADOS BRUTOS'!$A$3:$A$500,$C33,'DADOS BRUTOS'!GJ$3:GJ$500)))</f>
        <v/>
      </c>
      <c r="JK33" s="56">
        <f>IF(OR(JK$4="",$B33=""),0,SUMIF('DADOS BRUTOS'!$A$3:$A$500,$B33,'DADOS BRUTOS'!GK$3:GK$500)+IF($C33="",0,SUMIF('DADOS BRUTOS'!$A$3:$A$500,$C33,'DADOS BRUTOS'!GK$3:GK$500)))</f>
        <v/>
      </c>
      <c r="JL33" s="56">
        <f>IF(OR(JL$4="",$B33=""),0,SUMIF('DADOS BRUTOS'!$A$3:$A$500,$B33,'DADOS BRUTOS'!GL$3:GL$500)+IF($C33="",0,SUMIF('DADOS BRUTOS'!$A$3:$A$500,$C33,'DADOS BRUTOS'!GL$3:GL$500)))</f>
        <v/>
      </c>
      <c r="JM33" s="56">
        <f>IF(OR(JM$4="",$B33=""),0,SUMIF('DADOS BRUTOS'!$A$3:$A$500,$B33,'DADOS BRUTOS'!GM$3:GM$500)+IF($C33="",0,SUMIF('DADOS BRUTOS'!$A$3:$A$500,$C33,'DADOS BRUTOS'!GM$3:GM$500)))</f>
        <v/>
      </c>
      <c r="JN33" s="56">
        <f>IF(OR(JN$4="",$B33=""),0,SUMIF('DADOS BRUTOS'!$A$3:$A$500,$B33,'DADOS BRUTOS'!GN$3:GN$500)+IF($C33="",0,SUMIF('DADOS BRUTOS'!$A$3:$A$500,$C33,'DADOS BRUTOS'!GN$3:GN$500)))</f>
        <v/>
      </c>
      <c r="JO33" s="56">
        <f>IF(OR(JO$4="",$B33=""),0,SUMIF('DADOS BRUTOS'!$A$3:$A$500,$B33,'DADOS BRUTOS'!GO$3:GO$500)+IF($C33="",0,SUMIF('DADOS BRUTOS'!$A$3:$A$500,$C33,'DADOS BRUTOS'!GO$3:GO$500)))</f>
        <v/>
      </c>
      <c r="JP33" s="56">
        <f>IF(OR(JP$4="",$B33=""),0,SUMIF('DADOS BRUTOS'!$A$3:$A$500,$B33,'DADOS BRUTOS'!GP$3:GP$500)+IF($C33="",0,SUMIF('DADOS BRUTOS'!$A$3:$A$500,$C33,'DADOS BRUTOS'!GP$3:GP$500)))</f>
        <v/>
      </c>
      <c r="JQ33" s="56">
        <f>IF(OR(JQ$4="",$B33=""),0,SUMIF('DADOS BRUTOS'!$A$3:$A$500,$B33,'DADOS BRUTOS'!GQ$3:GQ$500)+IF($C33="",0,SUMIF('DADOS BRUTOS'!$A$3:$A$500,$C33,'DADOS BRUTOS'!GQ$3:GQ$500)))</f>
        <v/>
      </c>
      <c r="JR33" s="56">
        <f>IF(OR(JR$4="",$B33=""),0,SUMIF('DADOS BRUTOS'!$A$3:$A$500,$B33,'DADOS BRUTOS'!GR$3:GR$500)+IF($C33="",0,SUMIF('DADOS BRUTOS'!$A$3:$A$500,$C33,'DADOS BRUTOS'!GR$3:GR$500)))</f>
        <v/>
      </c>
      <c r="JS33" s="56">
        <f>IF(OR(JS$4="",$B33=""),0,SUMIF('DADOS BRUTOS'!$A$3:$A$500,$B33,'DADOS BRUTOS'!GS$3:GS$500)+IF($C33="",0,SUMIF('DADOS BRUTOS'!$A$3:$A$500,$C33,'DADOS BRUTOS'!GS$3:GS$500)))</f>
        <v/>
      </c>
    </row>
    <row r="34">
      <c r="A34" s="34">
        <f>'VALOR POR PL'!D40</f>
        <v/>
      </c>
      <c r="B34" s="21" t="inlineStr">
        <is>
          <t>REVESTIMENTOS</t>
        </is>
      </c>
      <c r="C34" s="21" t="n"/>
      <c r="D34" s="17">
        <f>SUMIF($CB$4:$JS$4,"&lt;="&amp;D$4,$CB34:$JS34)</f>
        <v/>
      </c>
      <c r="E34" s="17">
        <f>SUMIF($CB$4:$JS$4,E$4,$CB34:$JS34)</f>
        <v/>
      </c>
      <c r="F34" s="17">
        <f>SUMIF($CB$4:$JS$4,F$4,$CB34:$JS34)</f>
        <v/>
      </c>
      <c r="G34" s="17">
        <f>SUMIF($CB$4:$JS$4,G$4,$CB34:$JS34)</f>
        <v/>
      </c>
      <c r="H34" s="17">
        <f>SUMIF($CB$4:$JS$4,H$4,$CB34:$JS34)</f>
        <v/>
      </c>
      <c r="I34" s="17">
        <f>SUMIF($CB$4:$JS$4,I$4,$CB34:$JS34)</f>
        <v/>
      </c>
      <c r="J34" s="17">
        <f>SUMIF($CB$4:$JS$4,J$4,$CB34:$JS34)</f>
        <v/>
      </c>
      <c r="K34" s="17">
        <f>SUMIF($CB$4:$JS$4,K$4,$CB34:$JS34)</f>
        <v/>
      </c>
      <c r="L34" s="17">
        <f>SUMIF($CB$4:$JS$4,L$4,$CB34:$JS34)</f>
        <v/>
      </c>
      <c r="M34" s="17">
        <f>SUMIF($CB$4:$JS$4,M$4,$CB34:$JS34)</f>
        <v/>
      </c>
      <c r="N34" s="17">
        <f>SUMIF($CB$4:$JS$4,N$4,$CB34:$JS34)</f>
        <v/>
      </c>
      <c r="O34" s="17">
        <f>SUMIF($CB$4:$JS$4,O$4,$CB34:$JS34)</f>
        <v/>
      </c>
      <c r="P34" s="17">
        <f>SUMIF($CB$4:$JS$4,P$4,$CB34:$JS34)</f>
        <v/>
      </c>
      <c r="Q34" s="17">
        <f>SUMIF($CB$4:$JS$4,Q$4,$CB34:$JS34)</f>
        <v/>
      </c>
      <c r="R34" s="17">
        <f>SUMIF($CB$4:$JS$4,R$4,$CB34:$JS34)</f>
        <v/>
      </c>
      <c r="S34" s="17">
        <f>SUMIF($CB$4:$JS$4,S$4,$CB34:$JS34)</f>
        <v/>
      </c>
      <c r="T34" s="17">
        <f>SUMIF($CB$4:$JS$4,T$4,$CB34:$JS34)</f>
        <v/>
      </c>
      <c r="U34" s="17">
        <f>SUMIF($CB$4:$JS$4,U$4,$CB34:$JS34)</f>
        <v/>
      </c>
      <c r="V34" s="17">
        <f>SUMIF($CB$4:$JS$4,V$4,$CB34:$JS34)</f>
        <v/>
      </c>
      <c r="W34" s="17">
        <f>SUMIF($CB$4:$JS$4,W$4,$CB34:$JS34)</f>
        <v/>
      </c>
      <c r="X34" s="17">
        <f>SUMIF($CB$4:$JS$4,X$4,$CB34:$JS34)</f>
        <v/>
      </c>
      <c r="Y34" s="17">
        <f>SUMIF($CB$4:$JS$4,Y$4,$CB34:$JS34)</f>
        <v/>
      </c>
      <c r="Z34" s="17">
        <f>SUMIF($CB$4:$JS$4,Z$4,$CB34:$JS34)</f>
        <v/>
      </c>
      <c r="AA34" s="17">
        <f>SUMIF($CB$4:$JS$4,AA$4,$CB34:$JS34)</f>
        <v/>
      </c>
      <c r="AB34" s="17">
        <f>SUMIF($CB$4:$JS$4,AB$4,$CB34:$JS34)</f>
        <v/>
      </c>
      <c r="AC34" s="17">
        <f>SUMIF($CB$4:$JS$4,AC$4,$CB34:$JS34)</f>
        <v/>
      </c>
      <c r="AD34" s="17">
        <f>SUMIF($CB$4:$JS$4,AD$4,$CB34:$JS34)</f>
        <v/>
      </c>
      <c r="AE34" s="17">
        <f>SUMIF($CB$4:$JS$4,AE$4,$CB34:$JS34)</f>
        <v/>
      </c>
      <c r="AF34" s="17">
        <f>SUMIF($CB$4:$JS$4,AF$4,$CB34:$JS34)</f>
        <v/>
      </c>
      <c r="AG34" s="17">
        <f>SUMIF($CB$4:$JS$4,AG$4,$CB34:$JS34)</f>
        <v/>
      </c>
      <c r="AH34" s="17">
        <f>SUMIF($CB$4:$JS$4,AH$4,$CB34:$JS34)</f>
        <v/>
      </c>
      <c r="AI34" s="17">
        <f>SUMIF($CB$4:$JS$4,AI$4,$CB34:$JS34)</f>
        <v/>
      </c>
      <c r="AJ34" s="17">
        <f>SUMIF($CB$4:$JS$4,AJ$4,$CB34:$JS34)</f>
        <v/>
      </c>
      <c r="AK34" s="17">
        <f>SUMIF($CB$4:$JS$4,AK$4,$CB34:$JS34)</f>
        <v/>
      </c>
      <c r="AL34" s="17">
        <f>SUMIF($CB$4:$JS$4,AL$4,$CB34:$JS34)</f>
        <v/>
      </c>
      <c r="AM34" s="17">
        <f>SUMIF($CB$4:$JS$4,AM$4,$CB34:$JS34)</f>
        <v/>
      </c>
      <c r="AN34" s="17">
        <f>SUMIF($CB$4:$JS$4,AN$4,$CB34:$JS34)</f>
        <v/>
      </c>
      <c r="AO34" s="17">
        <f>SUMIF($CB$4:$JS$4,AO$4,$CB34:$JS34)</f>
        <v/>
      </c>
      <c r="AP34" s="17">
        <f>SUMIF($CB$4:$JS$4,AP$4,$CB34:$JS34)</f>
        <v/>
      </c>
      <c r="AQ34" s="17">
        <f>SUMIF($CB$4:$JS$4,AQ$4,$CB34:$JS34)</f>
        <v/>
      </c>
      <c r="AR34" s="17">
        <f>SUMIF($CB$4:$JS$4,AR$4,$CB34:$JS34)</f>
        <v/>
      </c>
      <c r="AS34" s="17">
        <f>SUMIF($CB$4:$JS$4,AS$4,$CB34:$JS34)</f>
        <v/>
      </c>
      <c r="AT34" s="17">
        <f>SUMIF($CB$4:$JS$4,AT$4,$CB34:$JS34)</f>
        <v/>
      </c>
      <c r="AU34" s="17">
        <f>SUMIF($CB$4:$JS$4,AU$4,$CB34:$JS34)</f>
        <v/>
      </c>
      <c r="AV34" s="17">
        <f>SUMIF($CB$4:$JS$4,AV$4,$CB34:$JS34)</f>
        <v/>
      </c>
      <c r="AW34" s="17">
        <f>SUMIF($CB$4:$JS$4,AW$4,$CB34:$JS34)</f>
        <v/>
      </c>
      <c r="AX34" s="17">
        <f>SUMIF($CB$4:$JS$4,AX$4,$CB34:$JS34)</f>
        <v/>
      </c>
      <c r="AY34" s="17">
        <f>SUMIF($CB$4:$JS$4,AY$4,$CB34:$JS34)</f>
        <v/>
      </c>
      <c r="AZ34" s="17">
        <f>SUMIF($CB$4:$JS$4,AZ$4,$CB34:$JS34)</f>
        <v/>
      </c>
      <c r="BA34" s="17">
        <f>SUMIF($CB$4:$JS$4,BA$4,$CB34:$JS34)</f>
        <v/>
      </c>
      <c r="BB34" s="17">
        <f>SUMIF($CB$4:$JS$4,BB$4,$CB34:$JS34)</f>
        <v/>
      </c>
      <c r="BC34" s="17">
        <f>SUMIF($CB$4:$JS$4,BC$4,$CB34:$JS34)</f>
        <v/>
      </c>
      <c r="BD34" s="17">
        <f>SUMIF($CB$4:$JS$4,BD$4,$CB34:$JS34)</f>
        <v/>
      </c>
      <c r="BE34" s="17">
        <f>SUMIF($CB$4:$JS$4,BE$4,$CB34:$JS34)</f>
        <v/>
      </c>
      <c r="BF34" s="17">
        <f>SUMIF($CB$4:$JS$4,BF$4,$CB34:$JS34)</f>
        <v/>
      </c>
      <c r="BG34" s="17">
        <f>SUMIF($CB$4:$JS$4,BG$4,$CB34:$JS34)</f>
        <v/>
      </c>
      <c r="BH34" s="17">
        <f>SUMIF($CB$4:$JS$4,BH$4,$CB34:$JS34)</f>
        <v/>
      </c>
      <c r="BI34" s="17">
        <f>SUMIF($CB$4:$JS$4,BI$4,$CB34:$JS34)</f>
        <v/>
      </c>
      <c r="BJ34" s="17">
        <f>SUMIF($CB$4:$JS$4,BJ$4,$CB34:$JS34)</f>
        <v/>
      </c>
      <c r="BK34" s="17">
        <f>SUMIF($CB$4:$JS$4,BK$4,$CB34:$JS34)</f>
        <v/>
      </c>
      <c r="BL34" s="17">
        <f>SUMIF($CB$4:$JS$4,BL$4,$CB34:$JS34)</f>
        <v/>
      </c>
      <c r="BM34" s="17">
        <f>SUMIF($CB$4:$JS$4,BM$4,$CB34:$JS34)</f>
        <v/>
      </c>
      <c r="BN34" s="17">
        <f>SUMIF($CB$4:$JS$4,BN$4,$CB34:$JS34)</f>
        <v/>
      </c>
      <c r="BO34" s="17">
        <f>SUMIF($CB$4:$JS$4,BO$4,$CB34:$JS34)</f>
        <v/>
      </c>
      <c r="BP34" s="17">
        <f>SUMIF($CB$4:$JS$4,BP$4,$CB34:$JS34)</f>
        <v/>
      </c>
      <c r="BQ34" s="17">
        <f>SUMIF($CB$4:$JS$4,BQ$4,$CB34:$JS34)</f>
        <v/>
      </c>
      <c r="BR34" s="17">
        <f>SUMIF($CB$4:$JS$4,BR$4,$CB34:$JS34)</f>
        <v/>
      </c>
      <c r="BS34" s="17">
        <f>SUMIF($CB$4:$JS$4,BS$4,$CB34:$JS34)</f>
        <v/>
      </c>
      <c r="BT34" s="17">
        <f>SUMIF($CB$4:$JS$4,BT$4,$CB34:$JS34)</f>
        <v/>
      </c>
      <c r="BU34" s="17">
        <f>SUMIF($CB$4:$JS$4,BU$4,$CB34:$JS34)</f>
        <v/>
      </c>
      <c r="BV34" s="17">
        <f>SUMIF($CB$4:$JS$4,BV$4,$CB34:$JS34)</f>
        <v/>
      </c>
      <c r="BW34" s="17">
        <f>SUMIF($CB$4:$JS$4,BW$4,$CB34:$JS34)</f>
        <v/>
      </c>
      <c r="BX34" s="17">
        <f>SUMIF($CB$4:$JS$4,"&gt;"&amp;'VALOR POR PL'!$P$8,$CB34:$JS34)</f>
        <v/>
      </c>
      <c r="BY34" s="17">
        <f>SUM($CB34:$JS34)</f>
        <v/>
      </c>
      <c r="CB34" s="56">
        <f>IF(OR(CB$4="",$B34=""),0,SUMIF('DADOS BRUTOS'!$A$3:$A$500,$B34,'DADOS BRUTOS'!B$3:B$500)+IF($C34="",0,SUMIF('DADOS BRUTOS'!$A$3:$A$500,$C34,'DADOS BRUTOS'!B$3:B$500)))</f>
        <v/>
      </c>
      <c r="CC34" s="56">
        <f>IF(OR(CC$4="",$B34=""),0,SUMIF('DADOS BRUTOS'!$A$3:$A$500,$B34,'DADOS BRUTOS'!C$3:C$500)+IF($C34="",0,SUMIF('DADOS BRUTOS'!$A$3:$A$500,$C34,'DADOS BRUTOS'!C$3:C$500)))</f>
        <v/>
      </c>
      <c r="CD34" s="56">
        <f>IF(OR(CD$4="",$B34=""),0,SUMIF('DADOS BRUTOS'!$A$3:$A$500,$B34,'DADOS BRUTOS'!D$3:D$500)+IF($C34="",0,SUMIF('DADOS BRUTOS'!$A$3:$A$500,$C34,'DADOS BRUTOS'!D$3:D$500)))</f>
        <v/>
      </c>
      <c r="CE34" s="56">
        <f>IF(OR(CE$4="",$B34=""),0,SUMIF('DADOS BRUTOS'!$A$3:$A$500,$B34,'DADOS BRUTOS'!E$3:E$500)+IF($C34="",0,SUMIF('DADOS BRUTOS'!$A$3:$A$500,$C34,'DADOS BRUTOS'!E$3:E$500)))</f>
        <v/>
      </c>
      <c r="CF34" s="56">
        <f>IF(OR(CF$4="",$B34=""),0,SUMIF('DADOS BRUTOS'!$A$3:$A$500,$B34,'DADOS BRUTOS'!F$3:F$500)+IF($C34="",0,SUMIF('DADOS BRUTOS'!$A$3:$A$500,$C34,'DADOS BRUTOS'!F$3:F$500)))</f>
        <v/>
      </c>
      <c r="CG34" s="56">
        <f>IF(OR(CG$4="",$B34=""),0,SUMIF('DADOS BRUTOS'!$A$3:$A$500,$B34,'DADOS BRUTOS'!G$3:G$500)+IF($C34="",0,SUMIF('DADOS BRUTOS'!$A$3:$A$500,$C34,'DADOS BRUTOS'!G$3:G$500)))</f>
        <v/>
      </c>
      <c r="CH34" s="56">
        <f>IF(OR(CH$4="",$B34=""),0,SUMIF('DADOS BRUTOS'!$A$3:$A$500,$B34,'DADOS BRUTOS'!H$3:H$500)+IF($C34="",0,SUMIF('DADOS BRUTOS'!$A$3:$A$500,$C34,'DADOS BRUTOS'!H$3:H$500)))</f>
        <v/>
      </c>
      <c r="CI34" s="56">
        <f>IF(OR(CI$4="",$B34=""),0,SUMIF('DADOS BRUTOS'!$A$3:$A$500,$B34,'DADOS BRUTOS'!I$3:I$500)+IF($C34="",0,SUMIF('DADOS BRUTOS'!$A$3:$A$500,$C34,'DADOS BRUTOS'!I$3:I$500)))</f>
        <v/>
      </c>
      <c r="CJ34" s="56">
        <f>IF(OR(CJ$4="",$B34=""),0,SUMIF('DADOS BRUTOS'!$A$3:$A$500,$B34,'DADOS BRUTOS'!J$3:J$500)+IF($C34="",0,SUMIF('DADOS BRUTOS'!$A$3:$A$500,$C34,'DADOS BRUTOS'!J$3:J$500)))</f>
        <v/>
      </c>
      <c r="CK34" s="56">
        <f>IF(OR(CK$4="",$B34=""),0,SUMIF('DADOS BRUTOS'!$A$3:$A$500,$B34,'DADOS BRUTOS'!K$3:K$500)+IF($C34="",0,SUMIF('DADOS BRUTOS'!$A$3:$A$500,$C34,'DADOS BRUTOS'!K$3:K$500)))</f>
        <v/>
      </c>
      <c r="CL34" s="56">
        <f>IF(OR(CL$4="",$B34=""),0,SUMIF('DADOS BRUTOS'!$A$3:$A$500,$B34,'DADOS BRUTOS'!L$3:L$500)+IF($C34="",0,SUMIF('DADOS BRUTOS'!$A$3:$A$500,$C34,'DADOS BRUTOS'!L$3:L$500)))</f>
        <v/>
      </c>
      <c r="CM34" s="56">
        <f>IF(OR(CM$4="",$B34=""),0,SUMIF('DADOS BRUTOS'!$A$3:$A$500,$B34,'DADOS BRUTOS'!M$3:M$500)+IF($C34="",0,SUMIF('DADOS BRUTOS'!$A$3:$A$500,$C34,'DADOS BRUTOS'!M$3:M$500)))</f>
        <v/>
      </c>
      <c r="CN34" s="56">
        <f>IF(OR(CN$4="",$B34=""),0,SUMIF('DADOS BRUTOS'!$A$3:$A$500,$B34,'DADOS BRUTOS'!N$3:N$500)+IF($C34="",0,SUMIF('DADOS BRUTOS'!$A$3:$A$500,$C34,'DADOS BRUTOS'!N$3:N$500)))</f>
        <v/>
      </c>
      <c r="CO34" s="56">
        <f>IF(OR(CO$4="",$B34=""),0,SUMIF('DADOS BRUTOS'!$A$3:$A$500,$B34,'DADOS BRUTOS'!O$3:O$500)+IF($C34="",0,SUMIF('DADOS BRUTOS'!$A$3:$A$500,$C34,'DADOS BRUTOS'!O$3:O$500)))</f>
        <v/>
      </c>
      <c r="CP34" s="56">
        <f>IF(OR(CP$4="",$B34=""),0,SUMIF('DADOS BRUTOS'!$A$3:$A$500,$B34,'DADOS BRUTOS'!P$3:P$500)+IF($C34="",0,SUMIF('DADOS BRUTOS'!$A$3:$A$500,$C34,'DADOS BRUTOS'!P$3:P$500)))</f>
        <v/>
      </c>
      <c r="CQ34" s="56">
        <f>IF(OR(CQ$4="",$B34=""),0,SUMIF('DADOS BRUTOS'!$A$3:$A$500,$B34,'DADOS BRUTOS'!Q$3:Q$500)+IF($C34="",0,SUMIF('DADOS BRUTOS'!$A$3:$A$500,$C34,'DADOS BRUTOS'!Q$3:Q$500)))</f>
        <v/>
      </c>
      <c r="CR34" s="56">
        <f>IF(OR(CR$4="",$B34=""),0,SUMIF('DADOS BRUTOS'!$A$3:$A$500,$B34,'DADOS BRUTOS'!R$3:R$500)+IF($C34="",0,SUMIF('DADOS BRUTOS'!$A$3:$A$500,$C34,'DADOS BRUTOS'!R$3:R$500)))</f>
        <v/>
      </c>
      <c r="CS34" s="56">
        <f>IF(OR(CS$4="",$B34=""),0,SUMIF('DADOS BRUTOS'!$A$3:$A$500,$B34,'DADOS BRUTOS'!S$3:S$500)+IF($C34="",0,SUMIF('DADOS BRUTOS'!$A$3:$A$500,$C34,'DADOS BRUTOS'!S$3:S$500)))</f>
        <v/>
      </c>
      <c r="CT34" s="56">
        <f>IF(OR(CT$4="",$B34=""),0,SUMIF('DADOS BRUTOS'!$A$3:$A$500,$B34,'DADOS BRUTOS'!T$3:T$500)+IF($C34="",0,SUMIF('DADOS BRUTOS'!$A$3:$A$500,$C34,'DADOS BRUTOS'!T$3:T$500)))</f>
        <v/>
      </c>
      <c r="CU34" s="56">
        <f>IF(OR(CU$4="",$B34=""),0,SUMIF('DADOS BRUTOS'!$A$3:$A$500,$B34,'DADOS BRUTOS'!U$3:U$500)+IF($C34="",0,SUMIF('DADOS BRUTOS'!$A$3:$A$500,$C34,'DADOS BRUTOS'!U$3:U$500)))</f>
        <v/>
      </c>
      <c r="CV34" s="56">
        <f>IF(OR(CV$4="",$B34=""),0,SUMIF('DADOS BRUTOS'!$A$3:$A$500,$B34,'DADOS BRUTOS'!V$3:V$500)+IF($C34="",0,SUMIF('DADOS BRUTOS'!$A$3:$A$500,$C34,'DADOS BRUTOS'!V$3:V$500)))</f>
        <v/>
      </c>
      <c r="CW34" s="56">
        <f>IF(OR(CW$4="",$B34=""),0,SUMIF('DADOS BRUTOS'!$A$3:$A$500,$B34,'DADOS BRUTOS'!W$3:W$500)+IF($C34="",0,SUMIF('DADOS BRUTOS'!$A$3:$A$500,$C34,'DADOS BRUTOS'!W$3:W$500)))</f>
        <v/>
      </c>
      <c r="CX34" s="56">
        <f>IF(OR(CX$4="",$B34=""),0,SUMIF('DADOS BRUTOS'!$A$3:$A$500,$B34,'DADOS BRUTOS'!X$3:X$500)+IF($C34="",0,SUMIF('DADOS BRUTOS'!$A$3:$A$500,$C34,'DADOS BRUTOS'!X$3:X$500)))</f>
        <v/>
      </c>
      <c r="CY34" s="56">
        <f>IF(OR(CY$4="",$B34=""),0,SUMIF('DADOS BRUTOS'!$A$3:$A$500,$B34,'DADOS BRUTOS'!Y$3:Y$500)+IF($C34="",0,SUMIF('DADOS BRUTOS'!$A$3:$A$500,$C34,'DADOS BRUTOS'!Y$3:Y$500)))</f>
        <v/>
      </c>
      <c r="CZ34" s="56">
        <f>IF(OR(CZ$4="",$B34=""),0,SUMIF('DADOS BRUTOS'!$A$3:$A$500,$B34,'DADOS BRUTOS'!Z$3:Z$500)+IF($C34="",0,SUMIF('DADOS BRUTOS'!$A$3:$A$500,$C34,'DADOS BRUTOS'!Z$3:Z$500)))</f>
        <v/>
      </c>
      <c r="DA34" s="56">
        <f>IF(OR(DA$4="",$B34=""),0,SUMIF('DADOS BRUTOS'!$A$3:$A$500,$B34,'DADOS BRUTOS'!AA$3:AA$500)+IF($C34="",0,SUMIF('DADOS BRUTOS'!$A$3:$A$500,$C34,'DADOS BRUTOS'!AA$3:AA$500)))</f>
        <v/>
      </c>
      <c r="DB34" s="56">
        <f>IF(OR(DB$4="",$B34=""),0,SUMIF('DADOS BRUTOS'!$A$3:$A$500,$B34,'DADOS BRUTOS'!AB$3:AB$500)+IF($C34="",0,SUMIF('DADOS BRUTOS'!$A$3:$A$500,$C34,'DADOS BRUTOS'!AB$3:AB$500)))</f>
        <v/>
      </c>
      <c r="DC34" s="56">
        <f>IF(OR(DC$4="",$B34=""),0,SUMIF('DADOS BRUTOS'!$A$3:$A$500,$B34,'DADOS BRUTOS'!AC$3:AC$500)+IF($C34="",0,SUMIF('DADOS BRUTOS'!$A$3:$A$500,$C34,'DADOS BRUTOS'!AC$3:AC$500)))</f>
        <v/>
      </c>
      <c r="DD34" s="56">
        <f>IF(OR(DD$4="",$B34=""),0,SUMIF('DADOS BRUTOS'!$A$3:$A$500,$B34,'DADOS BRUTOS'!AD$3:AD$500)+IF($C34="",0,SUMIF('DADOS BRUTOS'!$A$3:$A$500,$C34,'DADOS BRUTOS'!AD$3:AD$500)))</f>
        <v/>
      </c>
      <c r="DE34" s="56">
        <f>IF(OR(DE$4="",$B34=""),0,SUMIF('DADOS BRUTOS'!$A$3:$A$500,$B34,'DADOS BRUTOS'!AE$3:AE$500)+IF($C34="",0,SUMIF('DADOS BRUTOS'!$A$3:$A$500,$C34,'DADOS BRUTOS'!AE$3:AE$500)))</f>
        <v/>
      </c>
      <c r="DF34" s="56">
        <f>IF(OR(DF$4="",$B34=""),0,SUMIF('DADOS BRUTOS'!$A$3:$A$500,$B34,'DADOS BRUTOS'!AF$3:AF$500)+IF($C34="",0,SUMIF('DADOS BRUTOS'!$A$3:$A$500,$C34,'DADOS BRUTOS'!AF$3:AF$500)))</f>
        <v/>
      </c>
      <c r="DG34" s="56">
        <f>IF(OR(DG$4="",$B34=""),0,SUMIF('DADOS BRUTOS'!$A$3:$A$500,$B34,'DADOS BRUTOS'!AG$3:AG$500)+IF($C34="",0,SUMIF('DADOS BRUTOS'!$A$3:$A$500,$C34,'DADOS BRUTOS'!AG$3:AG$500)))</f>
        <v/>
      </c>
      <c r="DH34" s="56">
        <f>IF(OR(DH$4="",$B34=""),0,SUMIF('DADOS BRUTOS'!$A$3:$A$500,$B34,'DADOS BRUTOS'!AH$3:AH$500)+IF($C34="",0,SUMIF('DADOS BRUTOS'!$A$3:$A$500,$C34,'DADOS BRUTOS'!AH$3:AH$500)))</f>
        <v/>
      </c>
      <c r="DI34" s="56">
        <f>IF(OR(DI$4="",$B34=""),0,SUMIF('DADOS BRUTOS'!$A$3:$A$500,$B34,'DADOS BRUTOS'!AI$3:AI$500)+IF($C34="",0,SUMIF('DADOS BRUTOS'!$A$3:$A$500,$C34,'DADOS BRUTOS'!AI$3:AI$500)))</f>
        <v/>
      </c>
      <c r="DJ34" s="56">
        <f>IF(OR(DJ$4="",$B34=""),0,SUMIF('DADOS BRUTOS'!$A$3:$A$500,$B34,'DADOS BRUTOS'!AJ$3:AJ$500)+IF($C34="",0,SUMIF('DADOS BRUTOS'!$A$3:$A$500,$C34,'DADOS BRUTOS'!AJ$3:AJ$500)))</f>
        <v/>
      </c>
      <c r="DK34" s="56">
        <f>IF(OR(DK$4="",$B34=""),0,SUMIF('DADOS BRUTOS'!$A$3:$A$500,$B34,'DADOS BRUTOS'!AK$3:AK$500)+IF($C34="",0,SUMIF('DADOS BRUTOS'!$A$3:$A$500,$C34,'DADOS BRUTOS'!AK$3:AK$500)))</f>
        <v/>
      </c>
      <c r="DL34" s="56">
        <f>IF(OR(DL$4="",$B34=""),0,SUMIF('DADOS BRUTOS'!$A$3:$A$500,$B34,'DADOS BRUTOS'!AL$3:AL$500)+IF($C34="",0,SUMIF('DADOS BRUTOS'!$A$3:$A$500,$C34,'DADOS BRUTOS'!AL$3:AL$500)))</f>
        <v/>
      </c>
      <c r="DM34" s="56">
        <f>IF(OR(DM$4="",$B34=""),0,SUMIF('DADOS BRUTOS'!$A$3:$A$500,$B34,'DADOS BRUTOS'!AM$3:AM$500)+IF($C34="",0,SUMIF('DADOS BRUTOS'!$A$3:$A$500,$C34,'DADOS BRUTOS'!AM$3:AM$500)))</f>
        <v/>
      </c>
      <c r="DN34" s="56">
        <f>IF(OR(DN$4="",$B34=""),0,SUMIF('DADOS BRUTOS'!$A$3:$A$500,$B34,'DADOS BRUTOS'!AN$3:AN$500)+IF($C34="",0,SUMIF('DADOS BRUTOS'!$A$3:$A$500,$C34,'DADOS BRUTOS'!AN$3:AN$500)))</f>
        <v/>
      </c>
      <c r="DO34" s="56">
        <f>IF(OR(DO$4="",$B34=""),0,SUMIF('DADOS BRUTOS'!$A$3:$A$500,$B34,'DADOS BRUTOS'!AO$3:AO$500)+IF($C34="",0,SUMIF('DADOS BRUTOS'!$A$3:$A$500,$C34,'DADOS BRUTOS'!AO$3:AO$500)))</f>
        <v/>
      </c>
      <c r="DP34" s="56">
        <f>IF(OR(DP$4="",$B34=""),0,SUMIF('DADOS BRUTOS'!$A$3:$A$500,$B34,'DADOS BRUTOS'!AP$3:AP$500)+IF($C34="",0,SUMIF('DADOS BRUTOS'!$A$3:$A$500,$C34,'DADOS BRUTOS'!AP$3:AP$500)))</f>
        <v/>
      </c>
      <c r="DQ34" s="56">
        <f>IF(OR(DQ$4="",$B34=""),0,SUMIF('DADOS BRUTOS'!$A$3:$A$500,$B34,'DADOS BRUTOS'!AQ$3:AQ$500)+IF($C34="",0,SUMIF('DADOS BRUTOS'!$A$3:$A$500,$C34,'DADOS BRUTOS'!AQ$3:AQ$500)))</f>
        <v/>
      </c>
      <c r="DR34" s="56">
        <f>IF(OR(DR$4="",$B34=""),0,SUMIF('DADOS BRUTOS'!$A$3:$A$500,$B34,'DADOS BRUTOS'!AR$3:AR$500)+IF($C34="",0,SUMIF('DADOS BRUTOS'!$A$3:$A$500,$C34,'DADOS BRUTOS'!AR$3:AR$500)))</f>
        <v/>
      </c>
      <c r="DS34" s="56">
        <f>IF(OR(DS$4="",$B34=""),0,SUMIF('DADOS BRUTOS'!$A$3:$A$500,$B34,'DADOS BRUTOS'!AS$3:AS$500)+IF($C34="",0,SUMIF('DADOS BRUTOS'!$A$3:$A$500,$C34,'DADOS BRUTOS'!AS$3:AS$500)))</f>
        <v/>
      </c>
      <c r="DT34" s="56">
        <f>IF(OR(DT$4="",$B34=""),0,SUMIF('DADOS BRUTOS'!$A$3:$A$500,$B34,'DADOS BRUTOS'!AT$3:AT$500)+IF($C34="",0,SUMIF('DADOS BRUTOS'!$A$3:$A$500,$C34,'DADOS BRUTOS'!AT$3:AT$500)))</f>
        <v/>
      </c>
      <c r="DU34" s="56">
        <f>IF(OR(DU$4="",$B34=""),0,SUMIF('DADOS BRUTOS'!$A$3:$A$500,$B34,'DADOS BRUTOS'!AU$3:AU$500)+IF($C34="",0,SUMIF('DADOS BRUTOS'!$A$3:$A$500,$C34,'DADOS BRUTOS'!AU$3:AU$500)))</f>
        <v/>
      </c>
      <c r="DV34" s="56">
        <f>IF(OR(DV$4="",$B34=""),0,SUMIF('DADOS BRUTOS'!$A$3:$A$500,$B34,'DADOS BRUTOS'!AV$3:AV$500)+IF($C34="",0,SUMIF('DADOS BRUTOS'!$A$3:$A$500,$C34,'DADOS BRUTOS'!AV$3:AV$500)))</f>
        <v/>
      </c>
      <c r="DW34" s="56">
        <f>IF(OR(DW$4="",$B34=""),0,SUMIF('DADOS BRUTOS'!$A$3:$A$500,$B34,'DADOS BRUTOS'!AW$3:AW$500)+IF($C34="",0,SUMIF('DADOS BRUTOS'!$A$3:$A$500,$C34,'DADOS BRUTOS'!AW$3:AW$500)))</f>
        <v/>
      </c>
      <c r="DX34" s="56">
        <f>IF(OR(DX$4="",$B34=""),0,SUMIF('DADOS BRUTOS'!$A$3:$A$500,$B34,'DADOS BRUTOS'!AX$3:AX$500)+IF($C34="",0,SUMIF('DADOS BRUTOS'!$A$3:$A$500,$C34,'DADOS BRUTOS'!AX$3:AX$500)))</f>
        <v/>
      </c>
      <c r="DY34" s="56">
        <f>IF(OR(DY$4="",$B34=""),0,SUMIF('DADOS BRUTOS'!$A$3:$A$500,$B34,'DADOS BRUTOS'!AY$3:AY$500)+IF($C34="",0,SUMIF('DADOS BRUTOS'!$A$3:$A$500,$C34,'DADOS BRUTOS'!AY$3:AY$500)))</f>
        <v/>
      </c>
      <c r="DZ34" s="56">
        <f>IF(OR(DZ$4="",$B34=""),0,SUMIF('DADOS BRUTOS'!$A$3:$A$500,$B34,'DADOS BRUTOS'!AZ$3:AZ$500)+IF($C34="",0,SUMIF('DADOS BRUTOS'!$A$3:$A$500,$C34,'DADOS BRUTOS'!AZ$3:AZ$500)))</f>
        <v/>
      </c>
      <c r="EA34" s="56">
        <f>IF(OR(EA$4="",$B34=""),0,SUMIF('DADOS BRUTOS'!$A$3:$A$500,$B34,'DADOS BRUTOS'!BA$3:BA$500)+IF($C34="",0,SUMIF('DADOS BRUTOS'!$A$3:$A$500,$C34,'DADOS BRUTOS'!BA$3:BA$500)))</f>
        <v/>
      </c>
      <c r="EB34" s="56">
        <f>IF(OR(EB$4="",$B34=""),0,SUMIF('DADOS BRUTOS'!$A$3:$A$500,$B34,'DADOS BRUTOS'!BB$3:BB$500)+IF($C34="",0,SUMIF('DADOS BRUTOS'!$A$3:$A$500,$C34,'DADOS BRUTOS'!BB$3:BB$500)))</f>
        <v/>
      </c>
      <c r="EC34" s="56">
        <f>IF(OR(EC$4="",$B34=""),0,SUMIF('DADOS BRUTOS'!$A$3:$A$500,$B34,'DADOS BRUTOS'!BC$3:BC$500)+IF($C34="",0,SUMIF('DADOS BRUTOS'!$A$3:$A$500,$C34,'DADOS BRUTOS'!BC$3:BC$500)))</f>
        <v/>
      </c>
      <c r="ED34" s="56">
        <f>IF(OR(ED$4="",$B34=""),0,SUMIF('DADOS BRUTOS'!$A$3:$A$500,$B34,'DADOS BRUTOS'!BD$3:BD$500)+IF($C34="",0,SUMIF('DADOS BRUTOS'!$A$3:$A$500,$C34,'DADOS BRUTOS'!BD$3:BD$500)))</f>
        <v/>
      </c>
      <c r="EE34" s="56">
        <f>IF(OR(EE$4="",$B34=""),0,SUMIF('DADOS BRUTOS'!$A$3:$A$500,$B34,'DADOS BRUTOS'!BE$3:BE$500)+IF($C34="",0,SUMIF('DADOS BRUTOS'!$A$3:$A$500,$C34,'DADOS BRUTOS'!BE$3:BE$500)))</f>
        <v/>
      </c>
      <c r="EF34" s="56">
        <f>IF(OR(EF$4="",$B34=""),0,SUMIF('DADOS BRUTOS'!$A$3:$A$500,$B34,'DADOS BRUTOS'!BF$3:BF$500)+IF($C34="",0,SUMIF('DADOS BRUTOS'!$A$3:$A$500,$C34,'DADOS BRUTOS'!BF$3:BF$500)))</f>
        <v/>
      </c>
      <c r="EG34" s="56">
        <f>IF(OR(EG$4="",$B34=""),0,SUMIF('DADOS BRUTOS'!$A$3:$A$500,$B34,'DADOS BRUTOS'!BG$3:BG$500)+IF($C34="",0,SUMIF('DADOS BRUTOS'!$A$3:$A$500,$C34,'DADOS BRUTOS'!BG$3:BG$500)))</f>
        <v/>
      </c>
      <c r="EH34" s="56">
        <f>IF(OR(EH$4="",$B34=""),0,SUMIF('DADOS BRUTOS'!$A$3:$A$500,$B34,'DADOS BRUTOS'!BH$3:BH$500)+IF($C34="",0,SUMIF('DADOS BRUTOS'!$A$3:$A$500,$C34,'DADOS BRUTOS'!BH$3:BH$500)))</f>
        <v/>
      </c>
      <c r="EI34" s="56">
        <f>IF(OR(EI$4="",$B34=""),0,SUMIF('DADOS BRUTOS'!$A$3:$A$500,$B34,'DADOS BRUTOS'!BI$3:BI$500)+IF($C34="",0,SUMIF('DADOS BRUTOS'!$A$3:$A$500,$C34,'DADOS BRUTOS'!BI$3:BI$500)))</f>
        <v/>
      </c>
      <c r="EJ34" s="56">
        <f>IF(OR(EJ$4="",$B34=""),0,SUMIF('DADOS BRUTOS'!$A$3:$A$500,$B34,'DADOS BRUTOS'!BJ$3:BJ$500)+IF($C34="",0,SUMIF('DADOS BRUTOS'!$A$3:$A$500,$C34,'DADOS BRUTOS'!BJ$3:BJ$500)))</f>
        <v/>
      </c>
      <c r="EK34" s="56">
        <f>IF(OR(EK$4="",$B34=""),0,SUMIF('DADOS BRUTOS'!$A$3:$A$500,$B34,'DADOS BRUTOS'!BK$3:BK$500)+IF($C34="",0,SUMIF('DADOS BRUTOS'!$A$3:$A$500,$C34,'DADOS BRUTOS'!BK$3:BK$500)))</f>
        <v/>
      </c>
      <c r="EL34" s="56">
        <f>IF(OR(EL$4="",$B34=""),0,SUMIF('DADOS BRUTOS'!$A$3:$A$500,$B34,'DADOS BRUTOS'!BL$3:BL$500)+IF($C34="",0,SUMIF('DADOS BRUTOS'!$A$3:$A$500,$C34,'DADOS BRUTOS'!BL$3:BL$500)))</f>
        <v/>
      </c>
      <c r="EM34" s="56">
        <f>IF(OR(EM$4="",$B34=""),0,SUMIF('DADOS BRUTOS'!$A$3:$A$500,$B34,'DADOS BRUTOS'!BM$3:BM$500)+IF($C34="",0,SUMIF('DADOS BRUTOS'!$A$3:$A$500,$C34,'DADOS BRUTOS'!BM$3:BM$500)))</f>
        <v/>
      </c>
      <c r="EN34" s="56">
        <f>IF(OR(EN$4="",$B34=""),0,SUMIF('DADOS BRUTOS'!$A$3:$A$500,$B34,'DADOS BRUTOS'!BN$3:BN$500)+IF($C34="",0,SUMIF('DADOS BRUTOS'!$A$3:$A$500,$C34,'DADOS BRUTOS'!BN$3:BN$500)))</f>
        <v/>
      </c>
      <c r="EO34" s="56">
        <f>IF(OR(EO$4="",$B34=""),0,SUMIF('DADOS BRUTOS'!$A$3:$A$500,$B34,'DADOS BRUTOS'!BO$3:BO$500)+IF($C34="",0,SUMIF('DADOS BRUTOS'!$A$3:$A$500,$C34,'DADOS BRUTOS'!BO$3:BO$500)))</f>
        <v/>
      </c>
      <c r="EP34" s="56">
        <f>IF(OR(EP$4="",$B34=""),0,SUMIF('DADOS BRUTOS'!$A$3:$A$500,$B34,'DADOS BRUTOS'!BP$3:BP$500)+IF($C34="",0,SUMIF('DADOS BRUTOS'!$A$3:$A$500,$C34,'DADOS BRUTOS'!BP$3:BP$500)))</f>
        <v/>
      </c>
      <c r="EQ34" s="56">
        <f>IF(OR(EQ$4="",$B34=""),0,SUMIF('DADOS BRUTOS'!$A$3:$A$500,$B34,'DADOS BRUTOS'!BQ$3:BQ$500)+IF($C34="",0,SUMIF('DADOS BRUTOS'!$A$3:$A$500,$C34,'DADOS BRUTOS'!BQ$3:BQ$500)))</f>
        <v/>
      </c>
      <c r="ER34" s="56">
        <f>IF(OR(ER$4="",$B34=""),0,SUMIF('DADOS BRUTOS'!$A$3:$A$500,$B34,'DADOS BRUTOS'!BR$3:BR$500)+IF($C34="",0,SUMIF('DADOS BRUTOS'!$A$3:$A$500,$C34,'DADOS BRUTOS'!BR$3:BR$500)))</f>
        <v/>
      </c>
      <c r="ES34" s="56">
        <f>IF(OR(ES$4="",$B34=""),0,SUMIF('DADOS BRUTOS'!$A$3:$A$500,$B34,'DADOS BRUTOS'!BS$3:BS$500)+IF($C34="",0,SUMIF('DADOS BRUTOS'!$A$3:$A$500,$C34,'DADOS BRUTOS'!BS$3:BS$500)))</f>
        <v/>
      </c>
      <c r="ET34" s="56">
        <f>IF(OR(ET$4="",$B34=""),0,SUMIF('DADOS BRUTOS'!$A$3:$A$500,$B34,'DADOS BRUTOS'!BT$3:BT$500)+IF($C34="",0,SUMIF('DADOS BRUTOS'!$A$3:$A$500,$C34,'DADOS BRUTOS'!BT$3:BT$500)))</f>
        <v/>
      </c>
      <c r="EU34" s="56">
        <f>IF(OR(EU$4="",$B34=""),0,SUMIF('DADOS BRUTOS'!$A$3:$A$500,$B34,'DADOS BRUTOS'!BU$3:BU$500)+IF($C34="",0,SUMIF('DADOS BRUTOS'!$A$3:$A$500,$C34,'DADOS BRUTOS'!BU$3:BU$500)))</f>
        <v/>
      </c>
      <c r="EV34" s="56">
        <f>IF(OR(EV$4="",$B34=""),0,SUMIF('DADOS BRUTOS'!$A$3:$A$500,$B34,'DADOS BRUTOS'!BV$3:BV$500)+IF($C34="",0,SUMIF('DADOS BRUTOS'!$A$3:$A$500,$C34,'DADOS BRUTOS'!BV$3:BV$500)))</f>
        <v/>
      </c>
      <c r="EW34" s="56">
        <f>IF(OR(EW$4="",$B34=""),0,SUMIF('DADOS BRUTOS'!$A$3:$A$500,$B34,'DADOS BRUTOS'!BW$3:BW$500)+IF($C34="",0,SUMIF('DADOS BRUTOS'!$A$3:$A$500,$C34,'DADOS BRUTOS'!BW$3:BW$500)))</f>
        <v/>
      </c>
      <c r="EX34" s="56">
        <f>IF(OR(EX$4="",$B34=""),0,SUMIF('DADOS BRUTOS'!$A$3:$A$500,$B34,'DADOS BRUTOS'!BX$3:BX$500)+IF($C34="",0,SUMIF('DADOS BRUTOS'!$A$3:$A$500,$C34,'DADOS BRUTOS'!BX$3:BX$500)))</f>
        <v/>
      </c>
      <c r="EY34" s="56">
        <f>IF(OR(EY$4="",$B34=""),0,SUMIF('DADOS BRUTOS'!$A$3:$A$500,$B34,'DADOS BRUTOS'!BY$3:BY$500)+IF($C34="",0,SUMIF('DADOS BRUTOS'!$A$3:$A$500,$C34,'DADOS BRUTOS'!BY$3:BY$500)))</f>
        <v/>
      </c>
      <c r="EZ34" s="56">
        <f>IF(OR(EZ$4="",$B34=""),0,SUMIF('DADOS BRUTOS'!$A$3:$A$500,$B34,'DADOS BRUTOS'!BZ$3:BZ$500)+IF($C34="",0,SUMIF('DADOS BRUTOS'!$A$3:$A$500,$C34,'DADOS BRUTOS'!BZ$3:BZ$500)))</f>
        <v/>
      </c>
      <c r="FA34" s="56">
        <f>IF(OR(FA$4="",$B34=""),0,SUMIF('DADOS BRUTOS'!$A$3:$A$500,$B34,'DADOS BRUTOS'!CA$3:CA$500)+IF($C34="",0,SUMIF('DADOS BRUTOS'!$A$3:$A$500,$C34,'DADOS BRUTOS'!CA$3:CA$500)))</f>
        <v/>
      </c>
      <c r="FB34" s="56">
        <f>IF(OR(FB$4="",$B34=""),0,SUMIF('DADOS BRUTOS'!$A$3:$A$500,$B34,'DADOS BRUTOS'!CB$3:CB$500)+IF($C34="",0,SUMIF('DADOS BRUTOS'!$A$3:$A$500,$C34,'DADOS BRUTOS'!CB$3:CB$500)))</f>
        <v/>
      </c>
      <c r="FC34" s="56">
        <f>IF(OR(FC$4="",$B34=""),0,SUMIF('DADOS BRUTOS'!$A$3:$A$500,$B34,'DADOS BRUTOS'!CC$3:CC$500)+IF($C34="",0,SUMIF('DADOS BRUTOS'!$A$3:$A$500,$C34,'DADOS BRUTOS'!CC$3:CC$500)))</f>
        <v/>
      </c>
      <c r="FD34" s="56">
        <f>IF(OR(FD$4="",$B34=""),0,SUMIF('DADOS BRUTOS'!$A$3:$A$500,$B34,'DADOS BRUTOS'!CD$3:CD$500)+IF($C34="",0,SUMIF('DADOS BRUTOS'!$A$3:$A$500,$C34,'DADOS BRUTOS'!CD$3:CD$500)))</f>
        <v/>
      </c>
      <c r="FE34" s="56">
        <f>IF(OR(FE$4="",$B34=""),0,SUMIF('DADOS BRUTOS'!$A$3:$A$500,$B34,'DADOS BRUTOS'!CE$3:CE$500)+IF($C34="",0,SUMIF('DADOS BRUTOS'!$A$3:$A$500,$C34,'DADOS BRUTOS'!CE$3:CE$500)))</f>
        <v/>
      </c>
      <c r="FF34" s="56">
        <f>IF(OR(FF$4="",$B34=""),0,SUMIF('DADOS BRUTOS'!$A$3:$A$500,$B34,'DADOS BRUTOS'!CF$3:CF$500)+IF($C34="",0,SUMIF('DADOS BRUTOS'!$A$3:$A$500,$C34,'DADOS BRUTOS'!CF$3:CF$500)))</f>
        <v/>
      </c>
      <c r="FG34" s="56">
        <f>IF(OR(FG$4="",$B34=""),0,SUMIF('DADOS BRUTOS'!$A$3:$A$500,$B34,'DADOS BRUTOS'!CG$3:CG$500)+IF($C34="",0,SUMIF('DADOS BRUTOS'!$A$3:$A$500,$C34,'DADOS BRUTOS'!CG$3:CG$500)))</f>
        <v/>
      </c>
      <c r="FH34" s="56">
        <f>IF(OR(FH$4="",$B34=""),0,SUMIF('DADOS BRUTOS'!$A$3:$A$500,$B34,'DADOS BRUTOS'!CH$3:CH$500)+IF($C34="",0,SUMIF('DADOS BRUTOS'!$A$3:$A$500,$C34,'DADOS BRUTOS'!CH$3:CH$500)))</f>
        <v/>
      </c>
      <c r="FI34" s="56">
        <f>IF(OR(FI$4="",$B34=""),0,SUMIF('DADOS BRUTOS'!$A$3:$A$500,$B34,'DADOS BRUTOS'!CI$3:CI$500)+IF($C34="",0,SUMIF('DADOS BRUTOS'!$A$3:$A$500,$C34,'DADOS BRUTOS'!CI$3:CI$500)))</f>
        <v/>
      </c>
      <c r="FJ34" s="56">
        <f>IF(OR(FJ$4="",$B34=""),0,SUMIF('DADOS BRUTOS'!$A$3:$A$500,$B34,'DADOS BRUTOS'!CJ$3:CJ$500)+IF($C34="",0,SUMIF('DADOS BRUTOS'!$A$3:$A$500,$C34,'DADOS BRUTOS'!CJ$3:CJ$500)))</f>
        <v/>
      </c>
      <c r="FK34" s="56">
        <f>IF(OR(FK$4="",$B34=""),0,SUMIF('DADOS BRUTOS'!$A$3:$A$500,$B34,'DADOS BRUTOS'!CK$3:CK$500)+IF($C34="",0,SUMIF('DADOS BRUTOS'!$A$3:$A$500,$C34,'DADOS BRUTOS'!CK$3:CK$500)))</f>
        <v/>
      </c>
      <c r="FL34" s="56">
        <f>IF(OR(FL$4="",$B34=""),0,SUMIF('DADOS BRUTOS'!$A$3:$A$500,$B34,'DADOS BRUTOS'!CL$3:CL$500)+IF($C34="",0,SUMIF('DADOS BRUTOS'!$A$3:$A$500,$C34,'DADOS BRUTOS'!CL$3:CL$500)))</f>
        <v/>
      </c>
      <c r="FM34" s="56">
        <f>IF(OR(FM$4="",$B34=""),0,SUMIF('DADOS BRUTOS'!$A$3:$A$500,$B34,'DADOS BRUTOS'!CM$3:CM$500)+IF($C34="",0,SUMIF('DADOS BRUTOS'!$A$3:$A$500,$C34,'DADOS BRUTOS'!CM$3:CM$500)))</f>
        <v/>
      </c>
      <c r="FN34" s="56">
        <f>IF(OR(FN$4="",$B34=""),0,SUMIF('DADOS BRUTOS'!$A$3:$A$500,$B34,'DADOS BRUTOS'!CN$3:CN$500)+IF($C34="",0,SUMIF('DADOS BRUTOS'!$A$3:$A$500,$C34,'DADOS BRUTOS'!CN$3:CN$500)))</f>
        <v/>
      </c>
      <c r="FO34" s="56">
        <f>IF(OR(FO$4="",$B34=""),0,SUMIF('DADOS BRUTOS'!$A$3:$A$500,$B34,'DADOS BRUTOS'!CO$3:CO$500)+IF($C34="",0,SUMIF('DADOS BRUTOS'!$A$3:$A$500,$C34,'DADOS BRUTOS'!CO$3:CO$500)))</f>
        <v/>
      </c>
      <c r="FP34" s="56">
        <f>IF(OR(FP$4="",$B34=""),0,SUMIF('DADOS BRUTOS'!$A$3:$A$500,$B34,'DADOS BRUTOS'!CP$3:CP$500)+IF($C34="",0,SUMIF('DADOS BRUTOS'!$A$3:$A$500,$C34,'DADOS BRUTOS'!CP$3:CP$500)))</f>
        <v/>
      </c>
      <c r="FQ34" s="56">
        <f>IF(OR(FQ$4="",$B34=""),0,SUMIF('DADOS BRUTOS'!$A$3:$A$500,$B34,'DADOS BRUTOS'!CQ$3:CQ$500)+IF($C34="",0,SUMIF('DADOS BRUTOS'!$A$3:$A$500,$C34,'DADOS BRUTOS'!CQ$3:CQ$500)))</f>
        <v/>
      </c>
      <c r="FR34" s="56">
        <f>IF(OR(FR$4="",$B34=""),0,SUMIF('DADOS BRUTOS'!$A$3:$A$500,$B34,'DADOS BRUTOS'!CR$3:CR$500)+IF($C34="",0,SUMIF('DADOS BRUTOS'!$A$3:$A$500,$C34,'DADOS BRUTOS'!CR$3:CR$500)))</f>
        <v/>
      </c>
      <c r="FS34" s="56">
        <f>IF(OR(FS$4="",$B34=""),0,SUMIF('DADOS BRUTOS'!$A$3:$A$500,$B34,'DADOS BRUTOS'!CS$3:CS$500)+IF($C34="",0,SUMIF('DADOS BRUTOS'!$A$3:$A$500,$C34,'DADOS BRUTOS'!CS$3:CS$500)))</f>
        <v/>
      </c>
      <c r="FT34" s="56">
        <f>IF(OR(FT$4="",$B34=""),0,SUMIF('DADOS BRUTOS'!$A$3:$A$500,$B34,'DADOS BRUTOS'!CT$3:CT$500)+IF($C34="",0,SUMIF('DADOS BRUTOS'!$A$3:$A$500,$C34,'DADOS BRUTOS'!CT$3:CT$500)))</f>
        <v/>
      </c>
      <c r="FU34" s="56">
        <f>IF(OR(FU$4="",$B34=""),0,SUMIF('DADOS BRUTOS'!$A$3:$A$500,$B34,'DADOS BRUTOS'!CU$3:CU$500)+IF($C34="",0,SUMIF('DADOS BRUTOS'!$A$3:$A$500,$C34,'DADOS BRUTOS'!CU$3:CU$500)))</f>
        <v/>
      </c>
      <c r="FV34" s="56">
        <f>IF(OR(FV$4="",$B34=""),0,SUMIF('DADOS BRUTOS'!$A$3:$A$500,$B34,'DADOS BRUTOS'!CV$3:CV$500)+IF($C34="",0,SUMIF('DADOS BRUTOS'!$A$3:$A$500,$C34,'DADOS BRUTOS'!CV$3:CV$500)))</f>
        <v/>
      </c>
      <c r="FW34" s="56">
        <f>IF(OR(FW$4="",$B34=""),0,SUMIF('DADOS BRUTOS'!$A$3:$A$500,$B34,'DADOS BRUTOS'!CW$3:CW$500)+IF($C34="",0,SUMIF('DADOS BRUTOS'!$A$3:$A$500,$C34,'DADOS BRUTOS'!CW$3:CW$500)))</f>
        <v/>
      </c>
      <c r="FX34" s="56">
        <f>IF(OR(FX$4="",$B34=""),0,SUMIF('DADOS BRUTOS'!$A$3:$A$500,$B34,'DADOS BRUTOS'!CX$3:CX$500)+IF($C34="",0,SUMIF('DADOS BRUTOS'!$A$3:$A$500,$C34,'DADOS BRUTOS'!CX$3:CX$500)))</f>
        <v/>
      </c>
      <c r="FY34" s="56">
        <f>IF(OR(FY$4="",$B34=""),0,SUMIF('DADOS BRUTOS'!$A$3:$A$500,$B34,'DADOS BRUTOS'!CY$3:CY$500)+IF($C34="",0,SUMIF('DADOS BRUTOS'!$A$3:$A$500,$C34,'DADOS BRUTOS'!CY$3:CY$500)))</f>
        <v/>
      </c>
      <c r="FZ34" s="56">
        <f>IF(OR(FZ$4="",$B34=""),0,SUMIF('DADOS BRUTOS'!$A$3:$A$500,$B34,'DADOS BRUTOS'!CZ$3:CZ$500)+IF($C34="",0,SUMIF('DADOS BRUTOS'!$A$3:$A$500,$C34,'DADOS BRUTOS'!CZ$3:CZ$500)))</f>
        <v/>
      </c>
      <c r="GA34" s="56">
        <f>IF(OR(GA$4="",$B34=""),0,SUMIF('DADOS BRUTOS'!$A$3:$A$500,$B34,'DADOS BRUTOS'!DA$3:DA$500)+IF($C34="",0,SUMIF('DADOS BRUTOS'!$A$3:$A$500,$C34,'DADOS BRUTOS'!DA$3:DA$500)))</f>
        <v/>
      </c>
      <c r="GB34" s="56">
        <f>IF(OR(GB$4="",$B34=""),0,SUMIF('DADOS BRUTOS'!$A$3:$A$500,$B34,'DADOS BRUTOS'!DB$3:DB$500)+IF($C34="",0,SUMIF('DADOS BRUTOS'!$A$3:$A$500,$C34,'DADOS BRUTOS'!DB$3:DB$500)))</f>
        <v/>
      </c>
      <c r="GC34" s="56">
        <f>IF(OR(GC$4="",$B34=""),0,SUMIF('DADOS BRUTOS'!$A$3:$A$500,$B34,'DADOS BRUTOS'!DC$3:DC$500)+IF($C34="",0,SUMIF('DADOS BRUTOS'!$A$3:$A$500,$C34,'DADOS BRUTOS'!DC$3:DC$500)))</f>
        <v/>
      </c>
      <c r="GD34" s="56">
        <f>IF(OR(GD$4="",$B34=""),0,SUMIF('DADOS BRUTOS'!$A$3:$A$500,$B34,'DADOS BRUTOS'!DD$3:DD$500)+IF($C34="",0,SUMIF('DADOS BRUTOS'!$A$3:$A$500,$C34,'DADOS BRUTOS'!DD$3:DD$500)))</f>
        <v/>
      </c>
      <c r="GE34" s="56">
        <f>IF(OR(GE$4="",$B34=""),0,SUMIF('DADOS BRUTOS'!$A$3:$A$500,$B34,'DADOS BRUTOS'!DE$3:DE$500)+IF($C34="",0,SUMIF('DADOS BRUTOS'!$A$3:$A$500,$C34,'DADOS BRUTOS'!DE$3:DE$500)))</f>
        <v/>
      </c>
      <c r="GF34" s="56">
        <f>IF(OR(GF$4="",$B34=""),0,SUMIF('DADOS BRUTOS'!$A$3:$A$500,$B34,'DADOS BRUTOS'!DF$3:DF$500)+IF($C34="",0,SUMIF('DADOS BRUTOS'!$A$3:$A$500,$C34,'DADOS BRUTOS'!DF$3:DF$500)))</f>
        <v/>
      </c>
      <c r="GG34" s="56">
        <f>IF(OR(GG$4="",$B34=""),0,SUMIF('DADOS BRUTOS'!$A$3:$A$500,$B34,'DADOS BRUTOS'!DG$3:DG$500)+IF($C34="",0,SUMIF('DADOS BRUTOS'!$A$3:$A$500,$C34,'DADOS BRUTOS'!DG$3:DG$500)))</f>
        <v/>
      </c>
      <c r="GH34" s="56">
        <f>IF(OR(GH$4="",$B34=""),0,SUMIF('DADOS BRUTOS'!$A$3:$A$500,$B34,'DADOS BRUTOS'!DH$3:DH$500)+IF($C34="",0,SUMIF('DADOS BRUTOS'!$A$3:$A$500,$C34,'DADOS BRUTOS'!DH$3:DH$500)))</f>
        <v/>
      </c>
      <c r="GI34" s="56">
        <f>IF(OR(GI$4="",$B34=""),0,SUMIF('DADOS BRUTOS'!$A$3:$A$500,$B34,'DADOS BRUTOS'!DI$3:DI$500)+IF($C34="",0,SUMIF('DADOS BRUTOS'!$A$3:$A$500,$C34,'DADOS BRUTOS'!DI$3:DI$500)))</f>
        <v/>
      </c>
      <c r="GJ34" s="56">
        <f>IF(OR(GJ$4="",$B34=""),0,SUMIF('DADOS BRUTOS'!$A$3:$A$500,$B34,'DADOS BRUTOS'!DJ$3:DJ$500)+IF($C34="",0,SUMIF('DADOS BRUTOS'!$A$3:$A$500,$C34,'DADOS BRUTOS'!DJ$3:DJ$500)))</f>
        <v/>
      </c>
      <c r="GK34" s="56">
        <f>IF(OR(GK$4="",$B34=""),0,SUMIF('DADOS BRUTOS'!$A$3:$A$500,$B34,'DADOS BRUTOS'!DK$3:DK$500)+IF($C34="",0,SUMIF('DADOS BRUTOS'!$A$3:$A$500,$C34,'DADOS BRUTOS'!DK$3:DK$500)))</f>
        <v/>
      </c>
      <c r="GL34" s="56">
        <f>IF(OR(GL$4="",$B34=""),0,SUMIF('DADOS BRUTOS'!$A$3:$A$500,$B34,'DADOS BRUTOS'!DL$3:DL$500)+IF($C34="",0,SUMIF('DADOS BRUTOS'!$A$3:$A$500,$C34,'DADOS BRUTOS'!DL$3:DL$500)))</f>
        <v/>
      </c>
      <c r="GM34" s="56">
        <f>IF(OR(GM$4="",$B34=""),0,SUMIF('DADOS BRUTOS'!$A$3:$A$500,$B34,'DADOS BRUTOS'!DM$3:DM$500)+IF($C34="",0,SUMIF('DADOS BRUTOS'!$A$3:$A$500,$C34,'DADOS BRUTOS'!DM$3:DM$500)))</f>
        <v/>
      </c>
      <c r="GN34" s="56">
        <f>IF(OR(GN$4="",$B34=""),0,SUMIF('DADOS BRUTOS'!$A$3:$A$500,$B34,'DADOS BRUTOS'!DN$3:DN$500)+IF($C34="",0,SUMIF('DADOS BRUTOS'!$A$3:$A$500,$C34,'DADOS BRUTOS'!DN$3:DN$500)))</f>
        <v/>
      </c>
      <c r="GO34" s="56">
        <f>IF(OR(GO$4="",$B34=""),0,SUMIF('DADOS BRUTOS'!$A$3:$A$500,$B34,'DADOS BRUTOS'!DO$3:DO$500)+IF($C34="",0,SUMIF('DADOS BRUTOS'!$A$3:$A$500,$C34,'DADOS BRUTOS'!DO$3:DO$500)))</f>
        <v/>
      </c>
      <c r="GP34" s="56">
        <f>IF(OR(GP$4="",$B34=""),0,SUMIF('DADOS BRUTOS'!$A$3:$A$500,$B34,'DADOS BRUTOS'!DP$3:DP$500)+IF($C34="",0,SUMIF('DADOS BRUTOS'!$A$3:$A$500,$C34,'DADOS BRUTOS'!DP$3:DP$500)))</f>
        <v/>
      </c>
      <c r="GQ34" s="56">
        <f>IF(OR(GQ$4="",$B34=""),0,SUMIF('DADOS BRUTOS'!$A$3:$A$500,$B34,'DADOS BRUTOS'!DQ$3:DQ$500)+IF($C34="",0,SUMIF('DADOS BRUTOS'!$A$3:$A$500,$C34,'DADOS BRUTOS'!DQ$3:DQ$500)))</f>
        <v/>
      </c>
      <c r="GR34" s="56">
        <f>IF(OR(GR$4="",$B34=""),0,SUMIF('DADOS BRUTOS'!$A$3:$A$500,$B34,'DADOS BRUTOS'!DR$3:DR$500)+IF($C34="",0,SUMIF('DADOS BRUTOS'!$A$3:$A$500,$C34,'DADOS BRUTOS'!DR$3:DR$500)))</f>
        <v/>
      </c>
      <c r="GS34" s="56">
        <f>IF(OR(GS$4="",$B34=""),0,SUMIF('DADOS BRUTOS'!$A$3:$A$500,$B34,'DADOS BRUTOS'!DS$3:DS$500)+IF($C34="",0,SUMIF('DADOS BRUTOS'!$A$3:$A$500,$C34,'DADOS BRUTOS'!DS$3:DS$500)))</f>
        <v/>
      </c>
      <c r="GT34" s="56">
        <f>IF(OR(GT$4="",$B34=""),0,SUMIF('DADOS BRUTOS'!$A$3:$A$500,$B34,'DADOS BRUTOS'!DT$3:DT$500)+IF($C34="",0,SUMIF('DADOS BRUTOS'!$A$3:$A$500,$C34,'DADOS BRUTOS'!DT$3:DT$500)))</f>
        <v/>
      </c>
      <c r="GU34" s="56">
        <f>IF(OR(GU$4="",$B34=""),0,SUMIF('DADOS BRUTOS'!$A$3:$A$500,$B34,'DADOS BRUTOS'!DU$3:DU$500)+IF($C34="",0,SUMIF('DADOS BRUTOS'!$A$3:$A$500,$C34,'DADOS BRUTOS'!DU$3:DU$500)))</f>
        <v/>
      </c>
      <c r="GV34" s="56">
        <f>IF(OR(GV$4="",$B34=""),0,SUMIF('DADOS BRUTOS'!$A$3:$A$500,$B34,'DADOS BRUTOS'!DV$3:DV$500)+IF($C34="",0,SUMIF('DADOS BRUTOS'!$A$3:$A$500,$C34,'DADOS BRUTOS'!DV$3:DV$500)))</f>
        <v/>
      </c>
      <c r="GW34" s="56">
        <f>IF(OR(GW$4="",$B34=""),0,SUMIF('DADOS BRUTOS'!$A$3:$A$500,$B34,'DADOS BRUTOS'!DW$3:DW$500)+IF($C34="",0,SUMIF('DADOS BRUTOS'!$A$3:$A$500,$C34,'DADOS BRUTOS'!DW$3:DW$500)))</f>
        <v/>
      </c>
      <c r="GX34" s="56">
        <f>IF(OR(GX$4="",$B34=""),0,SUMIF('DADOS BRUTOS'!$A$3:$A$500,$B34,'DADOS BRUTOS'!DX$3:DX$500)+IF($C34="",0,SUMIF('DADOS BRUTOS'!$A$3:$A$500,$C34,'DADOS BRUTOS'!DX$3:DX$500)))</f>
        <v/>
      </c>
      <c r="GY34" s="56">
        <f>IF(OR(GY$4="",$B34=""),0,SUMIF('DADOS BRUTOS'!$A$3:$A$500,$B34,'DADOS BRUTOS'!DY$3:DY$500)+IF($C34="",0,SUMIF('DADOS BRUTOS'!$A$3:$A$500,$C34,'DADOS BRUTOS'!DY$3:DY$500)))</f>
        <v/>
      </c>
      <c r="GZ34" s="56">
        <f>IF(OR(GZ$4="",$B34=""),0,SUMIF('DADOS BRUTOS'!$A$3:$A$500,$B34,'DADOS BRUTOS'!DZ$3:DZ$500)+IF($C34="",0,SUMIF('DADOS BRUTOS'!$A$3:$A$500,$C34,'DADOS BRUTOS'!DZ$3:DZ$500)))</f>
        <v/>
      </c>
      <c r="HA34" s="56">
        <f>IF(OR(HA$4="",$B34=""),0,SUMIF('DADOS BRUTOS'!$A$3:$A$500,$B34,'DADOS BRUTOS'!EA$3:EA$500)+IF($C34="",0,SUMIF('DADOS BRUTOS'!$A$3:$A$500,$C34,'DADOS BRUTOS'!EA$3:EA$500)))</f>
        <v/>
      </c>
      <c r="HB34" s="56">
        <f>IF(OR(HB$4="",$B34=""),0,SUMIF('DADOS BRUTOS'!$A$3:$A$500,$B34,'DADOS BRUTOS'!EB$3:EB$500)+IF($C34="",0,SUMIF('DADOS BRUTOS'!$A$3:$A$500,$C34,'DADOS BRUTOS'!EB$3:EB$500)))</f>
        <v/>
      </c>
      <c r="HC34" s="56">
        <f>IF(OR(HC$4="",$B34=""),0,SUMIF('DADOS BRUTOS'!$A$3:$A$500,$B34,'DADOS BRUTOS'!EC$3:EC$500)+IF($C34="",0,SUMIF('DADOS BRUTOS'!$A$3:$A$500,$C34,'DADOS BRUTOS'!EC$3:EC$500)))</f>
        <v/>
      </c>
      <c r="HD34" s="56">
        <f>IF(OR(HD$4="",$B34=""),0,SUMIF('DADOS BRUTOS'!$A$3:$A$500,$B34,'DADOS BRUTOS'!ED$3:ED$500)+IF($C34="",0,SUMIF('DADOS BRUTOS'!$A$3:$A$500,$C34,'DADOS BRUTOS'!ED$3:ED$500)))</f>
        <v/>
      </c>
      <c r="HE34" s="56">
        <f>IF(OR(HE$4="",$B34=""),0,SUMIF('DADOS BRUTOS'!$A$3:$A$500,$B34,'DADOS BRUTOS'!EE$3:EE$500)+IF($C34="",0,SUMIF('DADOS BRUTOS'!$A$3:$A$500,$C34,'DADOS BRUTOS'!EE$3:EE$500)))</f>
        <v/>
      </c>
      <c r="HF34" s="56">
        <f>IF(OR(HF$4="",$B34=""),0,SUMIF('DADOS BRUTOS'!$A$3:$A$500,$B34,'DADOS BRUTOS'!EF$3:EF$500)+IF($C34="",0,SUMIF('DADOS BRUTOS'!$A$3:$A$500,$C34,'DADOS BRUTOS'!EF$3:EF$500)))</f>
        <v/>
      </c>
      <c r="HG34" s="56">
        <f>IF(OR(HG$4="",$B34=""),0,SUMIF('DADOS BRUTOS'!$A$3:$A$500,$B34,'DADOS BRUTOS'!EG$3:EG$500)+IF($C34="",0,SUMIF('DADOS BRUTOS'!$A$3:$A$500,$C34,'DADOS BRUTOS'!EG$3:EG$500)))</f>
        <v/>
      </c>
      <c r="HH34" s="56">
        <f>IF(OR(HH$4="",$B34=""),0,SUMIF('DADOS BRUTOS'!$A$3:$A$500,$B34,'DADOS BRUTOS'!EH$3:EH$500)+IF($C34="",0,SUMIF('DADOS BRUTOS'!$A$3:$A$500,$C34,'DADOS BRUTOS'!EH$3:EH$500)))</f>
        <v/>
      </c>
      <c r="HI34" s="56">
        <f>IF(OR(HI$4="",$B34=""),0,SUMIF('DADOS BRUTOS'!$A$3:$A$500,$B34,'DADOS BRUTOS'!EI$3:EI$500)+IF($C34="",0,SUMIF('DADOS BRUTOS'!$A$3:$A$500,$C34,'DADOS BRUTOS'!EI$3:EI$500)))</f>
        <v/>
      </c>
      <c r="HJ34" s="56">
        <f>IF(OR(HJ$4="",$B34=""),0,SUMIF('DADOS BRUTOS'!$A$3:$A$500,$B34,'DADOS BRUTOS'!EJ$3:EJ$500)+IF($C34="",0,SUMIF('DADOS BRUTOS'!$A$3:$A$500,$C34,'DADOS BRUTOS'!EJ$3:EJ$500)))</f>
        <v/>
      </c>
      <c r="HK34" s="56">
        <f>IF(OR(HK$4="",$B34=""),0,SUMIF('DADOS BRUTOS'!$A$3:$A$500,$B34,'DADOS BRUTOS'!EK$3:EK$500)+IF($C34="",0,SUMIF('DADOS BRUTOS'!$A$3:$A$500,$C34,'DADOS BRUTOS'!EK$3:EK$500)))</f>
        <v/>
      </c>
      <c r="HL34" s="56">
        <f>IF(OR(HL$4="",$B34=""),0,SUMIF('DADOS BRUTOS'!$A$3:$A$500,$B34,'DADOS BRUTOS'!EL$3:EL$500)+IF($C34="",0,SUMIF('DADOS BRUTOS'!$A$3:$A$500,$C34,'DADOS BRUTOS'!EL$3:EL$500)))</f>
        <v/>
      </c>
      <c r="HM34" s="56">
        <f>IF(OR(HM$4="",$B34=""),0,SUMIF('DADOS BRUTOS'!$A$3:$A$500,$B34,'DADOS BRUTOS'!EM$3:EM$500)+IF($C34="",0,SUMIF('DADOS BRUTOS'!$A$3:$A$500,$C34,'DADOS BRUTOS'!EM$3:EM$500)))</f>
        <v/>
      </c>
      <c r="HN34" s="56">
        <f>IF(OR(HN$4="",$B34=""),0,SUMIF('DADOS BRUTOS'!$A$3:$A$500,$B34,'DADOS BRUTOS'!EN$3:EN$500)+IF($C34="",0,SUMIF('DADOS BRUTOS'!$A$3:$A$500,$C34,'DADOS BRUTOS'!EN$3:EN$500)))</f>
        <v/>
      </c>
      <c r="HO34" s="56">
        <f>IF(OR(HO$4="",$B34=""),0,SUMIF('DADOS BRUTOS'!$A$3:$A$500,$B34,'DADOS BRUTOS'!EO$3:EO$500)+IF($C34="",0,SUMIF('DADOS BRUTOS'!$A$3:$A$500,$C34,'DADOS BRUTOS'!EO$3:EO$500)))</f>
        <v/>
      </c>
      <c r="HP34" s="56">
        <f>IF(OR(HP$4="",$B34=""),0,SUMIF('DADOS BRUTOS'!$A$3:$A$500,$B34,'DADOS BRUTOS'!EP$3:EP$500)+IF($C34="",0,SUMIF('DADOS BRUTOS'!$A$3:$A$500,$C34,'DADOS BRUTOS'!EP$3:EP$500)))</f>
        <v/>
      </c>
      <c r="HQ34" s="56">
        <f>IF(OR(HQ$4="",$B34=""),0,SUMIF('DADOS BRUTOS'!$A$3:$A$500,$B34,'DADOS BRUTOS'!EQ$3:EQ$500)+IF($C34="",0,SUMIF('DADOS BRUTOS'!$A$3:$A$500,$C34,'DADOS BRUTOS'!EQ$3:EQ$500)))</f>
        <v/>
      </c>
      <c r="HR34" s="56">
        <f>IF(OR(HR$4="",$B34=""),0,SUMIF('DADOS BRUTOS'!$A$3:$A$500,$B34,'DADOS BRUTOS'!ER$3:ER$500)+IF($C34="",0,SUMIF('DADOS BRUTOS'!$A$3:$A$500,$C34,'DADOS BRUTOS'!ER$3:ER$500)))</f>
        <v/>
      </c>
      <c r="HS34" s="56">
        <f>IF(OR(HS$4="",$B34=""),0,SUMIF('DADOS BRUTOS'!$A$3:$A$500,$B34,'DADOS BRUTOS'!ES$3:ES$500)+IF($C34="",0,SUMIF('DADOS BRUTOS'!$A$3:$A$500,$C34,'DADOS BRUTOS'!ES$3:ES$500)))</f>
        <v/>
      </c>
      <c r="HT34" s="56">
        <f>IF(OR(HT$4="",$B34=""),0,SUMIF('DADOS BRUTOS'!$A$3:$A$500,$B34,'DADOS BRUTOS'!ET$3:ET$500)+IF($C34="",0,SUMIF('DADOS BRUTOS'!$A$3:$A$500,$C34,'DADOS BRUTOS'!ET$3:ET$500)))</f>
        <v/>
      </c>
      <c r="HU34" s="56">
        <f>IF(OR(HU$4="",$B34=""),0,SUMIF('DADOS BRUTOS'!$A$3:$A$500,$B34,'DADOS BRUTOS'!EU$3:EU$500)+IF($C34="",0,SUMIF('DADOS BRUTOS'!$A$3:$A$500,$C34,'DADOS BRUTOS'!EU$3:EU$500)))</f>
        <v/>
      </c>
      <c r="HV34" s="56">
        <f>IF(OR(HV$4="",$B34=""),0,SUMIF('DADOS BRUTOS'!$A$3:$A$500,$B34,'DADOS BRUTOS'!EV$3:EV$500)+IF($C34="",0,SUMIF('DADOS BRUTOS'!$A$3:$A$500,$C34,'DADOS BRUTOS'!EV$3:EV$500)))</f>
        <v/>
      </c>
      <c r="HW34" s="56">
        <f>IF(OR(HW$4="",$B34=""),0,SUMIF('DADOS BRUTOS'!$A$3:$A$500,$B34,'DADOS BRUTOS'!EW$3:EW$500)+IF($C34="",0,SUMIF('DADOS BRUTOS'!$A$3:$A$500,$C34,'DADOS BRUTOS'!EW$3:EW$500)))</f>
        <v/>
      </c>
      <c r="HX34" s="56">
        <f>IF(OR(HX$4="",$B34=""),0,SUMIF('DADOS BRUTOS'!$A$3:$A$500,$B34,'DADOS BRUTOS'!EX$3:EX$500)+IF($C34="",0,SUMIF('DADOS BRUTOS'!$A$3:$A$500,$C34,'DADOS BRUTOS'!EX$3:EX$500)))</f>
        <v/>
      </c>
      <c r="HY34" s="56">
        <f>IF(OR(HY$4="",$B34=""),0,SUMIF('DADOS BRUTOS'!$A$3:$A$500,$B34,'DADOS BRUTOS'!EY$3:EY$500)+IF($C34="",0,SUMIF('DADOS BRUTOS'!$A$3:$A$500,$C34,'DADOS BRUTOS'!EY$3:EY$500)))</f>
        <v/>
      </c>
      <c r="HZ34" s="56">
        <f>IF(OR(HZ$4="",$B34=""),0,SUMIF('DADOS BRUTOS'!$A$3:$A$500,$B34,'DADOS BRUTOS'!EZ$3:EZ$500)+IF($C34="",0,SUMIF('DADOS BRUTOS'!$A$3:$A$500,$C34,'DADOS BRUTOS'!EZ$3:EZ$500)))</f>
        <v/>
      </c>
      <c r="IA34" s="56">
        <f>IF(OR(IA$4="",$B34=""),0,SUMIF('DADOS BRUTOS'!$A$3:$A$500,$B34,'DADOS BRUTOS'!FA$3:FA$500)+IF($C34="",0,SUMIF('DADOS BRUTOS'!$A$3:$A$500,$C34,'DADOS BRUTOS'!FA$3:FA$500)))</f>
        <v/>
      </c>
      <c r="IB34" s="56">
        <f>IF(OR(IB$4="",$B34=""),0,SUMIF('DADOS BRUTOS'!$A$3:$A$500,$B34,'DADOS BRUTOS'!FB$3:FB$500)+IF($C34="",0,SUMIF('DADOS BRUTOS'!$A$3:$A$500,$C34,'DADOS BRUTOS'!FB$3:FB$500)))</f>
        <v/>
      </c>
      <c r="IC34" s="56">
        <f>IF(OR(IC$4="",$B34=""),0,SUMIF('DADOS BRUTOS'!$A$3:$A$500,$B34,'DADOS BRUTOS'!FC$3:FC$500)+IF($C34="",0,SUMIF('DADOS BRUTOS'!$A$3:$A$500,$C34,'DADOS BRUTOS'!FC$3:FC$500)))</f>
        <v/>
      </c>
      <c r="ID34" s="56">
        <f>IF(OR(ID$4="",$B34=""),0,SUMIF('DADOS BRUTOS'!$A$3:$A$500,$B34,'DADOS BRUTOS'!FD$3:FD$500)+IF($C34="",0,SUMIF('DADOS BRUTOS'!$A$3:$A$500,$C34,'DADOS BRUTOS'!FD$3:FD$500)))</f>
        <v/>
      </c>
      <c r="IE34" s="56">
        <f>IF(OR(IE$4="",$B34=""),0,SUMIF('DADOS BRUTOS'!$A$3:$A$500,$B34,'DADOS BRUTOS'!FE$3:FE$500)+IF($C34="",0,SUMIF('DADOS BRUTOS'!$A$3:$A$500,$C34,'DADOS BRUTOS'!FE$3:FE$500)))</f>
        <v/>
      </c>
      <c r="IF34" s="56">
        <f>IF(OR(IF$4="",$B34=""),0,SUMIF('DADOS BRUTOS'!$A$3:$A$500,$B34,'DADOS BRUTOS'!FF$3:FF$500)+IF($C34="",0,SUMIF('DADOS BRUTOS'!$A$3:$A$500,$C34,'DADOS BRUTOS'!FF$3:FF$500)))</f>
        <v/>
      </c>
      <c r="IG34" s="56">
        <f>IF(OR(IG$4="",$B34=""),0,SUMIF('DADOS BRUTOS'!$A$3:$A$500,$B34,'DADOS BRUTOS'!FG$3:FG$500)+IF($C34="",0,SUMIF('DADOS BRUTOS'!$A$3:$A$500,$C34,'DADOS BRUTOS'!FG$3:FG$500)))</f>
        <v/>
      </c>
      <c r="IH34" s="56">
        <f>IF(OR(IH$4="",$B34=""),0,SUMIF('DADOS BRUTOS'!$A$3:$A$500,$B34,'DADOS BRUTOS'!FH$3:FH$500)+IF($C34="",0,SUMIF('DADOS BRUTOS'!$A$3:$A$500,$C34,'DADOS BRUTOS'!FH$3:FH$500)))</f>
        <v/>
      </c>
      <c r="II34" s="56">
        <f>IF(OR(II$4="",$B34=""),0,SUMIF('DADOS BRUTOS'!$A$3:$A$500,$B34,'DADOS BRUTOS'!FI$3:FI$500)+IF($C34="",0,SUMIF('DADOS BRUTOS'!$A$3:$A$500,$C34,'DADOS BRUTOS'!FI$3:FI$500)))</f>
        <v/>
      </c>
      <c r="IJ34" s="56">
        <f>IF(OR(IJ$4="",$B34=""),0,SUMIF('DADOS BRUTOS'!$A$3:$A$500,$B34,'DADOS BRUTOS'!FJ$3:FJ$500)+IF($C34="",0,SUMIF('DADOS BRUTOS'!$A$3:$A$500,$C34,'DADOS BRUTOS'!FJ$3:FJ$500)))</f>
        <v/>
      </c>
      <c r="IK34" s="56">
        <f>IF(OR(IK$4="",$B34=""),0,SUMIF('DADOS BRUTOS'!$A$3:$A$500,$B34,'DADOS BRUTOS'!FK$3:FK$500)+IF($C34="",0,SUMIF('DADOS BRUTOS'!$A$3:$A$500,$C34,'DADOS BRUTOS'!FK$3:FK$500)))</f>
        <v/>
      </c>
      <c r="IL34" s="56">
        <f>IF(OR(IL$4="",$B34=""),0,SUMIF('DADOS BRUTOS'!$A$3:$A$500,$B34,'DADOS BRUTOS'!FL$3:FL$500)+IF($C34="",0,SUMIF('DADOS BRUTOS'!$A$3:$A$500,$C34,'DADOS BRUTOS'!FL$3:FL$500)))</f>
        <v/>
      </c>
      <c r="IM34" s="56">
        <f>IF(OR(IM$4="",$B34=""),0,SUMIF('DADOS BRUTOS'!$A$3:$A$500,$B34,'DADOS BRUTOS'!FM$3:FM$500)+IF($C34="",0,SUMIF('DADOS BRUTOS'!$A$3:$A$500,$C34,'DADOS BRUTOS'!FM$3:FM$500)))</f>
        <v/>
      </c>
      <c r="IN34" s="56">
        <f>IF(OR(IN$4="",$B34=""),0,SUMIF('DADOS BRUTOS'!$A$3:$A$500,$B34,'DADOS BRUTOS'!FN$3:FN$500)+IF($C34="",0,SUMIF('DADOS BRUTOS'!$A$3:$A$500,$C34,'DADOS BRUTOS'!FN$3:FN$500)))</f>
        <v/>
      </c>
      <c r="IO34" s="56">
        <f>IF(OR(IO$4="",$B34=""),0,SUMIF('DADOS BRUTOS'!$A$3:$A$500,$B34,'DADOS BRUTOS'!FO$3:FO$500)+IF($C34="",0,SUMIF('DADOS BRUTOS'!$A$3:$A$500,$C34,'DADOS BRUTOS'!FO$3:FO$500)))</f>
        <v/>
      </c>
      <c r="IP34" s="56">
        <f>IF(OR(IP$4="",$B34=""),0,SUMIF('DADOS BRUTOS'!$A$3:$A$500,$B34,'DADOS BRUTOS'!FP$3:FP$500)+IF($C34="",0,SUMIF('DADOS BRUTOS'!$A$3:$A$500,$C34,'DADOS BRUTOS'!FP$3:FP$500)))</f>
        <v/>
      </c>
      <c r="IQ34" s="56">
        <f>IF(OR(IQ$4="",$B34=""),0,SUMIF('DADOS BRUTOS'!$A$3:$A$500,$B34,'DADOS BRUTOS'!FQ$3:FQ$500)+IF($C34="",0,SUMIF('DADOS BRUTOS'!$A$3:$A$500,$C34,'DADOS BRUTOS'!FQ$3:FQ$500)))</f>
        <v/>
      </c>
      <c r="IR34" s="56">
        <f>IF(OR(IR$4="",$B34=""),0,SUMIF('DADOS BRUTOS'!$A$3:$A$500,$B34,'DADOS BRUTOS'!FR$3:FR$500)+IF($C34="",0,SUMIF('DADOS BRUTOS'!$A$3:$A$500,$C34,'DADOS BRUTOS'!FR$3:FR$500)))</f>
        <v/>
      </c>
      <c r="IS34" s="56">
        <f>IF(OR(IS$4="",$B34=""),0,SUMIF('DADOS BRUTOS'!$A$3:$A$500,$B34,'DADOS BRUTOS'!FS$3:FS$500)+IF($C34="",0,SUMIF('DADOS BRUTOS'!$A$3:$A$500,$C34,'DADOS BRUTOS'!FS$3:FS$500)))</f>
        <v/>
      </c>
      <c r="IT34" s="56">
        <f>IF(OR(IT$4="",$B34=""),0,SUMIF('DADOS BRUTOS'!$A$3:$A$500,$B34,'DADOS BRUTOS'!FT$3:FT$500)+IF($C34="",0,SUMIF('DADOS BRUTOS'!$A$3:$A$500,$C34,'DADOS BRUTOS'!FT$3:FT$500)))</f>
        <v/>
      </c>
      <c r="IU34" s="56">
        <f>IF(OR(IU$4="",$B34=""),0,SUMIF('DADOS BRUTOS'!$A$3:$A$500,$B34,'DADOS BRUTOS'!FU$3:FU$500)+IF($C34="",0,SUMIF('DADOS BRUTOS'!$A$3:$A$500,$C34,'DADOS BRUTOS'!FU$3:FU$500)))</f>
        <v/>
      </c>
      <c r="IV34" s="56">
        <f>IF(OR(IV$4="",$B34=""),0,SUMIF('DADOS BRUTOS'!$A$3:$A$500,$B34,'DADOS BRUTOS'!FV$3:FV$500)+IF($C34="",0,SUMIF('DADOS BRUTOS'!$A$3:$A$500,$C34,'DADOS BRUTOS'!FV$3:FV$500)))</f>
        <v/>
      </c>
      <c r="IW34" s="56">
        <f>IF(OR(IW$4="",$B34=""),0,SUMIF('DADOS BRUTOS'!$A$3:$A$500,$B34,'DADOS BRUTOS'!FW$3:FW$500)+IF($C34="",0,SUMIF('DADOS BRUTOS'!$A$3:$A$500,$C34,'DADOS BRUTOS'!FW$3:FW$500)))</f>
        <v/>
      </c>
      <c r="IX34" s="56">
        <f>IF(OR(IX$4="",$B34=""),0,SUMIF('DADOS BRUTOS'!$A$3:$A$500,$B34,'DADOS BRUTOS'!FX$3:FX$500)+IF($C34="",0,SUMIF('DADOS BRUTOS'!$A$3:$A$500,$C34,'DADOS BRUTOS'!FX$3:FX$500)))</f>
        <v/>
      </c>
      <c r="IY34" s="56">
        <f>IF(OR(IY$4="",$B34=""),0,SUMIF('DADOS BRUTOS'!$A$3:$A$500,$B34,'DADOS BRUTOS'!FY$3:FY$500)+IF($C34="",0,SUMIF('DADOS BRUTOS'!$A$3:$A$500,$C34,'DADOS BRUTOS'!FY$3:FY$500)))</f>
        <v/>
      </c>
      <c r="IZ34" s="56">
        <f>IF(OR(IZ$4="",$B34=""),0,SUMIF('DADOS BRUTOS'!$A$3:$A$500,$B34,'DADOS BRUTOS'!FZ$3:FZ$500)+IF($C34="",0,SUMIF('DADOS BRUTOS'!$A$3:$A$500,$C34,'DADOS BRUTOS'!FZ$3:FZ$500)))</f>
        <v/>
      </c>
      <c r="JA34" s="56">
        <f>IF(OR(JA$4="",$B34=""),0,SUMIF('DADOS BRUTOS'!$A$3:$A$500,$B34,'DADOS BRUTOS'!GA$3:GA$500)+IF($C34="",0,SUMIF('DADOS BRUTOS'!$A$3:$A$500,$C34,'DADOS BRUTOS'!GA$3:GA$500)))</f>
        <v/>
      </c>
      <c r="JB34" s="56">
        <f>IF(OR(JB$4="",$B34=""),0,SUMIF('DADOS BRUTOS'!$A$3:$A$500,$B34,'DADOS BRUTOS'!GB$3:GB$500)+IF($C34="",0,SUMIF('DADOS BRUTOS'!$A$3:$A$500,$C34,'DADOS BRUTOS'!GB$3:GB$500)))</f>
        <v/>
      </c>
      <c r="JC34" s="56">
        <f>IF(OR(JC$4="",$B34=""),0,SUMIF('DADOS BRUTOS'!$A$3:$A$500,$B34,'DADOS BRUTOS'!GC$3:GC$500)+IF($C34="",0,SUMIF('DADOS BRUTOS'!$A$3:$A$500,$C34,'DADOS BRUTOS'!GC$3:GC$500)))</f>
        <v/>
      </c>
      <c r="JD34" s="56">
        <f>IF(OR(JD$4="",$B34=""),0,SUMIF('DADOS BRUTOS'!$A$3:$A$500,$B34,'DADOS BRUTOS'!GD$3:GD$500)+IF($C34="",0,SUMIF('DADOS BRUTOS'!$A$3:$A$500,$C34,'DADOS BRUTOS'!GD$3:GD$500)))</f>
        <v/>
      </c>
      <c r="JE34" s="56">
        <f>IF(OR(JE$4="",$B34=""),0,SUMIF('DADOS BRUTOS'!$A$3:$A$500,$B34,'DADOS BRUTOS'!GE$3:GE$500)+IF($C34="",0,SUMIF('DADOS BRUTOS'!$A$3:$A$500,$C34,'DADOS BRUTOS'!GE$3:GE$500)))</f>
        <v/>
      </c>
      <c r="JF34" s="56">
        <f>IF(OR(JF$4="",$B34=""),0,SUMIF('DADOS BRUTOS'!$A$3:$A$500,$B34,'DADOS BRUTOS'!GF$3:GF$500)+IF($C34="",0,SUMIF('DADOS BRUTOS'!$A$3:$A$500,$C34,'DADOS BRUTOS'!GF$3:GF$500)))</f>
        <v/>
      </c>
      <c r="JG34" s="56">
        <f>IF(OR(JG$4="",$B34=""),0,SUMIF('DADOS BRUTOS'!$A$3:$A$500,$B34,'DADOS BRUTOS'!GG$3:GG$500)+IF($C34="",0,SUMIF('DADOS BRUTOS'!$A$3:$A$500,$C34,'DADOS BRUTOS'!GG$3:GG$500)))</f>
        <v/>
      </c>
      <c r="JH34" s="56">
        <f>IF(OR(JH$4="",$B34=""),0,SUMIF('DADOS BRUTOS'!$A$3:$A$500,$B34,'DADOS BRUTOS'!GH$3:GH$500)+IF($C34="",0,SUMIF('DADOS BRUTOS'!$A$3:$A$500,$C34,'DADOS BRUTOS'!GH$3:GH$500)))</f>
        <v/>
      </c>
      <c r="JI34" s="56">
        <f>IF(OR(JI$4="",$B34=""),0,SUMIF('DADOS BRUTOS'!$A$3:$A$500,$B34,'DADOS BRUTOS'!GI$3:GI$500)+IF($C34="",0,SUMIF('DADOS BRUTOS'!$A$3:$A$500,$C34,'DADOS BRUTOS'!GI$3:GI$500)))</f>
        <v/>
      </c>
      <c r="JJ34" s="56">
        <f>IF(OR(JJ$4="",$B34=""),0,SUMIF('DADOS BRUTOS'!$A$3:$A$500,$B34,'DADOS BRUTOS'!GJ$3:GJ$500)+IF($C34="",0,SUMIF('DADOS BRUTOS'!$A$3:$A$500,$C34,'DADOS BRUTOS'!GJ$3:GJ$500)))</f>
        <v/>
      </c>
      <c r="JK34" s="56">
        <f>IF(OR(JK$4="",$B34=""),0,SUMIF('DADOS BRUTOS'!$A$3:$A$500,$B34,'DADOS BRUTOS'!GK$3:GK$500)+IF($C34="",0,SUMIF('DADOS BRUTOS'!$A$3:$A$500,$C34,'DADOS BRUTOS'!GK$3:GK$500)))</f>
        <v/>
      </c>
      <c r="JL34" s="56">
        <f>IF(OR(JL$4="",$B34=""),0,SUMIF('DADOS BRUTOS'!$A$3:$A$500,$B34,'DADOS BRUTOS'!GL$3:GL$500)+IF($C34="",0,SUMIF('DADOS BRUTOS'!$A$3:$A$500,$C34,'DADOS BRUTOS'!GL$3:GL$500)))</f>
        <v/>
      </c>
      <c r="JM34" s="56">
        <f>IF(OR(JM$4="",$B34=""),0,SUMIF('DADOS BRUTOS'!$A$3:$A$500,$B34,'DADOS BRUTOS'!GM$3:GM$500)+IF($C34="",0,SUMIF('DADOS BRUTOS'!$A$3:$A$500,$C34,'DADOS BRUTOS'!GM$3:GM$500)))</f>
        <v/>
      </c>
      <c r="JN34" s="56">
        <f>IF(OR(JN$4="",$B34=""),0,SUMIF('DADOS BRUTOS'!$A$3:$A$500,$B34,'DADOS BRUTOS'!GN$3:GN$500)+IF($C34="",0,SUMIF('DADOS BRUTOS'!$A$3:$A$500,$C34,'DADOS BRUTOS'!GN$3:GN$500)))</f>
        <v/>
      </c>
      <c r="JO34" s="56">
        <f>IF(OR(JO$4="",$B34=""),0,SUMIF('DADOS BRUTOS'!$A$3:$A$500,$B34,'DADOS BRUTOS'!GO$3:GO$500)+IF($C34="",0,SUMIF('DADOS BRUTOS'!$A$3:$A$500,$C34,'DADOS BRUTOS'!GO$3:GO$500)))</f>
        <v/>
      </c>
      <c r="JP34" s="56">
        <f>IF(OR(JP$4="",$B34=""),0,SUMIF('DADOS BRUTOS'!$A$3:$A$500,$B34,'DADOS BRUTOS'!GP$3:GP$500)+IF($C34="",0,SUMIF('DADOS BRUTOS'!$A$3:$A$500,$C34,'DADOS BRUTOS'!GP$3:GP$500)))</f>
        <v/>
      </c>
      <c r="JQ34" s="56">
        <f>IF(OR(JQ$4="",$B34=""),0,SUMIF('DADOS BRUTOS'!$A$3:$A$500,$B34,'DADOS BRUTOS'!GQ$3:GQ$500)+IF($C34="",0,SUMIF('DADOS BRUTOS'!$A$3:$A$500,$C34,'DADOS BRUTOS'!GQ$3:GQ$500)))</f>
        <v/>
      </c>
      <c r="JR34" s="56">
        <f>IF(OR(JR$4="",$B34=""),0,SUMIF('DADOS BRUTOS'!$A$3:$A$500,$B34,'DADOS BRUTOS'!GR$3:GR$500)+IF($C34="",0,SUMIF('DADOS BRUTOS'!$A$3:$A$500,$C34,'DADOS BRUTOS'!GR$3:GR$500)))</f>
        <v/>
      </c>
      <c r="JS34" s="56">
        <f>IF(OR(JS$4="",$B34=""),0,SUMIF('DADOS BRUTOS'!$A$3:$A$500,$B34,'DADOS BRUTOS'!GS$3:GS$500)+IF($C34="",0,SUMIF('DADOS BRUTOS'!$A$3:$A$500,$C34,'DADOS BRUTOS'!GS$3:GS$500)))</f>
        <v/>
      </c>
    </row>
    <row r="35">
      <c r="A35" s="34">
        <f>'VALOR POR PL'!D41</f>
        <v/>
      </c>
      <c r="B35" s="21" t="inlineStr">
        <is>
          <t>PAVIMENTAÇÃO</t>
        </is>
      </c>
      <c r="C35" s="21" t="n"/>
      <c r="D35" s="17">
        <f>SUMIF($CB$4:$JS$4,"&lt;="&amp;D$4,$CB35:$JS35)</f>
        <v/>
      </c>
      <c r="E35" s="17">
        <f>SUMIF($CB$4:$JS$4,E$4,$CB35:$JS35)</f>
        <v/>
      </c>
      <c r="F35" s="17">
        <f>SUMIF($CB$4:$JS$4,F$4,$CB35:$JS35)</f>
        <v/>
      </c>
      <c r="G35" s="17">
        <f>SUMIF($CB$4:$JS$4,G$4,$CB35:$JS35)</f>
        <v/>
      </c>
      <c r="H35" s="17">
        <f>SUMIF($CB$4:$JS$4,H$4,$CB35:$JS35)</f>
        <v/>
      </c>
      <c r="I35" s="17">
        <f>SUMIF($CB$4:$JS$4,I$4,$CB35:$JS35)</f>
        <v/>
      </c>
      <c r="J35" s="17">
        <f>SUMIF($CB$4:$JS$4,J$4,$CB35:$JS35)</f>
        <v/>
      </c>
      <c r="K35" s="17">
        <f>SUMIF($CB$4:$JS$4,K$4,$CB35:$JS35)</f>
        <v/>
      </c>
      <c r="L35" s="17">
        <f>SUMIF($CB$4:$JS$4,L$4,$CB35:$JS35)</f>
        <v/>
      </c>
      <c r="M35" s="17">
        <f>SUMIF($CB$4:$JS$4,M$4,$CB35:$JS35)</f>
        <v/>
      </c>
      <c r="N35" s="17">
        <f>SUMIF($CB$4:$JS$4,N$4,$CB35:$JS35)</f>
        <v/>
      </c>
      <c r="O35" s="17">
        <f>SUMIF($CB$4:$JS$4,O$4,$CB35:$JS35)</f>
        <v/>
      </c>
      <c r="P35" s="17">
        <f>SUMIF($CB$4:$JS$4,P$4,$CB35:$JS35)</f>
        <v/>
      </c>
      <c r="Q35" s="17">
        <f>SUMIF($CB$4:$JS$4,Q$4,$CB35:$JS35)</f>
        <v/>
      </c>
      <c r="R35" s="17">
        <f>SUMIF($CB$4:$JS$4,R$4,$CB35:$JS35)</f>
        <v/>
      </c>
      <c r="S35" s="17">
        <f>SUMIF($CB$4:$JS$4,S$4,$CB35:$JS35)</f>
        <v/>
      </c>
      <c r="T35" s="17">
        <f>SUMIF($CB$4:$JS$4,T$4,$CB35:$JS35)</f>
        <v/>
      </c>
      <c r="U35" s="17">
        <f>SUMIF($CB$4:$JS$4,U$4,$CB35:$JS35)</f>
        <v/>
      </c>
      <c r="V35" s="17">
        <f>SUMIF($CB$4:$JS$4,V$4,$CB35:$JS35)</f>
        <v/>
      </c>
      <c r="W35" s="17">
        <f>SUMIF($CB$4:$JS$4,W$4,$CB35:$JS35)</f>
        <v/>
      </c>
      <c r="X35" s="17">
        <f>SUMIF($CB$4:$JS$4,X$4,$CB35:$JS35)</f>
        <v/>
      </c>
      <c r="Y35" s="17">
        <f>SUMIF($CB$4:$JS$4,Y$4,$CB35:$JS35)</f>
        <v/>
      </c>
      <c r="Z35" s="17">
        <f>SUMIF($CB$4:$JS$4,Z$4,$CB35:$JS35)</f>
        <v/>
      </c>
      <c r="AA35" s="17">
        <f>SUMIF($CB$4:$JS$4,AA$4,$CB35:$JS35)</f>
        <v/>
      </c>
      <c r="AB35" s="17">
        <f>SUMIF($CB$4:$JS$4,AB$4,$CB35:$JS35)</f>
        <v/>
      </c>
      <c r="AC35" s="17">
        <f>SUMIF($CB$4:$JS$4,AC$4,$CB35:$JS35)</f>
        <v/>
      </c>
      <c r="AD35" s="17">
        <f>SUMIF($CB$4:$JS$4,AD$4,$CB35:$JS35)</f>
        <v/>
      </c>
      <c r="AE35" s="17">
        <f>SUMIF($CB$4:$JS$4,AE$4,$CB35:$JS35)</f>
        <v/>
      </c>
      <c r="AF35" s="17">
        <f>SUMIF($CB$4:$JS$4,AF$4,$CB35:$JS35)</f>
        <v/>
      </c>
      <c r="AG35" s="17">
        <f>SUMIF($CB$4:$JS$4,AG$4,$CB35:$JS35)</f>
        <v/>
      </c>
      <c r="AH35" s="17">
        <f>SUMIF($CB$4:$JS$4,AH$4,$CB35:$JS35)</f>
        <v/>
      </c>
      <c r="AI35" s="17">
        <f>SUMIF($CB$4:$JS$4,AI$4,$CB35:$JS35)</f>
        <v/>
      </c>
      <c r="AJ35" s="17">
        <f>SUMIF($CB$4:$JS$4,AJ$4,$CB35:$JS35)</f>
        <v/>
      </c>
      <c r="AK35" s="17">
        <f>SUMIF($CB$4:$JS$4,AK$4,$CB35:$JS35)</f>
        <v/>
      </c>
      <c r="AL35" s="17">
        <f>SUMIF($CB$4:$JS$4,AL$4,$CB35:$JS35)</f>
        <v/>
      </c>
      <c r="AM35" s="17">
        <f>SUMIF($CB$4:$JS$4,AM$4,$CB35:$JS35)</f>
        <v/>
      </c>
      <c r="AN35" s="17">
        <f>SUMIF($CB$4:$JS$4,AN$4,$CB35:$JS35)</f>
        <v/>
      </c>
      <c r="AO35" s="17">
        <f>SUMIF($CB$4:$JS$4,AO$4,$CB35:$JS35)</f>
        <v/>
      </c>
      <c r="AP35" s="17">
        <f>SUMIF($CB$4:$JS$4,AP$4,$CB35:$JS35)</f>
        <v/>
      </c>
      <c r="AQ35" s="17">
        <f>SUMIF($CB$4:$JS$4,AQ$4,$CB35:$JS35)</f>
        <v/>
      </c>
      <c r="AR35" s="17">
        <f>SUMIF($CB$4:$JS$4,AR$4,$CB35:$JS35)</f>
        <v/>
      </c>
      <c r="AS35" s="17">
        <f>SUMIF($CB$4:$JS$4,AS$4,$CB35:$JS35)</f>
        <v/>
      </c>
      <c r="AT35" s="17">
        <f>SUMIF($CB$4:$JS$4,AT$4,$CB35:$JS35)</f>
        <v/>
      </c>
      <c r="AU35" s="17">
        <f>SUMIF($CB$4:$JS$4,AU$4,$CB35:$JS35)</f>
        <v/>
      </c>
      <c r="AV35" s="17">
        <f>SUMIF($CB$4:$JS$4,AV$4,$CB35:$JS35)</f>
        <v/>
      </c>
      <c r="AW35" s="17">
        <f>SUMIF($CB$4:$JS$4,AW$4,$CB35:$JS35)</f>
        <v/>
      </c>
      <c r="AX35" s="17">
        <f>SUMIF($CB$4:$JS$4,AX$4,$CB35:$JS35)</f>
        <v/>
      </c>
      <c r="AY35" s="17">
        <f>SUMIF($CB$4:$JS$4,AY$4,$CB35:$JS35)</f>
        <v/>
      </c>
      <c r="AZ35" s="17">
        <f>SUMIF($CB$4:$JS$4,AZ$4,$CB35:$JS35)</f>
        <v/>
      </c>
      <c r="BA35" s="17">
        <f>SUMIF($CB$4:$JS$4,BA$4,$CB35:$JS35)</f>
        <v/>
      </c>
      <c r="BB35" s="17">
        <f>SUMIF($CB$4:$JS$4,BB$4,$CB35:$JS35)</f>
        <v/>
      </c>
      <c r="BC35" s="17">
        <f>SUMIF($CB$4:$JS$4,BC$4,$CB35:$JS35)</f>
        <v/>
      </c>
      <c r="BD35" s="17">
        <f>SUMIF($CB$4:$JS$4,BD$4,$CB35:$JS35)</f>
        <v/>
      </c>
      <c r="BE35" s="17">
        <f>SUMIF($CB$4:$JS$4,BE$4,$CB35:$JS35)</f>
        <v/>
      </c>
      <c r="BF35" s="17">
        <f>SUMIF($CB$4:$JS$4,BF$4,$CB35:$JS35)</f>
        <v/>
      </c>
      <c r="BG35" s="17">
        <f>SUMIF($CB$4:$JS$4,BG$4,$CB35:$JS35)</f>
        <v/>
      </c>
      <c r="BH35" s="17">
        <f>SUMIF($CB$4:$JS$4,BH$4,$CB35:$JS35)</f>
        <v/>
      </c>
      <c r="BI35" s="17">
        <f>SUMIF($CB$4:$JS$4,BI$4,$CB35:$JS35)</f>
        <v/>
      </c>
      <c r="BJ35" s="17">
        <f>SUMIF($CB$4:$JS$4,BJ$4,$CB35:$JS35)</f>
        <v/>
      </c>
      <c r="BK35" s="17">
        <f>SUMIF($CB$4:$JS$4,BK$4,$CB35:$JS35)</f>
        <v/>
      </c>
      <c r="BL35" s="17">
        <f>SUMIF($CB$4:$JS$4,BL$4,$CB35:$JS35)</f>
        <v/>
      </c>
      <c r="BM35" s="17">
        <f>SUMIF($CB$4:$JS$4,BM$4,$CB35:$JS35)</f>
        <v/>
      </c>
      <c r="BN35" s="17">
        <f>SUMIF($CB$4:$JS$4,BN$4,$CB35:$JS35)</f>
        <v/>
      </c>
      <c r="BO35" s="17">
        <f>SUMIF($CB$4:$JS$4,BO$4,$CB35:$JS35)</f>
        <v/>
      </c>
      <c r="BP35" s="17">
        <f>SUMIF($CB$4:$JS$4,BP$4,$CB35:$JS35)</f>
        <v/>
      </c>
      <c r="BQ35" s="17">
        <f>SUMIF($CB$4:$JS$4,BQ$4,$CB35:$JS35)</f>
        <v/>
      </c>
      <c r="BR35" s="17">
        <f>SUMIF($CB$4:$JS$4,BR$4,$CB35:$JS35)</f>
        <v/>
      </c>
      <c r="BS35" s="17">
        <f>SUMIF($CB$4:$JS$4,BS$4,$CB35:$JS35)</f>
        <v/>
      </c>
      <c r="BT35" s="17">
        <f>SUMIF($CB$4:$JS$4,BT$4,$CB35:$JS35)</f>
        <v/>
      </c>
      <c r="BU35" s="17">
        <f>SUMIF($CB$4:$JS$4,BU$4,$CB35:$JS35)</f>
        <v/>
      </c>
      <c r="BV35" s="17">
        <f>SUMIF($CB$4:$JS$4,BV$4,$CB35:$JS35)</f>
        <v/>
      </c>
      <c r="BW35" s="17">
        <f>SUMIF($CB$4:$JS$4,BW$4,$CB35:$JS35)</f>
        <v/>
      </c>
      <c r="BX35" s="17">
        <f>SUMIF($CB$4:$JS$4,"&gt;"&amp;'VALOR POR PL'!$P$8,$CB35:$JS35)</f>
        <v/>
      </c>
      <c r="BY35" s="17">
        <f>SUM($CB35:$JS35)</f>
        <v/>
      </c>
      <c r="CB35" s="56">
        <f>IF(OR(CB$4="",$B35=""),0,SUMIF('DADOS BRUTOS'!$A$3:$A$500,$B35,'DADOS BRUTOS'!B$3:B$500)+IF($C35="",0,SUMIF('DADOS BRUTOS'!$A$3:$A$500,$C35,'DADOS BRUTOS'!B$3:B$500)))</f>
        <v/>
      </c>
      <c r="CC35" s="56">
        <f>IF(OR(CC$4="",$B35=""),0,SUMIF('DADOS BRUTOS'!$A$3:$A$500,$B35,'DADOS BRUTOS'!C$3:C$500)+IF($C35="",0,SUMIF('DADOS BRUTOS'!$A$3:$A$500,$C35,'DADOS BRUTOS'!C$3:C$500)))</f>
        <v/>
      </c>
      <c r="CD35" s="56">
        <f>IF(OR(CD$4="",$B35=""),0,SUMIF('DADOS BRUTOS'!$A$3:$A$500,$B35,'DADOS BRUTOS'!D$3:D$500)+IF($C35="",0,SUMIF('DADOS BRUTOS'!$A$3:$A$500,$C35,'DADOS BRUTOS'!D$3:D$500)))</f>
        <v/>
      </c>
      <c r="CE35" s="56">
        <f>IF(OR(CE$4="",$B35=""),0,SUMIF('DADOS BRUTOS'!$A$3:$A$500,$B35,'DADOS BRUTOS'!E$3:E$500)+IF($C35="",0,SUMIF('DADOS BRUTOS'!$A$3:$A$500,$C35,'DADOS BRUTOS'!E$3:E$500)))</f>
        <v/>
      </c>
      <c r="CF35" s="56">
        <f>IF(OR(CF$4="",$B35=""),0,SUMIF('DADOS BRUTOS'!$A$3:$A$500,$B35,'DADOS BRUTOS'!F$3:F$500)+IF($C35="",0,SUMIF('DADOS BRUTOS'!$A$3:$A$500,$C35,'DADOS BRUTOS'!F$3:F$500)))</f>
        <v/>
      </c>
      <c r="CG35" s="56">
        <f>IF(OR(CG$4="",$B35=""),0,SUMIF('DADOS BRUTOS'!$A$3:$A$500,$B35,'DADOS BRUTOS'!G$3:G$500)+IF($C35="",0,SUMIF('DADOS BRUTOS'!$A$3:$A$500,$C35,'DADOS BRUTOS'!G$3:G$500)))</f>
        <v/>
      </c>
      <c r="CH35" s="56">
        <f>IF(OR(CH$4="",$B35=""),0,SUMIF('DADOS BRUTOS'!$A$3:$A$500,$B35,'DADOS BRUTOS'!H$3:H$500)+IF($C35="",0,SUMIF('DADOS BRUTOS'!$A$3:$A$500,$C35,'DADOS BRUTOS'!H$3:H$500)))</f>
        <v/>
      </c>
      <c r="CI35" s="56">
        <f>IF(OR(CI$4="",$B35=""),0,SUMIF('DADOS BRUTOS'!$A$3:$A$500,$B35,'DADOS BRUTOS'!I$3:I$500)+IF($C35="",0,SUMIF('DADOS BRUTOS'!$A$3:$A$500,$C35,'DADOS BRUTOS'!I$3:I$500)))</f>
        <v/>
      </c>
      <c r="CJ35" s="56">
        <f>IF(OR(CJ$4="",$B35=""),0,SUMIF('DADOS BRUTOS'!$A$3:$A$500,$B35,'DADOS BRUTOS'!J$3:J$500)+IF($C35="",0,SUMIF('DADOS BRUTOS'!$A$3:$A$500,$C35,'DADOS BRUTOS'!J$3:J$500)))</f>
        <v/>
      </c>
      <c r="CK35" s="56">
        <f>IF(OR(CK$4="",$B35=""),0,SUMIF('DADOS BRUTOS'!$A$3:$A$500,$B35,'DADOS BRUTOS'!K$3:K$500)+IF($C35="",0,SUMIF('DADOS BRUTOS'!$A$3:$A$500,$C35,'DADOS BRUTOS'!K$3:K$500)))</f>
        <v/>
      </c>
      <c r="CL35" s="56">
        <f>IF(OR(CL$4="",$B35=""),0,SUMIF('DADOS BRUTOS'!$A$3:$A$500,$B35,'DADOS BRUTOS'!L$3:L$500)+IF($C35="",0,SUMIF('DADOS BRUTOS'!$A$3:$A$500,$C35,'DADOS BRUTOS'!L$3:L$500)))</f>
        <v/>
      </c>
      <c r="CM35" s="56">
        <f>IF(OR(CM$4="",$B35=""),0,SUMIF('DADOS BRUTOS'!$A$3:$A$500,$B35,'DADOS BRUTOS'!M$3:M$500)+IF($C35="",0,SUMIF('DADOS BRUTOS'!$A$3:$A$500,$C35,'DADOS BRUTOS'!M$3:M$500)))</f>
        <v/>
      </c>
      <c r="CN35" s="56">
        <f>IF(OR(CN$4="",$B35=""),0,SUMIF('DADOS BRUTOS'!$A$3:$A$500,$B35,'DADOS BRUTOS'!N$3:N$500)+IF($C35="",0,SUMIF('DADOS BRUTOS'!$A$3:$A$500,$C35,'DADOS BRUTOS'!N$3:N$500)))</f>
        <v/>
      </c>
      <c r="CO35" s="56">
        <f>IF(OR(CO$4="",$B35=""),0,SUMIF('DADOS BRUTOS'!$A$3:$A$500,$B35,'DADOS BRUTOS'!O$3:O$500)+IF($C35="",0,SUMIF('DADOS BRUTOS'!$A$3:$A$500,$C35,'DADOS BRUTOS'!O$3:O$500)))</f>
        <v/>
      </c>
      <c r="CP35" s="56">
        <f>IF(OR(CP$4="",$B35=""),0,SUMIF('DADOS BRUTOS'!$A$3:$A$500,$B35,'DADOS BRUTOS'!P$3:P$500)+IF($C35="",0,SUMIF('DADOS BRUTOS'!$A$3:$A$500,$C35,'DADOS BRUTOS'!P$3:P$500)))</f>
        <v/>
      </c>
      <c r="CQ35" s="56">
        <f>IF(OR(CQ$4="",$B35=""),0,SUMIF('DADOS BRUTOS'!$A$3:$A$500,$B35,'DADOS BRUTOS'!Q$3:Q$500)+IF($C35="",0,SUMIF('DADOS BRUTOS'!$A$3:$A$500,$C35,'DADOS BRUTOS'!Q$3:Q$500)))</f>
        <v/>
      </c>
      <c r="CR35" s="56">
        <f>IF(OR(CR$4="",$B35=""),0,SUMIF('DADOS BRUTOS'!$A$3:$A$500,$B35,'DADOS BRUTOS'!R$3:R$500)+IF($C35="",0,SUMIF('DADOS BRUTOS'!$A$3:$A$500,$C35,'DADOS BRUTOS'!R$3:R$500)))</f>
        <v/>
      </c>
      <c r="CS35" s="56">
        <f>IF(OR(CS$4="",$B35=""),0,SUMIF('DADOS BRUTOS'!$A$3:$A$500,$B35,'DADOS BRUTOS'!S$3:S$500)+IF($C35="",0,SUMIF('DADOS BRUTOS'!$A$3:$A$500,$C35,'DADOS BRUTOS'!S$3:S$500)))</f>
        <v/>
      </c>
      <c r="CT35" s="56">
        <f>IF(OR(CT$4="",$B35=""),0,SUMIF('DADOS BRUTOS'!$A$3:$A$500,$B35,'DADOS BRUTOS'!T$3:T$500)+IF($C35="",0,SUMIF('DADOS BRUTOS'!$A$3:$A$500,$C35,'DADOS BRUTOS'!T$3:T$500)))</f>
        <v/>
      </c>
      <c r="CU35" s="56">
        <f>IF(OR(CU$4="",$B35=""),0,SUMIF('DADOS BRUTOS'!$A$3:$A$500,$B35,'DADOS BRUTOS'!U$3:U$500)+IF($C35="",0,SUMIF('DADOS BRUTOS'!$A$3:$A$500,$C35,'DADOS BRUTOS'!U$3:U$500)))</f>
        <v/>
      </c>
      <c r="CV35" s="56">
        <f>IF(OR(CV$4="",$B35=""),0,SUMIF('DADOS BRUTOS'!$A$3:$A$500,$B35,'DADOS BRUTOS'!V$3:V$500)+IF($C35="",0,SUMIF('DADOS BRUTOS'!$A$3:$A$500,$C35,'DADOS BRUTOS'!V$3:V$500)))</f>
        <v/>
      </c>
      <c r="CW35" s="56">
        <f>IF(OR(CW$4="",$B35=""),0,SUMIF('DADOS BRUTOS'!$A$3:$A$500,$B35,'DADOS BRUTOS'!W$3:W$500)+IF($C35="",0,SUMIF('DADOS BRUTOS'!$A$3:$A$500,$C35,'DADOS BRUTOS'!W$3:W$500)))</f>
        <v/>
      </c>
      <c r="CX35" s="56">
        <f>IF(OR(CX$4="",$B35=""),0,SUMIF('DADOS BRUTOS'!$A$3:$A$500,$B35,'DADOS BRUTOS'!X$3:X$500)+IF($C35="",0,SUMIF('DADOS BRUTOS'!$A$3:$A$500,$C35,'DADOS BRUTOS'!X$3:X$500)))</f>
        <v/>
      </c>
      <c r="CY35" s="56">
        <f>IF(OR(CY$4="",$B35=""),0,SUMIF('DADOS BRUTOS'!$A$3:$A$500,$B35,'DADOS BRUTOS'!Y$3:Y$500)+IF($C35="",0,SUMIF('DADOS BRUTOS'!$A$3:$A$500,$C35,'DADOS BRUTOS'!Y$3:Y$500)))</f>
        <v/>
      </c>
      <c r="CZ35" s="56">
        <f>IF(OR(CZ$4="",$B35=""),0,SUMIF('DADOS BRUTOS'!$A$3:$A$500,$B35,'DADOS BRUTOS'!Z$3:Z$500)+IF($C35="",0,SUMIF('DADOS BRUTOS'!$A$3:$A$500,$C35,'DADOS BRUTOS'!Z$3:Z$500)))</f>
        <v/>
      </c>
      <c r="DA35" s="56">
        <f>IF(OR(DA$4="",$B35=""),0,SUMIF('DADOS BRUTOS'!$A$3:$A$500,$B35,'DADOS BRUTOS'!AA$3:AA$500)+IF($C35="",0,SUMIF('DADOS BRUTOS'!$A$3:$A$500,$C35,'DADOS BRUTOS'!AA$3:AA$500)))</f>
        <v/>
      </c>
      <c r="DB35" s="56">
        <f>IF(OR(DB$4="",$B35=""),0,SUMIF('DADOS BRUTOS'!$A$3:$A$500,$B35,'DADOS BRUTOS'!AB$3:AB$500)+IF($C35="",0,SUMIF('DADOS BRUTOS'!$A$3:$A$500,$C35,'DADOS BRUTOS'!AB$3:AB$500)))</f>
        <v/>
      </c>
      <c r="DC35" s="56">
        <f>IF(OR(DC$4="",$B35=""),0,SUMIF('DADOS BRUTOS'!$A$3:$A$500,$B35,'DADOS BRUTOS'!AC$3:AC$500)+IF($C35="",0,SUMIF('DADOS BRUTOS'!$A$3:$A$500,$C35,'DADOS BRUTOS'!AC$3:AC$500)))</f>
        <v/>
      </c>
      <c r="DD35" s="56">
        <f>IF(OR(DD$4="",$B35=""),0,SUMIF('DADOS BRUTOS'!$A$3:$A$500,$B35,'DADOS BRUTOS'!AD$3:AD$500)+IF($C35="",0,SUMIF('DADOS BRUTOS'!$A$3:$A$500,$C35,'DADOS BRUTOS'!AD$3:AD$500)))</f>
        <v/>
      </c>
      <c r="DE35" s="56">
        <f>IF(OR(DE$4="",$B35=""),0,SUMIF('DADOS BRUTOS'!$A$3:$A$500,$B35,'DADOS BRUTOS'!AE$3:AE$500)+IF($C35="",0,SUMIF('DADOS BRUTOS'!$A$3:$A$500,$C35,'DADOS BRUTOS'!AE$3:AE$500)))</f>
        <v/>
      </c>
      <c r="DF35" s="56">
        <f>IF(OR(DF$4="",$B35=""),0,SUMIF('DADOS BRUTOS'!$A$3:$A$500,$B35,'DADOS BRUTOS'!AF$3:AF$500)+IF($C35="",0,SUMIF('DADOS BRUTOS'!$A$3:$A$500,$C35,'DADOS BRUTOS'!AF$3:AF$500)))</f>
        <v/>
      </c>
      <c r="DG35" s="56">
        <f>IF(OR(DG$4="",$B35=""),0,SUMIF('DADOS BRUTOS'!$A$3:$A$500,$B35,'DADOS BRUTOS'!AG$3:AG$500)+IF($C35="",0,SUMIF('DADOS BRUTOS'!$A$3:$A$500,$C35,'DADOS BRUTOS'!AG$3:AG$500)))</f>
        <v/>
      </c>
      <c r="DH35" s="56">
        <f>IF(OR(DH$4="",$B35=""),0,SUMIF('DADOS BRUTOS'!$A$3:$A$500,$B35,'DADOS BRUTOS'!AH$3:AH$500)+IF($C35="",0,SUMIF('DADOS BRUTOS'!$A$3:$A$500,$C35,'DADOS BRUTOS'!AH$3:AH$500)))</f>
        <v/>
      </c>
      <c r="DI35" s="56">
        <f>IF(OR(DI$4="",$B35=""),0,SUMIF('DADOS BRUTOS'!$A$3:$A$500,$B35,'DADOS BRUTOS'!AI$3:AI$500)+IF($C35="",0,SUMIF('DADOS BRUTOS'!$A$3:$A$500,$C35,'DADOS BRUTOS'!AI$3:AI$500)))</f>
        <v/>
      </c>
      <c r="DJ35" s="56">
        <f>IF(OR(DJ$4="",$B35=""),0,SUMIF('DADOS BRUTOS'!$A$3:$A$500,$B35,'DADOS BRUTOS'!AJ$3:AJ$500)+IF($C35="",0,SUMIF('DADOS BRUTOS'!$A$3:$A$500,$C35,'DADOS BRUTOS'!AJ$3:AJ$500)))</f>
        <v/>
      </c>
      <c r="DK35" s="56">
        <f>IF(OR(DK$4="",$B35=""),0,SUMIF('DADOS BRUTOS'!$A$3:$A$500,$B35,'DADOS BRUTOS'!AK$3:AK$500)+IF($C35="",0,SUMIF('DADOS BRUTOS'!$A$3:$A$500,$C35,'DADOS BRUTOS'!AK$3:AK$500)))</f>
        <v/>
      </c>
      <c r="DL35" s="56">
        <f>IF(OR(DL$4="",$B35=""),0,SUMIF('DADOS BRUTOS'!$A$3:$A$500,$B35,'DADOS BRUTOS'!AL$3:AL$500)+IF($C35="",0,SUMIF('DADOS BRUTOS'!$A$3:$A$500,$C35,'DADOS BRUTOS'!AL$3:AL$500)))</f>
        <v/>
      </c>
      <c r="DM35" s="56">
        <f>IF(OR(DM$4="",$B35=""),0,SUMIF('DADOS BRUTOS'!$A$3:$A$500,$B35,'DADOS BRUTOS'!AM$3:AM$500)+IF($C35="",0,SUMIF('DADOS BRUTOS'!$A$3:$A$500,$C35,'DADOS BRUTOS'!AM$3:AM$500)))</f>
        <v/>
      </c>
      <c r="DN35" s="56">
        <f>IF(OR(DN$4="",$B35=""),0,SUMIF('DADOS BRUTOS'!$A$3:$A$500,$B35,'DADOS BRUTOS'!AN$3:AN$500)+IF($C35="",0,SUMIF('DADOS BRUTOS'!$A$3:$A$500,$C35,'DADOS BRUTOS'!AN$3:AN$500)))</f>
        <v/>
      </c>
      <c r="DO35" s="56">
        <f>IF(OR(DO$4="",$B35=""),0,SUMIF('DADOS BRUTOS'!$A$3:$A$500,$B35,'DADOS BRUTOS'!AO$3:AO$500)+IF($C35="",0,SUMIF('DADOS BRUTOS'!$A$3:$A$500,$C35,'DADOS BRUTOS'!AO$3:AO$500)))</f>
        <v/>
      </c>
      <c r="DP35" s="56">
        <f>IF(OR(DP$4="",$B35=""),0,SUMIF('DADOS BRUTOS'!$A$3:$A$500,$B35,'DADOS BRUTOS'!AP$3:AP$500)+IF($C35="",0,SUMIF('DADOS BRUTOS'!$A$3:$A$500,$C35,'DADOS BRUTOS'!AP$3:AP$500)))</f>
        <v/>
      </c>
      <c r="DQ35" s="56">
        <f>IF(OR(DQ$4="",$B35=""),0,SUMIF('DADOS BRUTOS'!$A$3:$A$500,$B35,'DADOS BRUTOS'!AQ$3:AQ$500)+IF($C35="",0,SUMIF('DADOS BRUTOS'!$A$3:$A$500,$C35,'DADOS BRUTOS'!AQ$3:AQ$500)))</f>
        <v/>
      </c>
      <c r="DR35" s="56">
        <f>IF(OR(DR$4="",$B35=""),0,SUMIF('DADOS BRUTOS'!$A$3:$A$500,$B35,'DADOS BRUTOS'!AR$3:AR$500)+IF($C35="",0,SUMIF('DADOS BRUTOS'!$A$3:$A$500,$C35,'DADOS BRUTOS'!AR$3:AR$500)))</f>
        <v/>
      </c>
      <c r="DS35" s="56">
        <f>IF(OR(DS$4="",$B35=""),0,SUMIF('DADOS BRUTOS'!$A$3:$A$500,$B35,'DADOS BRUTOS'!AS$3:AS$500)+IF($C35="",0,SUMIF('DADOS BRUTOS'!$A$3:$A$500,$C35,'DADOS BRUTOS'!AS$3:AS$500)))</f>
        <v/>
      </c>
      <c r="DT35" s="56">
        <f>IF(OR(DT$4="",$B35=""),0,SUMIF('DADOS BRUTOS'!$A$3:$A$500,$B35,'DADOS BRUTOS'!AT$3:AT$500)+IF($C35="",0,SUMIF('DADOS BRUTOS'!$A$3:$A$500,$C35,'DADOS BRUTOS'!AT$3:AT$500)))</f>
        <v/>
      </c>
      <c r="DU35" s="56">
        <f>IF(OR(DU$4="",$B35=""),0,SUMIF('DADOS BRUTOS'!$A$3:$A$500,$B35,'DADOS BRUTOS'!AU$3:AU$500)+IF($C35="",0,SUMIF('DADOS BRUTOS'!$A$3:$A$500,$C35,'DADOS BRUTOS'!AU$3:AU$500)))</f>
        <v/>
      </c>
      <c r="DV35" s="56">
        <f>IF(OR(DV$4="",$B35=""),0,SUMIF('DADOS BRUTOS'!$A$3:$A$500,$B35,'DADOS BRUTOS'!AV$3:AV$500)+IF($C35="",0,SUMIF('DADOS BRUTOS'!$A$3:$A$500,$C35,'DADOS BRUTOS'!AV$3:AV$500)))</f>
        <v/>
      </c>
      <c r="DW35" s="56">
        <f>IF(OR(DW$4="",$B35=""),0,SUMIF('DADOS BRUTOS'!$A$3:$A$500,$B35,'DADOS BRUTOS'!AW$3:AW$500)+IF($C35="",0,SUMIF('DADOS BRUTOS'!$A$3:$A$500,$C35,'DADOS BRUTOS'!AW$3:AW$500)))</f>
        <v/>
      </c>
      <c r="DX35" s="56">
        <f>IF(OR(DX$4="",$B35=""),0,SUMIF('DADOS BRUTOS'!$A$3:$A$500,$B35,'DADOS BRUTOS'!AX$3:AX$500)+IF($C35="",0,SUMIF('DADOS BRUTOS'!$A$3:$A$500,$C35,'DADOS BRUTOS'!AX$3:AX$500)))</f>
        <v/>
      </c>
      <c r="DY35" s="56">
        <f>IF(OR(DY$4="",$B35=""),0,SUMIF('DADOS BRUTOS'!$A$3:$A$500,$B35,'DADOS BRUTOS'!AY$3:AY$500)+IF($C35="",0,SUMIF('DADOS BRUTOS'!$A$3:$A$500,$C35,'DADOS BRUTOS'!AY$3:AY$500)))</f>
        <v/>
      </c>
      <c r="DZ35" s="56">
        <f>IF(OR(DZ$4="",$B35=""),0,SUMIF('DADOS BRUTOS'!$A$3:$A$500,$B35,'DADOS BRUTOS'!AZ$3:AZ$500)+IF($C35="",0,SUMIF('DADOS BRUTOS'!$A$3:$A$500,$C35,'DADOS BRUTOS'!AZ$3:AZ$500)))</f>
        <v/>
      </c>
      <c r="EA35" s="56">
        <f>IF(OR(EA$4="",$B35=""),0,SUMIF('DADOS BRUTOS'!$A$3:$A$500,$B35,'DADOS BRUTOS'!BA$3:BA$500)+IF($C35="",0,SUMIF('DADOS BRUTOS'!$A$3:$A$500,$C35,'DADOS BRUTOS'!BA$3:BA$500)))</f>
        <v/>
      </c>
      <c r="EB35" s="56">
        <f>IF(OR(EB$4="",$B35=""),0,SUMIF('DADOS BRUTOS'!$A$3:$A$500,$B35,'DADOS BRUTOS'!BB$3:BB$500)+IF($C35="",0,SUMIF('DADOS BRUTOS'!$A$3:$A$500,$C35,'DADOS BRUTOS'!BB$3:BB$500)))</f>
        <v/>
      </c>
      <c r="EC35" s="56">
        <f>IF(OR(EC$4="",$B35=""),0,SUMIF('DADOS BRUTOS'!$A$3:$A$500,$B35,'DADOS BRUTOS'!BC$3:BC$500)+IF($C35="",0,SUMIF('DADOS BRUTOS'!$A$3:$A$500,$C35,'DADOS BRUTOS'!BC$3:BC$500)))</f>
        <v/>
      </c>
      <c r="ED35" s="56">
        <f>IF(OR(ED$4="",$B35=""),0,SUMIF('DADOS BRUTOS'!$A$3:$A$500,$B35,'DADOS BRUTOS'!BD$3:BD$500)+IF($C35="",0,SUMIF('DADOS BRUTOS'!$A$3:$A$500,$C35,'DADOS BRUTOS'!BD$3:BD$500)))</f>
        <v/>
      </c>
      <c r="EE35" s="56">
        <f>IF(OR(EE$4="",$B35=""),0,SUMIF('DADOS BRUTOS'!$A$3:$A$500,$B35,'DADOS BRUTOS'!BE$3:BE$500)+IF($C35="",0,SUMIF('DADOS BRUTOS'!$A$3:$A$500,$C35,'DADOS BRUTOS'!BE$3:BE$500)))</f>
        <v/>
      </c>
      <c r="EF35" s="56">
        <f>IF(OR(EF$4="",$B35=""),0,SUMIF('DADOS BRUTOS'!$A$3:$A$500,$B35,'DADOS BRUTOS'!BF$3:BF$500)+IF($C35="",0,SUMIF('DADOS BRUTOS'!$A$3:$A$500,$C35,'DADOS BRUTOS'!BF$3:BF$500)))</f>
        <v/>
      </c>
      <c r="EG35" s="56">
        <f>IF(OR(EG$4="",$B35=""),0,SUMIF('DADOS BRUTOS'!$A$3:$A$500,$B35,'DADOS BRUTOS'!BG$3:BG$500)+IF($C35="",0,SUMIF('DADOS BRUTOS'!$A$3:$A$500,$C35,'DADOS BRUTOS'!BG$3:BG$500)))</f>
        <v/>
      </c>
      <c r="EH35" s="56">
        <f>IF(OR(EH$4="",$B35=""),0,SUMIF('DADOS BRUTOS'!$A$3:$A$500,$B35,'DADOS BRUTOS'!BH$3:BH$500)+IF($C35="",0,SUMIF('DADOS BRUTOS'!$A$3:$A$500,$C35,'DADOS BRUTOS'!BH$3:BH$500)))</f>
        <v/>
      </c>
      <c r="EI35" s="56">
        <f>IF(OR(EI$4="",$B35=""),0,SUMIF('DADOS BRUTOS'!$A$3:$A$500,$B35,'DADOS BRUTOS'!BI$3:BI$500)+IF($C35="",0,SUMIF('DADOS BRUTOS'!$A$3:$A$500,$C35,'DADOS BRUTOS'!BI$3:BI$500)))</f>
        <v/>
      </c>
      <c r="EJ35" s="56">
        <f>IF(OR(EJ$4="",$B35=""),0,SUMIF('DADOS BRUTOS'!$A$3:$A$500,$B35,'DADOS BRUTOS'!BJ$3:BJ$500)+IF($C35="",0,SUMIF('DADOS BRUTOS'!$A$3:$A$500,$C35,'DADOS BRUTOS'!BJ$3:BJ$500)))</f>
        <v/>
      </c>
      <c r="EK35" s="56">
        <f>IF(OR(EK$4="",$B35=""),0,SUMIF('DADOS BRUTOS'!$A$3:$A$500,$B35,'DADOS BRUTOS'!BK$3:BK$500)+IF($C35="",0,SUMIF('DADOS BRUTOS'!$A$3:$A$500,$C35,'DADOS BRUTOS'!BK$3:BK$500)))</f>
        <v/>
      </c>
      <c r="EL35" s="56">
        <f>IF(OR(EL$4="",$B35=""),0,SUMIF('DADOS BRUTOS'!$A$3:$A$500,$B35,'DADOS BRUTOS'!BL$3:BL$500)+IF($C35="",0,SUMIF('DADOS BRUTOS'!$A$3:$A$500,$C35,'DADOS BRUTOS'!BL$3:BL$500)))</f>
        <v/>
      </c>
      <c r="EM35" s="56">
        <f>IF(OR(EM$4="",$B35=""),0,SUMIF('DADOS BRUTOS'!$A$3:$A$500,$B35,'DADOS BRUTOS'!BM$3:BM$500)+IF($C35="",0,SUMIF('DADOS BRUTOS'!$A$3:$A$500,$C35,'DADOS BRUTOS'!BM$3:BM$500)))</f>
        <v/>
      </c>
      <c r="EN35" s="56">
        <f>IF(OR(EN$4="",$B35=""),0,SUMIF('DADOS BRUTOS'!$A$3:$A$500,$B35,'DADOS BRUTOS'!BN$3:BN$500)+IF($C35="",0,SUMIF('DADOS BRUTOS'!$A$3:$A$500,$C35,'DADOS BRUTOS'!BN$3:BN$500)))</f>
        <v/>
      </c>
      <c r="EO35" s="56">
        <f>IF(OR(EO$4="",$B35=""),0,SUMIF('DADOS BRUTOS'!$A$3:$A$500,$B35,'DADOS BRUTOS'!BO$3:BO$500)+IF($C35="",0,SUMIF('DADOS BRUTOS'!$A$3:$A$500,$C35,'DADOS BRUTOS'!BO$3:BO$500)))</f>
        <v/>
      </c>
      <c r="EP35" s="56">
        <f>IF(OR(EP$4="",$B35=""),0,SUMIF('DADOS BRUTOS'!$A$3:$A$500,$B35,'DADOS BRUTOS'!BP$3:BP$500)+IF($C35="",0,SUMIF('DADOS BRUTOS'!$A$3:$A$500,$C35,'DADOS BRUTOS'!BP$3:BP$500)))</f>
        <v/>
      </c>
      <c r="EQ35" s="56">
        <f>IF(OR(EQ$4="",$B35=""),0,SUMIF('DADOS BRUTOS'!$A$3:$A$500,$B35,'DADOS BRUTOS'!BQ$3:BQ$500)+IF($C35="",0,SUMIF('DADOS BRUTOS'!$A$3:$A$500,$C35,'DADOS BRUTOS'!BQ$3:BQ$500)))</f>
        <v/>
      </c>
      <c r="ER35" s="56">
        <f>IF(OR(ER$4="",$B35=""),0,SUMIF('DADOS BRUTOS'!$A$3:$A$500,$B35,'DADOS BRUTOS'!BR$3:BR$500)+IF($C35="",0,SUMIF('DADOS BRUTOS'!$A$3:$A$500,$C35,'DADOS BRUTOS'!BR$3:BR$500)))</f>
        <v/>
      </c>
      <c r="ES35" s="56">
        <f>IF(OR(ES$4="",$B35=""),0,SUMIF('DADOS BRUTOS'!$A$3:$A$500,$B35,'DADOS BRUTOS'!BS$3:BS$500)+IF($C35="",0,SUMIF('DADOS BRUTOS'!$A$3:$A$500,$C35,'DADOS BRUTOS'!BS$3:BS$500)))</f>
        <v/>
      </c>
      <c r="ET35" s="56">
        <f>IF(OR(ET$4="",$B35=""),0,SUMIF('DADOS BRUTOS'!$A$3:$A$500,$B35,'DADOS BRUTOS'!BT$3:BT$500)+IF($C35="",0,SUMIF('DADOS BRUTOS'!$A$3:$A$500,$C35,'DADOS BRUTOS'!BT$3:BT$500)))</f>
        <v/>
      </c>
      <c r="EU35" s="56">
        <f>IF(OR(EU$4="",$B35=""),0,SUMIF('DADOS BRUTOS'!$A$3:$A$500,$B35,'DADOS BRUTOS'!BU$3:BU$500)+IF($C35="",0,SUMIF('DADOS BRUTOS'!$A$3:$A$500,$C35,'DADOS BRUTOS'!BU$3:BU$500)))</f>
        <v/>
      </c>
      <c r="EV35" s="56">
        <f>IF(OR(EV$4="",$B35=""),0,SUMIF('DADOS BRUTOS'!$A$3:$A$500,$B35,'DADOS BRUTOS'!BV$3:BV$500)+IF($C35="",0,SUMIF('DADOS BRUTOS'!$A$3:$A$500,$C35,'DADOS BRUTOS'!BV$3:BV$500)))</f>
        <v/>
      </c>
      <c r="EW35" s="56">
        <f>IF(OR(EW$4="",$B35=""),0,SUMIF('DADOS BRUTOS'!$A$3:$A$500,$B35,'DADOS BRUTOS'!BW$3:BW$500)+IF($C35="",0,SUMIF('DADOS BRUTOS'!$A$3:$A$500,$C35,'DADOS BRUTOS'!BW$3:BW$500)))</f>
        <v/>
      </c>
      <c r="EX35" s="56">
        <f>IF(OR(EX$4="",$B35=""),0,SUMIF('DADOS BRUTOS'!$A$3:$A$500,$B35,'DADOS BRUTOS'!BX$3:BX$500)+IF($C35="",0,SUMIF('DADOS BRUTOS'!$A$3:$A$500,$C35,'DADOS BRUTOS'!BX$3:BX$500)))</f>
        <v/>
      </c>
      <c r="EY35" s="56">
        <f>IF(OR(EY$4="",$B35=""),0,SUMIF('DADOS BRUTOS'!$A$3:$A$500,$B35,'DADOS BRUTOS'!BY$3:BY$500)+IF($C35="",0,SUMIF('DADOS BRUTOS'!$A$3:$A$500,$C35,'DADOS BRUTOS'!BY$3:BY$500)))</f>
        <v/>
      </c>
      <c r="EZ35" s="56">
        <f>IF(OR(EZ$4="",$B35=""),0,SUMIF('DADOS BRUTOS'!$A$3:$A$500,$B35,'DADOS BRUTOS'!BZ$3:BZ$500)+IF($C35="",0,SUMIF('DADOS BRUTOS'!$A$3:$A$500,$C35,'DADOS BRUTOS'!BZ$3:BZ$500)))</f>
        <v/>
      </c>
      <c r="FA35" s="56">
        <f>IF(OR(FA$4="",$B35=""),0,SUMIF('DADOS BRUTOS'!$A$3:$A$500,$B35,'DADOS BRUTOS'!CA$3:CA$500)+IF($C35="",0,SUMIF('DADOS BRUTOS'!$A$3:$A$500,$C35,'DADOS BRUTOS'!CA$3:CA$500)))</f>
        <v/>
      </c>
      <c r="FB35" s="56">
        <f>IF(OR(FB$4="",$B35=""),0,SUMIF('DADOS BRUTOS'!$A$3:$A$500,$B35,'DADOS BRUTOS'!CB$3:CB$500)+IF($C35="",0,SUMIF('DADOS BRUTOS'!$A$3:$A$500,$C35,'DADOS BRUTOS'!CB$3:CB$500)))</f>
        <v/>
      </c>
      <c r="FC35" s="56">
        <f>IF(OR(FC$4="",$B35=""),0,SUMIF('DADOS BRUTOS'!$A$3:$A$500,$B35,'DADOS BRUTOS'!CC$3:CC$500)+IF($C35="",0,SUMIF('DADOS BRUTOS'!$A$3:$A$500,$C35,'DADOS BRUTOS'!CC$3:CC$500)))</f>
        <v/>
      </c>
      <c r="FD35" s="56">
        <f>IF(OR(FD$4="",$B35=""),0,SUMIF('DADOS BRUTOS'!$A$3:$A$500,$B35,'DADOS BRUTOS'!CD$3:CD$500)+IF($C35="",0,SUMIF('DADOS BRUTOS'!$A$3:$A$500,$C35,'DADOS BRUTOS'!CD$3:CD$500)))</f>
        <v/>
      </c>
      <c r="FE35" s="56">
        <f>IF(OR(FE$4="",$B35=""),0,SUMIF('DADOS BRUTOS'!$A$3:$A$500,$B35,'DADOS BRUTOS'!CE$3:CE$500)+IF($C35="",0,SUMIF('DADOS BRUTOS'!$A$3:$A$500,$C35,'DADOS BRUTOS'!CE$3:CE$500)))</f>
        <v/>
      </c>
      <c r="FF35" s="56">
        <f>IF(OR(FF$4="",$B35=""),0,SUMIF('DADOS BRUTOS'!$A$3:$A$500,$B35,'DADOS BRUTOS'!CF$3:CF$500)+IF($C35="",0,SUMIF('DADOS BRUTOS'!$A$3:$A$500,$C35,'DADOS BRUTOS'!CF$3:CF$500)))</f>
        <v/>
      </c>
      <c r="FG35" s="56">
        <f>IF(OR(FG$4="",$B35=""),0,SUMIF('DADOS BRUTOS'!$A$3:$A$500,$B35,'DADOS BRUTOS'!CG$3:CG$500)+IF($C35="",0,SUMIF('DADOS BRUTOS'!$A$3:$A$500,$C35,'DADOS BRUTOS'!CG$3:CG$500)))</f>
        <v/>
      </c>
      <c r="FH35" s="56">
        <f>IF(OR(FH$4="",$B35=""),0,SUMIF('DADOS BRUTOS'!$A$3:$A$500,$B35,'DADOS BRUTOS'!CH$3:CH$500)+IF($C35="",0,SUMIF('DADOS BRUTOS'!$A$3:$A$500,$C35,'DADOS BRUTOS'!CH$3:CH$500)))</f>
        <v/>
      </c>
      <c r="FI35" s="56">
        <f>IF(OR(FI$4="",$B35=""),0,SUMIF('DADOS BRUTOS'!$A$3:$A$500,$B35,'DADOS BRUTOS'!CI$3:CI$500)+IF($C35="",0,SUMIF('DADOS BRUTOS'!$A$3:$A$500,$C35,'DADOS BRUTOS'!CI$3:CI$500)))</f>
        <v/>
      </c>
      <c r="FJ35" s="56">
        <f>IF(OR(FJ$4="",$B35=""),0,SUMIF('DADOS BRUTOS'!$A$3:$A$500,$B35,'DADOS BRUTOS'!CJ$3:CJ$500)+IF($C35="",0,SUMIF('DADOS BRUTOS'!$A$3:$A$500,$C35,'DADOS BRUTOS'!CJ$3:CJ$500)))</f>
        <v/>
      </c>
      <c r="FK35" s="56">
        <f>IF(OR(FK$4="",$B35=""),0,SUMIF('DADOS BRUTOS'!$A$3:$A$500,$B35,'DADOS BRUTOS'!CK$3:CK$500)+IF($C35="",0,SUMIF('DADOS BRUTOS'!$A$3:$A$500,$C35,'DADOS BRUTOS'!CK$3:CK$500)))</f>
        <v/>
      </c>
      <c r="FL35" s="56">
        <f>IF(OR(FL$4="",$B35=""),0,SUMIF('DADOS BRUTOS'!$A$3:$A$500,$B35,'DADOS BRUTOS'!CL$3:CL$500)+IF($C35="",0,SUMIF('DADOS BRUTOS'!$A$3:$A$500,$C35,'DADOS BRUTOS'!CL$3:CL$500)))</f>
        <v/>
      </c>
      <c r="FM35" s="56">
        <f>IF(OR(FM$4="",$B35=""),0,SUMIF('DADOS BRUTOS'!$A$3:$A$500,$B35,'DADOS BRUTOS'!CM$3:CM$500)+IF($C35="",0,SUMIF('DADOS BRUTOS'!$A$3:$A$500,$C35,'DADOS BRUTOS'!CM$3:CM$500)))</f>
        <v/>
      </c>
      <c r="FN35" s="56">
        <f>IF(OR(FN$4="",$B35=""),0,SUMIF('DADOS BRUTOS'!$A$3:$A$500,$B35,'DADOS BRUTOS'!CN$3:CN$500)+IF($C35="",0,SUMIF('DADOS BRUTOS'!$A$3:$A$500,$C35,'DADOS BRUTOS'!CN$3:CN$500)))</f>
        <v/>
      </c>
      <c r="FO35" s="56">
        <f>IF(OR(FO$4="",$B35=""),0,SUMIF('DADOS BRUTOS'!$A$3:$A$500,$B35,'DADOS BRUTOS'!CO$3:CO$500)+IF($C35="",0,SUMIF('DADOS BRUTOS'!$A$3:$A$500,$C35,'DADOS BRUTOS'!CO$3:CO$500)))</f>
        <v/>
      </c>
      <c r="FP35" s="56">
        <f>IF(OR(FP$4="",$B35=""),0,SUMIF('DADOS BRUTOS'!$A$3:$A$500,$B35,'DADOS BRUTOS'!CP$3:CP$500)+IF($C35="",0,SUMIF('DADOS BRUTOS'!$A$3:$A$500,$C35,'DADOS BRUTOS'!CP$3:CP$500)))</f>
        <v/>
      </c>
      <c r="FQ35" s="56">
        <f>IF(OR(FQ$4="",$B35=""),0,SUMIF('DADOS BRUTOS'!$A$3:$A$500,$B35,'DADOS BRUTOS'!CQ$3:CQ$500)+IF($C35="",0,SUMIF('DADOS BRUTOS'!$A$3:$A$500,$C35,'DADOS BRUTOS'!CQ$3:CQ$500)))</f>
        <v/>
      </c>
      <c r="FR35" s="56">
        <f>IF(OR(FR$4="",$B35=""),0,SUMIF('DADOS BRUTOS'!$A$3:$A$500,$B35,'DADOS BRUTOS'!CR$3:CR$500)+IF($C35="",0,SUMIF('DADOS BRUTOS'!$A$3:$A$500,$C35,'DADOS BRUTOS'!CR$3:CR$500)))</f>
        <v/>
      </c>
      <c r="FS35" s="56">
        <f>IF(OR(FS$4="",$B35=""),0,SUMIF('DADOS BRUTOS'!$A$3:$A$500,$B35,'DADOS BRUTOS'!CS$3:CS$500)+IF($C35="",0,SUMIF('DADOS BRUTOS'!$A$3:$A$500,$C35,'DADOS BRUTOS'!CS$3:CS$500)))</f>
        <v/>
      </c>
      <c r="FT35" s="56">
        <f>IF(OR(FT$4="",$B35=""),0,SUMIF('DADOS BRUTOS'!$A$3:$A$500,$B35,'DADOS BRUTOS'!CT$3:CT$500)+IF($C35="",0,SUMIF('DADOS BRUTOS'!$A$3:$A$500,$C35,'DADOS BRUTOS'!CT$3:CT$500)))</f>
        <v/>
      </c>
      <c r="FU35" s="56">
        <f>IF(OR(FU$4="",$B35=""),0,SUMIF('DADOS BRUTOS'!$A$3:$A$500,$B35,'DADOS BRUTOS'!CU$3:CU$500)+IF($C35="",0,SUMIF('DADOS BRUTOS'!$A$3:$A$500,$C35,'DADOS BRUTOS'!CU$3:CU$500)))</f>
        <v/>
      </c>
      <c r="FV35" s="56">
        <f>IF(OR(FV$4="",$B35=""),0,SUMIF('DADOS BRUTOS'!$A$3:$A$500,$B35,'DADOS BRUTOS'!CV$3:CV$500)+IF($C35="",0,SUMIF('DADOS BRUTOS'!$A$3:$A$500,$C35,'DADOS BRUTOS'!CV$3:CV$500)))</f>
        <v/>
      </c>
      <c r="FW35" s="56">
        <f>IF(OR(FW$4="",$B35=""),0,SUMIF('DADOS BRUTOS'!$A$3:$A$500,$B35,'DADOS BRUTOS'!CW$3:CW$500)+IF($C35="",0,SUMIF('DADOS BRUTOS'!$A$3:$A$500,$C35,'DADOS BRUTOS'!CW$3:CW$500)))</f>
        <v/>
      </c>
      <c r="FX35" s="56">
        <f>IF(OR(FX$4="",$B35=""),0,SUMIF('DADOS BRUTOS'!$A$3:$A$500,$B35,'DADOS BRUTOS'!CX$3:CX$500)+IF($C35="",0,SUMIF('DADOS BRUTOS'!$A$3:$A$500,$C35,'DADOS BRUTOS'!CX$3:CX$500)))</f>
        <v/>
      </c>
      <c r="FY35" s="56">
        <f>IF(OR(FY$4="",$B35=""),0,SUMIF('DADOS BRUTOS'!$A$3:$A$500,$B35,'DADOS BRUTOS'!CY$3:CY$500)+IF($C35="",0,SUMIF('DADOS BRUTOS'!$A$3:$A$500,$C35,'DADOS BRUTOS'!CY$3:CY$500)))</f>
        <v/>
      </c>
      <c r="FZ35" s="56">
        <f>IF(OR(FZ$4="",$B35=""),0,SUMIF('DADOS BRUTOS'!$A$3:$A$500,$B35,'DADOS BRUTOS'!CZ$3:CZ$500)+IF($C35="",0,SUMIF('DADOS BRUTOS'!$A$3:$A$500,$C35,'DADOS BRUTOS'!CZ$3:CZ$500)))</f>
        <v/>
      </c>
      <c r="GA35" s="56">
        <f>IF(OR(GA$4="",$B35=""),0,SUMIF('DADOS BRUTOS'!$A$3:$A$500,$B35,'DADOS BRUTOS'!DA$3:DA$500)+IF($C35="",0,SUMIF('DADOS BRUTOS'!$A$3:$A$500,$C35,'DADOS BRUTOS'!DA$3:DA$500)))</f>
        <v/>
      </c>
      <c r="GB35" s="56">
        <f>IF(OR(GB$4="",$B35=""),0,SUMIF('DADOS BRUTOS'!$A$3:$A$500,$B35,'DADOS BRUTOS'!DB$3:DB$500)+IF($C35="",0,SUMIF('DADOS BRUTOS'!$A$3:$A$500,$C35,'DADOS BRUTOS'!DB$3:DB$500)))</f>
        <v/>
      </c>
      <c r="GC35" s="56">
        <f>IF(OR(GC$4="",$B35=""),0,SUMIF('DADOS BRUTOS'!$A$3:$A$500,$B35,'DADOS BRUTOS'!DC$3:DC$500)+IF($C35="",0,SUMIF('DADOS BRUTOS'!$A$3:$A$500,$C35,'DADOS BRUTOS'!DC$3:DC$500)))</f>
        <v/>
      </c>
      <c r="GD35" s="56">
        <f>IF(OR(GD$4="",$B35=""),0,SUMIF('DADOS BRUTOS'!$A$3:$A$500,$B35,'DADOS BRUTOS'!DD$3:DD$500)+IF($C35="",0,SUMIF('DADOS BRUTOS'!$A$3:$A$500,$C35,'DADOS BRUTOS'!DD$3:DD$500)))</f>
        <v/>
      </c>
      <c r="GE35" s="56">
        <f>IF(OR(GE$4="",$B35=""),0,SUMIF('DADOS BRUTOS'!$A$3:$A$500,$B35,'DADOS BRUTOS'!DE$3:DE$500)+IF($C35="",0,SUMIF('DADOS BRUTOS'!$A$3:$A$500,$C35,'DADOS BRUTOS'!DE$3:DE$500)))</f>
        <v/>
      </c>
      <c r="GF35" s="56">
        <f>IF(OR(GF$4="",$B35=""),0,SUMIF('DADOS BRUTOS'!$A$3:$A$500,$B35,'DADOS BRUTOS'!DF$3:DF$500)+IF($C35="",0,SUMIF('DADOS BRUTOS'!$A$3:$A$500,$C35,'DADOS BRUTOS'!DF$3:DF$500)))</f>
        <v/>
      </c>
      <c r="GG35" s="56">
        <f>IF(OR(GG$4="",$B35=""),0,SUMIF('DADOS BRUTOS'!$A$3:$A$500,$B35,'DADOS BRUTOS'!DG$3:DG$500)+IF($C35="",0,SUMIF('DADOS BRUTOS'!$A$3:$A$500,$C35,'DADOS BRUTOS'!DG$3:DG$500)))</f>
        <v/>
      </c>
      <c r="GH35" s="56">
        <f>IF(OR(GH$4="",$B35=""),0,SUMIF('DADOS BRUTOS'!$A$3:$A$500,$B35,'DADOS BRUTOS'!DH$3:DH$500)+IF($C35="",0,SUMIF('DADOS BRUTOS'!$A$3:$A$500,$C35,'DADOS BRUTOS'!DH$3:DH$500)))</f>
        <v/>
      </c>
      <c r="GI35" s="56">
        <f>IF(OR(GI$4="",$B35=""),0,SUMIF('DADOS BRUTOS'!$A$3:$A$500,$B35,'DADOS BRUTOS'!DI$3:DI$500)+IF($C35="",0,SUMIF('DADOS BRUTOS'!$A$3:$A$500,$C35,'DADOS BRUTOS'!DI$3:DI$500)))</f>
        <v/>
      </c>
      <c r="GJ35" s="56">
        <f>IF(OR(GJ$4="",$B35=""),0,SUMIF('DADOS BRUTOS'!$A$3:$A$500,$B35,'DADOS BRUTOS'!DJ$3:DJ$500)+IF($C35="",0,SUMIF('DADOS BRUTOS'!$A$3:$A$500,$C35,'DADOS BRUTOS'!DJ$3:DJ$500)))</f>
        <v/>
      </c>
      <c r="GK35" s="56">
        <f>IF(OR(GK$4="",$B35=""),0,SUMIF('DADOS BRUTOS'!$A$3:$A$500,$B35,'DADOS BRUTOS'!DK$3:DK$500)+IF($C35="",0,SUMIF('DADOS BRUTOS'!$A$3:$A$500,$C35,'DADOS BRUTOS'!DK$3:DK$500)))</f>
        <v/>
      </c>
      <c r="GL35" s="56">
        <f>IF(OR(GL$4="",$B35=""),0,SUMIF('DADOS BRUTOS'!$A$3:$A$500,$B35,'DADOS BRUTOS'!DL$3:DL$500)+IF($C35="",0,SUMIF('DADOS BRUTOS'!$A$3:$A$500,$C35,'DADOS BRUTOS'!DL$3:DL$500)))</f>
        <v/>
      </c>
      <c r="GM35" s="56">
        <f>IF(OR(GM$4="",$B35=""),0,SUMIF('DADOS BRUTOS'!$A$3:$A$500,$B35,'DADOS BRUTOS'!DM$3:DM$500)+IF($C35="",0,SUMIF('DADOS BRUTOS'!$A$3:$A$500,$C35,'DADOS BRUTOS'!DM$3:DM$500)))</f>
        <v/>
      </c>
      <c r="GN35" s="56">
        <f>IF(OR(GN$4="",$B35=""),0,SUMIF('DADOS BRUTOS'!$A$3:$A$500,$B35,'DADOS BRUTOS'!DN$3:DN$500)+IF($C35="",0,SUMIF('DADOS BRUTOS'!$A$3:$A$500,$C35,'DADOS BRUTOS'!DN$3:DN$500)))</f>
        <v/>
      </c>
      <c r="GO35" s="56">
        <f>IF(OR(GO$4="",$B35=""),0,SUMIF('DADOS BRUTOS'!$A$3:$A$500,$B35,'DADOS BRUTOS'!DO$3:DO$500)+IF($C35="",0,SUMIF('DADOS BRUTOS'!$A$3:$A$500,$C35,'DADOS BRUTOS'!DO$3:DO$500)))</f>
        <v/>
      </c>
      <c r="GP35" s="56">
        <f>IF(OR(GP$4="",$B35=""),0,SUMIF('DADOS BRUTOS'!$A$3:$A$500,$B35,'DADOS BRUTOS'!DP$3:DP$500)+IF($C35="",0,SUMIF('DADOS BRUTOS'!$A$3:$A$500,$C35,'DADOS BRUTOS'!DP$3:DP$500)))</f>
        <v/>
      </c>
      <c r="GQ35" s="56">
        <f>IF(OR(GQ$4="",$B35=""),0,SUMIF('DADOS BRUTOS'!$A$3:$A$500,$B35,'DADOS BRUTOS'!DQ$3:DQ$500)+IF($C35="",0,SUMIF('DADOS BRUTOS'!$A$3:$A$500,$C35,'DADOS BRUTOS'!DQ$3:DQ$500)))</f>
        <v/>
      </c>
      <c r="GR35" s="56">
        <f>IF(OR(GR$4="",$B35=""),0,SUMIF('DADOS BRUTOS'!$A$3:$A$500,$B35,'DADOS BRUTOS'!DR$3:DR$500)+IF($C35="",0,SUMIF('DADOS BRUTOS'!$A$3:$A$500,$C35,'DADOS BRUTOS'!DR$3:DR$500)))</f>
        <v/>
      </c>
      <c r="GS35" s="56">
        <f>IF(OR(GS$4="",$B35=""),0,SUMIF('DADOS BRUTOS'!$A$3:$A$500,$B35,'DADOS BRUTOS'!DS$3:DS$500)+IF($C35="",0,SUMIF('DADOS BRUTOS'!$A$3:$A$500,$C35,'DADOS BRUTOS'!DS$3:DS$500)))</f>
        <v/>
      </c>
      <c r="GT35" s="56">
        <f>IF(OR(GT$4="",$B35=""),0,SUMIF('DADOS BRUTOS'!$A$3:$A$500,$B35,'DADOS BRUTOS'!DT$3:DT$500)+IF($C35="",0,SUMIF('DADOS BRUTOS'!$A$3:$A$500,$C35,'DADOS BRUTOS'!DT$3:DT$500)))</f>
        <v/>
      </c>
      <c r="GU35" s="56">
        <f>IF(OR(GU$4="",$B35=""),0,SUMIF('DADOS BRUTOS'!$A$3:$A$500,$B35,'DADOS BRUTOS'!DU$3:DU$500)+IF($C35="",0,SUMIF('DADOS BRUTOS'!$A$3:$A$500,$C35,'DADOS BRUTOS'!DU$3:DU$500)))</f>
        <v/>
      </c>
      <c r="GV35" s="56">
        <f>IF(OR(GV$4="",$B35=""),0,SUMIF('DADOS BRUTOS'!$A$3:$A$500,$B35,'DADOS BRUTOS'!DV$3:DV$500)+IF($C35="",0,SUMIF('DADOS BRUTOS'!$A$3:$A$500,$C35,'DADOS BRUTOS'!DV$3:DV$500)))</f>
        <v/>
      </c>
      <c r="GW35" s="56">
        <f>IF(OR(GW$4="",$B35=""),0,SUMIF('DADOS BRUTOS'!$A$3:$A$500,$B35,'DADOS BRUTOS'!DW$3:DW$500)+IF($C35="",0,SUMIF('DADOS BRUTOS'!$A$3:$A$500,$C35,'DADOS BRUTOS'!DW$3:DW$500)))</f>
        <v/>
      </c>
      <c r="GX35" s="56">
        <f>IF(OR(GX$4="",$B35=""),0,SUMIF('DADOS BRUTOS'!$A$3:$A$500,$B35,'DADOS BRUTOS'!DX$3:DX$500)+IF($C35="",0,SUMIF('DADOS BRUTOS'!$A$3:$A$500,$C35,'DADOS BRUTOS'!DX$3:DX$500)))</f>
        <v/>
      </c>
      <c r="GY35" s="56">
        <f>IF(OR(GY$4="",$B35=""),0,SUMIF('DADOS BRUTOS'!$A$3:$A$500,$B35,'DADOS BRUTOS'!DY$3:DY$500)+IF($C35="",0,SUMIF('DADOS BRUTOS'!$A$3:$A$500,$C35,'DADOS BRUTOS'!DY$3:DY$500)))</f>
        <v/>
      </c>
      <c r="GZ35" s="56">
        <f>IF(OR(GZ$4="",$B35=""),0,SUMIF('DADOS BRUTOS'!$A$3:$A$500,$B35,'DADOS BRUTOS'!DZ$3:DZ$500)+IF($C35="",0,SUMIF('DADOS BRUTOS'!$A$3:$A$500,$C35,'DADOS BRUTOS'!DZ$3:DZ$500)))</f>
        <v/>
      </c>
      <c r="HA35" s="56">
        <f>IF(OR(HA$4="",$B35=""),0,SUMIF('DADOS BRUTOS'!$A$3:$A$500,$B35,'DADOS BRUTOS'!EA$3:EA$500)+IF($C35="",0,SUMIF('DADOS BRUTOS'!$A$3:$A$500,$C35,'DADOS BRUTOS'!EA$3:EA$500)))</f>
        <v/>
      </c>
      <c r="HB35" s="56">
        <f>IF(OR(HB$4="",$B35=""),0,SUMIF('DADOS BRUTOS'!$A$3:$A$500,$B35,'DADOS BRUTOS'!EB$3:EB$500)+IF($C35="",0,SUMIF('DADOS BRUTOS'!$A$3:$A$500,$C35,'DADOS BRUTOS'!EB$3:EB$500)))</f>
        <v/>
      </c>
      <c r="HC35" s="56">
        <f>IF(OR(HC$4="",$B35=""),0,SUMIF('DADOS BRUTOS'!$A$3:$A$500,$B35,'DADOS BRUTOS'!EC$3:EC$500)+IF($C35="",0,SUMIF('DADOS BRUTOS'!$A$3:$A$500,$C35,'DADOS BRUTOS'!EC$3:EC$500)))</f>
        <v/>
      </c>
      <c r="HD35" s="56">
        <f>IF(OR(HD$4="",$B35=""),0,SUMIF('DADOS BRUTOS'!$A$3:$A$500,$B35,'DADOS BRUTOS'!ED$3:ED$500)+IF($C35="",0,SUMIF('DADOS BRUTOS'!$A$3:$A$500,$C35,'DADOS BRUTOS'!ED$3:ED$500)))</f>
        <v/>
      </c>
      <c r="HE35" s="56">
        <f>IF(OR(HE$4="",$B35=""),0,SUMIF('DADOS BRUTOS'!$A$3:$A$500,$B35,'DADOS BRUTOS'!EE$3:EE$500)+IF($C35="",0,SUMIF('DADOS BRUTOS'!$A$3:$A$500,$C35,'DADOS BRUTOS'!EE$3:EE$500)))</f>
        <v/>
      </c>
      <c r="HF35" s="56">
        <f>IF(OR(HF$4="",$B35=""),0,SUMIF('DADOS BRUTOS'!$A$3:$A$500,$B35,'DADOS BRUTOS'!EF$3:EF$500)+IF($C35="",0,SUMIF('DADOS BRUTOS'!$A$3:$A$500,$C35,'DADOS BRUTOS'!EF$3:EF$500)))</f>
        <v/>
      </c>
      <c r="HG35" s="56">
        <f>IF(OR(HG$4="",$B35=""),0,SUMIF('DADOS BRUTOS'!$A$3:$A$500,$B35,'DADOS BRUTOS'!EG$3:EG$500)+IF($C35="",0,SUMIF('DADOS BRUTOS'!$A$3:$A$500,$C35,'DADOS BRUTOS'!EG$3:EG$500)))</f>
        <v/>
      </c>
      <c r="HH35" s="56">
        <f>IF(OR(HH$4="",$B35=""),0,SUMIF('DADOS BRUTOS'!$A$3:$A$500,$B35,'DADOS BRUTOS'!EH$3:EH$500)+IF($C35="",0,SUMIF('DADOS BRUTOS'!$A$3:$A$500,$C35,'DADOS BRUTOS'!EH$3:EH$500)))</f>
        <v/>
      </c>
      <c r="HI35" s="56">
        <f>IF(OR(HI$4="",$B35=""),0,SUMIF('DADOS BRUTOS'!$A$3:$A$500,$B35,'DADOS BRUTOS'!EI$3:EI$500)+IF($C35="",0,SUMIF('DADOS BRUTOS'!$A$3:$A$500,$C35,'DADOS BRUTOS'!EI$3:EI$500)))</f>
        <v/>
      </c>
      <c r="HJ35" s="56">
        <f>IF(OR(HJ$4="",$B35=""),0,SUMIF('DADOS BRUTOS'!$A$3:$A$500,$B35,'DADOS BRUTOS'!EJ$3:EJ$500)+IF($C35="",0,SUMIF('DADOS BRUTOS'!$A$3:$A$500,$C35,'DADOS BRUTOS'!EJ$3:EJ$500)))</f>
        <v/>
      </c>
      <c r="HK35" s="56">
        <f>IF(OR(HK$4="",$B35=""),0,SUMIF('DADOS BRUTOS'!$A$3:$A$500,$B35,'DADOS BRUTOS'!EK$3:EK$500)+IF($C35="",0,SUMIF('DADOS BRUTOS'!$A$3:$A$500,$C35,'DADOS BRUTOS'!EK$3:EK$500)))</f>
        <v/>
      </c>
      <c r="HL35" s="56">
        <f>IF(OR(HL$4="",$B35=""),0,SUMIF('DADOS BRUTOS'!$A$3:$A$500,$B35,'DADOS BRUTOS'!EL$3:EL$500)+IF($C35="",0,SUMIF('DADOS BRUTOS'!$A$3:$A$500,$C35,'DADOS BRUTOS'!EL$3:EL$500)))</f>
        <v/>
      </c>
      <c r="HM35" s="56">
        <f>IF(OR(HM$4="",$B35=""),0,SUMIF('DADOS BRUTOS'!$A$3:$A$500,$B35,'DADOS BRUTOS'!EM$3:EM$500)+IF($C35="",0,SUMIF('DADOS BRUTOS'!$A$3:$A$500,$C35,'DADOS BRUTOS'!EM$3:EM$500)))</f>
        <v/>
      </c>
      <c r="HN35" s="56">
        <f>IF(OR(HN$4="",$B35=""),0,SUMIF('DADOS BRUTOS'!$A$3:$A$500,$B35,'DADOS BRUTOS'!EN$3:EN$500)+IF($C35="",0,SUMIF('DADOS BRUTOS'!$A$3:$A$500,$C35,'DADOS BRUTOS'!EN$3:EN$500)))</f>
        <v/>
      </c>
      <c r="HO35" s="56">
        <f>IF(OR(HO$4="",$B35=""),0,SUMIF('DADOS BRUTOS'!$A$3:$A$500,$B35,'DADOS BRUTOS'!EO$3:EO$500)+IF($C35="",0,SUMIF('DADOS BRUTOS'!$A$3:$A$500,$C35,'DADOS BRUTOS'!EO$3:EO$500)))</f>
        <v/>
      </c>
      <c r="HP35" s="56">
        <f>IF(OR(HP$4="",$B35=""),0,SUMIF('DADOS BRUTOS'!$A$3:$A$500,$B35,'DADOS BRUTOS'!EP$3:EP$500)+IF($C35="",0,SUMIF('DADOS BRUTOS'!$A$3:$A$500,$C35,'DADOS BRUTOS'!EP$3:EP$500)))</f>
        <v/>
      </c>
      <c r="HQ35" s="56">
        <f>IF(OR(HQ$4="",$B35=""),0,SUMIF('DADOS BRUTOS'!$A$3:$A$500,$B35,'DADOS BRUTOS'!EQ$3:EQ$500)+IF($C35="",0,SUMIF('DADOS BRUTOS'!$A$3:$A$500,$C35,'DADOS BRUTOS'!EQ$3:EQ$500)))</f>
        <v/>
      </c>
      <c r="HR35" s="56">
        <f>IF(OR(HR$4="",$B35=""),0,SUMIF('DADOS BRUTOS'!$A$3:$A$500,$B35,'DADOS BRUTOS'!ER$3:ER$500)+IF($C35="",0,SUMIF('DADOS BRUTOS'!$A$3:$A$500,$C35,'DADOS BRUTOS'!ER$3:ER$500)))</f>
        <v/>
      </c>
      <c r="HS35" s="56">
        <f>IF(OR(HS$4="",$B35=""),0,SUMIF('DADOS BRUTOS'!$A$3:$A$500,$B35,'DADOS BRUTOS'!ES$3:ES$500)+IF($C35="",0,SUMIF('DADOS BRUTOS'!$A$3:$A$500,$C35,'DADOS BRUTOS'!ES$3:ES$500)))</f>
        <v/>
      </c>
      <c r="HT35" s="56">
        <f>IF(OR(HT$4="",$B35=""),0,SUMIF('DADOS BRUTOS'!$A$3:$A$500,$B35,'DADOS BRUTOS'!ET$3:ET$500)+IF($C35="",0,SUMIF('DADOS BRUTOS'!$A$3:$A$500,$C35,'DADOS BRUTOS'!ET$3:ET$500)))</f>
        <v/>
      </c>
      <c r="HU35" s="56">
        <f>IF(OR(HU$4="",$B35=""),0,SUMIF('DADOS BRUTOS'!$A$3:$A$500,$B35,'DADOS BRUTOS'!EU$3:EU$500)+IF($C35="",0,SUMIF('DADOS BRUTOS'!$A$3:$A$500,$C35,'DADOS BRUTOS'!EU$3:EU$500)))</f>
        <v/>
      </c>
      <c r="HV35" s="56">
        <f>IF(OR(HV$4="",$B35=""),0,SUMIF('DADOS BRUTOS'!$A$3:$A$500,$B35,'DADOS BRUTOS'!EV$3:EV$500)+IF($C35="",0,SUMIF('DADOS BRUTOS'!$A$3:$A$500,$C35,'DADOS BRUTOS'!EV$3:EV$500)))</f>
        <v/>
      </c>
      <c r="HW35" s="56">
        <f>IF(OR(HW$4="",$B35=""),0,SUMIF('DADOS BRUTOS'!$A$3:$A$500,$B35,'DADOS BRUTOS'!EW$3:EW$500)+IF($C35="",0,SUMIF('DADOS BRUTOS'!$A$3:$A$500,$C35,'DADOS BRUTOS'!EW$3:EW$500)))</f>
        <v/>
      </c>
      <c r="HX35" s="56">
        <f>IF(OR(HX$4="",$B35=""),0,SUMIF('DADOS BRUTOS'!$A$3:$A$500,$B35,'DADOS BRUTOS'!EX$3:EX$500)+IF($C35="",0,SUMIF('DADOS BRUTOS'!$A$3:$A$500,$C35,'DADOS BRUTOS'!EX$3:EX$500)))</f>
        <v/>
      </c>
      <c r="HY35" s="56">
        <f>IF(OR(HY$4="",$B35=""),0,SUMIF('DADOS BRUTOS'!$A$3:$A$500,$B35,'DADOS BRUTOS'!EY$3:EY$500)+IF($C35="",0,SUMIF('DADOS BRUTOS'!$A$3:$A$500,$C35,'DADOS BRUTOS'!EY$3:EY$500)))</f>
        <v/>
      </c>
      <c r="HZ35" s="56">
        <f>IF(OR(HZ$4="",$B35=""),0,SUMIF('DADOS BRUTOS'!$A$3:$A$500,$B35,'DADOS BRUTOS'!EZ$3:EZ$500)+IF($C35="",0,SUMIF('DADOS BRUTOS'!$A$3:$A$500,$C35,'DADOS BRUTOS'!EZ$3:EZ$500)))</f>
        <v/>
      </c>
      <c r="IA35" s="56">
        <f>IF(OR(IA$4="",$B35=""),0,SUMIF('DADOS BRUTOS'!$A$3:$A$500,$B35,'DADOS BRUTOS'!FA$3:FA$500)+IF($C35="",0,SUMIF('DADOS BRUTOS'!$A$3:$A$500,$C35,'DADOS BRUTOS'!FA$3:FA$500)))</f>
        <v/>
      </c>
      <c r="IB35" s="56">
        <f>IF(OR(IB$4="",$B35=""),0,SUMIF('DADOS BRUTOS'!$A$3:$A$500,$B35,'DADOS BRUTOS'!FB$3:FB$500)+IF($C35="",0,SUMIF('DADOS BRUTOS'!$A$3:$A$500,$C35,'DADOS BRUTOS'!FB$3:FB$500)))</f>
        <v/>
      </c>
      <c r="IC35" s="56">
        <f>IF(OR(IC$4="",$B35=""),0,SUMIF('DADOS BRUTOS'!$A$3:$A$500,$B35,'DADOS BRUTOS'!FC$3:FC$500)+IF($C35="",0,SUMIF('DADOS BRUTOS'!$A$3:$A$500,$C35,'DADOS BRUTOS'!FC$3:FC$500)))</f>
        <v/>
      </c>
      <c r="ID35" s="56">
        <f>IF(OR(ID$4="",$B35=""),0,SUMIF('DADOS BRUTOS'!$A$3:$A$500,$B35,'DADOS BRUTOS'!FD$3:FD$500)+IF($C35="",0,SUMIF('DADOS BRUTOS'!$A$3:$A$500,$C35,'DADOS BRUTOS'!FD$3:FD$500)))</f>
        <v/>
      </c>
      <c r="IE35" s="56">
        <f>IF(OR(IE$4="",$B35=""),0,SUMIF('DADOS BRUTOS'!$A$3:$A$500,$B35,'DADOS BRUTOS'!FE$3:FE$500)+IF($C35="",0,SUMIF('DADOS BRUTOS'!$A$3:$A$500,$C35,'DADOS BRUTOS'!FE$3:FE$500)))</f>
        <v/>
      </c>
      <c r="IF35" s="56">
        <f>IF(OR(IF$4="",$B35=""),0,SUMIF('DADOS BRUTOS'!$A$3:$A$500,$B35,'DADOS BRUTOS'!FF$3:FF$500)+IF($C35="",0,SUMIF('DADOS BRUTOS'!$A$3:$A$500,$C35,'DADOS BRUTOS'!FF$3:FF$500)))</f>
        <v/>
      </c>
      <c r="IG35" s="56">
        <f>IF(OR(IG$4="",$B35=""),0,SUMIF('DADOS BRUTOS'!$A$3:$A$500,$B35,'DADOS BRUTOS'!FG$3:FG$500)+IF($C35="",0,SUMIF('DADOS BRUTOS'!$A$3:$A$500,$C35,'DADOS BRUTOS'!FG$3:FG$500)))</f>
        <v/>
      </c>
      <c r="IH35" s="56">
        <f>IF(OR(IH$4="",$B35=""),0,SUMIF('DADOS BRUTOS'!$A$3:$A$500,$B35,'DADOS BRUTOS'!FH$3:FH$500)+IF($C35="",0,SUMIF('DADOS BRUTOS'!$A$3:$A$500,$C35,'DADOS BRUTOS'!FH$3:FH$500)))</f>
        <v/>
      </c>
      <c r="II35" s="56">
        <f>IF(OR(II$4="",$B35=""),0,SUMIF('DADOS BRUTOS'!$A$3:$A$500,$B35,'DADOS BRUTOS'!FI$3:FI$500)+IF($C35="",0,SUMIF('DADOS BRUTOS'!$A$3:$A$500,$C35,'DADOS BRUTOS'!FI$3:FI$500)))</f>
        <v/>
      </c>
      <c r="IJ35" s="56">
        <f>IF(OR(IJ$4="",$B35=""),0,SUMIF('DADOS BRUTOS'!$A$3:$A$500,$B35,'DADOS BRUTOS'!FJ$3:FJ$500)+IF($C35="",0,SUMIF('DADOS BRUTOS'!$A$3:$A$500,$C35,'DADOS BRUTOS'!FJ$3:FJ$500)))</f>
        <v/>
      </c>
      <c r="IK35" s="56">
        <f>IF(OR(IK$4="",$B35=""),0,SUMIF('DADOS BRUTOS'!$A$3:$A$500,$B35,'DADOS BRUTOS'!FK$3:FK$500)+IF($C35="",0,SUMIF('DADOS BRUTOS'!$A$3:$A$500,$C35,'DADOS BRUTOS'!FK$3:FK$500)))</f>
        <v/>
      </c>
      <c r="IL35" s="56">
        <f>IF(OR(IL$4="",$B35=""),0,SUMIF('DADOS BRUTOS'!$A$3:$A$500,$B35,'DADOS BRUTOS'!FL$3:FL$500)+IF($C35="",0,SUMIF('DADOS BRUTOS'!$A$3:$A$500,$C35,'DADOS BRUTOS'!FL$3:FL$500)))</f>
        <v/>
      </c>
      <c r="IM35" s="56">
        <f>IF(OR(IM$4="",$B35=""),0,SUMIF('DADOS BRUTOS'!$A$3:$A$500,$B35,'DADOS BRUTOS'!FM$3:FM$500)+IF($C35="",0,SUMIF('DADOS BRUTOS'!$A$3:$A$500,$C35,'DADOS BRUTOS'!FM$3:FM$500)))</f>
        <v/>
      </c>
      <c r="IN35" s="56">
        <f>IF(OR(IN$4="",$B35=""),0,SUMIF('DADOS BRUTOS'!$A$3:$A$500,$B35,'DADOS BRUTOS'!FN$3:FN$500)+IF($C35="",0,SUMIF('DADOS BRUTOS'!$A$3:$A$500,$C35,'DADOS BRUTOS'!FN$3:FN$500)))</f>
        <v/>
      </c>
      <c r="IO35" s="56">
        <f>IF(OR(IO$4="",$B35=""),0,SUMIF('DADOS BRUTOS'!$A$3:$A$500,$B35,'DADOS BRUTOS'!FO$3:FO$500)+IF($C35="",0,SUMIF('DADOS BRUTOS'!$A$3:$A$500,$C35,'DADOS BRUTOS'!FO$3:FO$500)))</f>
        <v/>
      </c>
      <c r="IP35" s="56">
        <f>IF(OR(IP$4="",$B35=""),0,SUMIF('DADOS BRUTOS'!$A$3:$A$500,$B35,'DADOS BRUTOS'!FP$3:FP$500)+IF($C35="",0,SUMIF('DADOS BRUTOS'!$A$3:$A$500,$C35,'DADOS BRUTOS'!FP$3:FP$500)))</f>
        <v/>
      </c>
      <c r="IQ35" s="56">
        <f>IF(OR(IQ$4="",$B35=""),0,SUMIF('DADOS BRUTOS'!$A$3:$A$500,$B35,'DADOS BRUTOS'!FQ$3:FQ$500)+IF($C35="",0,SUMIF('DADOS BRUTOS'!$A$3:$A$500,$C35,'DADOS BRUTOS'!FQ$3:FQ$500)))</f>
        <v/>
      </c>
      <c r="IR35" s="56">
        <f>IF(OR(IR$4="",$B35=""),0,SUMIF('DADOS BRUTOS'!$A$3:$A$500,$B35,'DADOS BRUTOS'!FR$3:FR$500)+IF($C35="",0,SUMIF('DADOS BRUTOS'!$A$3:$A$500,$C35,'DADOS BRUTOS'!FR$3:FR$500)))</f>
        <v/>
      </c>
      <c r="IS35" s="56">
        <f>IF(OR(IS$4="",$B35=""),0,SUMIF('DADOS BRUTOS'!$A$3:$A$500,$B35,'DADOS BRUTOS'!FS$3:FS$500)+IF($C35="",0,SUMIF('DADOS BRUTOS'!$A$3:$A$500,$C35,'DADOS BRUTOS'!FS$3:FS$500)))</f>
        <v/>
      </c>
      <c r="IT35" s="56">
        <f>IF(OR(IT$4="",$B35=""),0,SUMIF('DADOS BRUTOS'!$A$3:$A$500,$B35,'DADOS BRUTOS'!FT$3:FT$500)+IF($C35="",0,SUMIF('DADOS BRUTOS'!$A$3:$A$500,$C35,'DADOS BRUTOS'!FT$3:FT$500)))</f>
        <v/>
      </c>
      <c r="IU35" s="56">
        <f>IF(OR(IU$4="",$B35=""),0,SUMIF('DADOS BRUTOS'!$A$3:$A$500,$B35,'DADOS BRUTOS'!FU$3:FU$500)+IF($C35="",0,SUMIF('DADOS BRUTOS'!$A$3:$A$500,$C35,'DADOS BRUTOS'!FU$3:FU$500)))</f>
        <v/>
      </c>
      <c r="IV35" s="56">
        <f>IF(OR(IV$4="",$B35=""),0,SUMIF('DADOS BRUTOS'!$A$3:$A$500,$B35,'DADOS BRUTOS'!FV$3:FV$500)+IF($C35="",0,SUMIF('DADOS BRUTOS'!$A$3:$A$500,$C35,'DADOS BRUTOS'!FV$3:FV$500)))</f>
        <v/>
      </c>
      <c r="IW35" s="56">
        <f>IF(OR(IW$4="",$B35=""),0,SUMIF('DADOS BRUTOS'!$A$3:$A$500,$B35,'DADOS BRUTOS'!FW$3:FW$500)+IF($C35="",0,SUMIF('DADOS BRUTOS'!$A$3:$A$500,$C35,'DADOS BRUTOS'!FW$3:FW$500)))</f>
        <v/>
      </c>
      <c r="IX35" s="56">
        <f>IF(OR(IX$4="",$B35=""),0,SUMIF('DADOS BRUTOS'!$A$3:$A$500,$B35,'DADOS BRUTOS'!FX$3:FX$500)+IF($C35="",0,SUMIF('DADOS BRUTOS'!$A$3:$A$500,$C35,'DADOS BRUTOS'!FX$3:FX$500)))</f>
        <v/>
      </c>
      <c r="IY35" s="56">
        <f>IF(OR(IY$4="",$B35=""),0,SUMIF('DADOS BRUTOS'!$A$3:$A$500,$B35,'DADOS BRUTOS'!FY$3:FY$500)+IF($C35="",0,SUMIF('DADOS BRUTOS'!$A$3:$A$500,$C35,'DADOS BRUTOS'!FY$3:FY$500)))</f>
        <v/>
      </c>
      <c r="IZ35" s="56">
        <f>IF(OR(IZ$4="",$B35=""),0,SUMIF('DADOS BRUTOS'!$A$3:$A$500,$B35,'DADOS BRUTOS'!FZ$3:FZ$500)+IF($C35="",0,SUMIF('DADOS BRUTOS'!$A$3:$A$500,$C35,'DADOS BRUTOS'!FZ$3:FZ$500)))</f>
        <v/>
      </c>
      <c r="JA35" s="56">
        <f>IF(OR(JA$4="",$B35=""),0,SUMIF('DADOS BRUTOS'!$A$3:$A$500,$B35,'DADOS BRUTOS'!GA$3:GA$500)+IF($C35="",0,SUMIF('DADOS BRUTOS'!$A$3:$A$500,$C35,'DADOS BRUTOS'!GA$3:GA$500)))</f>
        <v/>
      </c>
      <c r="JB35" s="56">
        <f>IF(OR(JB$4="",$B35=""),0,SUMIF('DADOS BRUTOS'!$A$3:$A$500,$B35,'DADOS BRUTOS'!GB$3:GB$500)+IF($C35="",0,SUMIF('DADOS BRUTOS'!$A$3:$A$500,$C35,'DADOS BRUTOS'!GB$3:GB$500)))</f>
        <v/>
      </c>
      <c r="JC35" s="56">
        <f>IF(OR(JC$4="",$B35=""),0,SUMIF('DADOS BRUTOS'!$A$3:$A$500,$B35,'DADOS BRUTOS'!GC$3:GC$500)+IF($C35="",0,SUMIF('DADOS BRUTOS'!$A$3:$A$500,$C35,'DADOS BRUTOS'!GC$3:GC$500)))</f>
        <v/>
      </c>
      <c r="JD35" s="56">
        <f>IF(OR(JD$4="",$B35=""),0,SUMIF('DADOS BRUTOS'!$A$3:$A$500,$B35,'DADOS BRUTOS'!GD$3:GD$500)+IF($C35="",0,SUMIF('DADOS BRUTOS'!$A$3:$A$500,$C35,'DADOS BRUTOS'!GD$3:GD$500)))</f>
        <v/>
      </c>
      <c r="JE35" s="56">
        <f>IF(OR(JE$4="",$B35=""),0,SUMIF('DADOS BRUTOS'!$A$3:$A$500,$B35,'DADOS BRUTOS'!GE$3:GE$500)+IF($C35="",0,SUMIF('DADOS BRUTOS'!$A$3:$A$500,$C35,'DADOS BRUTOS'!GE$3:GE$500)))</f>
        <v/>
      </c>
      <c r="JF35" s="56">
        <f>IF(OR(JF$4="",$B35=""),0,SUMIF('DADOS BRUTOS'!$A$3:$A$500,$B35,'DADOS BRUTOS'!GF$3:GF$500)+IF($C35="",0,SUMIF('DADOS BRUTOS'!$A$3:$A$500,$C35,'DADOS BRUTOS'!GF$3:GF$500)))</f>
        <v/>
      </c>
      <c r="JG35" s="56">
        <f>IF(OR(JG$4="",$B35=""),0,SUMIF('DADOS BRUTOS'!$A$3:$A$500,$B35,'DADOS BRUTOS'!GG$3:GG$500)+IF($C35="",0,SUMIF('DADOS BRUTOS'!$A$3:$A$500,$C35,'DADOS BRUTOS'!GG$3:GG$500)))</f>
        <v/>
      </c>
      <c r="JH35" s="56">
        <f>IF(OR(JH$4="",$B35=""),0,SUMIF('DADOS BRUTOS'!$A$3:$A$500,$B35,'DADOS BRUTOS'!GH$3:GH$500)+IF($C35="",0,SUMIF('DADOS BRUTOS'!$A$3:$A$500,$C35,'DADOS BRUTOS'!GH$3:GH$500)))</f>
        <v/>
      </c>
      <c r="JI35" s="56">
        <f>IF(OR(JI$4="",$B35=""),0,SUMIF('DADOS BRUTOS'!$A$3:$A$500,$B35,'DADOS BRUTOS'!GI$3:GI$500)+IF($C35="",0,SUMIF('DADOS BRUTOS'!$A$3:$A$500,$C35,'DADOS BRUTOS'!GI$3:GI$500)))</f>
        <v/>
      </c>
      <c r="JJ35" s="56">
        <f>IF(OR(JJ$4="",$B35=""),0,SUMIF('DADOS BRUTOS'!$A$3:$A$500,$B35,'DADOS BRUTOS'!GJ$3:GJ$500)+IF($C35="",0,SUMIF('DADOS BRUTOS'!$A$3:$A$500,$C35,'DADOS BRUTOS'!GJ$3:GJ$500)))</f>
        <v/>
      </c>
      <c r="JK35" s="56">
        <f>IF(OR(JK$4="",$B35=""),0,SUMIF('DADOS BRUTOS'!$A$3:$A$500,$B35,'DADOS BRUTOS'!GK$3:GK$500)+IF($C35="",0,SUMIF('DADOS BRUTOS'!$A$3:$A$500,$C35,'DADOS BRUTOS'!GK$3:GK$500)))</f>
        <v/>
      </c>
      <c r="JL35" s="56">
        <f>IF(OR(JL$4="",$B35=""),0,SUMIF('DADOS BRUTOS'!$A$3:$A$500,$B35,'DADOS BRUTOS'!GL$3:GL$500)+IF($C35="",0,SUMIF('DADOS BRUTOS'!$A$3:$A$500,$C35,'DADOS BRUTOS'!GL$3:GL$500)))</f>
        <v/>
      </c>
      <c r="JM35" s="56">
        <f>IF(OR(JM$4="",$B35=""),0,SUMIF('DADOS BRUTOS'!$A$3:$A$500,$B35,'DADOS BRUTOS'!GM$3:GM$500)+IF($C35="",0,SUMIF('DADOS BRUTOS'!$A$3:$A$500,$C35,'DADOS BRUTOS'!GM$3:GM$500)))</f>
        <v/>
      </c>
      <c r="JN35" s="56">
        <f>IF(OR(JN$4="",$B35=""),0,SUMIF('DADOS BRUTOS'!$A$3:$A$500,$B35,'DADOS BRUTOS'!GN$3:GN$500)+IF($C35="",0,SUMIF('DADOS BRUTOS'!$A$3:$A$500,$C35,'DADOS BRUTOS'!GN$3:GN$500)))</f>
        <v/>
      </c>
      <c r="JO35" s="56">
        <f>IF(OR(JO$4="",$B35=""),0,SUMIF('DADOS BRUTOS'!$A$3:$A$500,$B35,'DADOS BRUTOS'!GO$3:GO$500)+IF($C35="",0,SUMIF('DADOS BRUTOS'!$A$3:$A$500,$C35,'DADOS BRUTOS'!GO$3:GO$500)))</f>
        <v/>
      </c>
      <c r="JP35" s="56">
        <f>IF(OR(JP$4="",$B35=""),0,SUMIF('DADOS BRUTOS'!$A$3:$A$500,$B35,'DADOS BRUTOS'!GP$3:GP$500)+IF($C35="",0,SUMIF('DADOS BRUTOS'!$A$3:$A$500,$C35,'DADOS BRUTOS'!GP$3:GP$500)))</f>
        <v/>
      </c>
      <c r="JQ35" s="56">
        <f>IF(OR(JQ$4="",$B35=""),0,SUMIF('DADOS BRUTOS'!$A$3:$A$500,$B35,'DADOS BRUTOS'!GQ$3:GQ$500)+IF($C35="",0,SUMIF('DADOS BRUTOS'!$A$3:$A$500,$C35,'DADOS BRUTOS'!GQ$3:GQ$500)))</f>
        <v/>
      </c>
      <c r="JR35" s="56">
        <f>IF(OR(JR$4="",$B35=""),0,SUMIF('DADOS BRUTOS'!$A$3:$A$500,$B35,'DADOS BRUTOS'!GR$3:GR$500)+IF($C35="",0,SUMIF('DADOS BRUTOS'!$A$3:$A$500,$C35,'DADOS BRUTOS'!GR$3:GR$500)))</f>
        <v/>
      </c>
      <c r="JS35" s="56">
        <f>IF(OR(JS$4="",$B35=""),0,SUMIF('DADOS BRUTOS'!$A$3:$A$500,$B35,'DADOS BRUTOS'!GS$3:GS$500)+IF($C35="",0,SUMIF('DADOS BRUTOS'!$A$3:$A$500,$C35,'DADOS BRUTOS'!GS$3:GS$500)))</f>
        <v/>
      </c>
    </row>
    <row r="36">
      <c r="A36" s="34">
        <f>'VALOR POR PL'!D42</f>
        <v/>
      </c>
      <c r="B36" s="21" t="inlineStr">
        <is>
          <t>REVESTIMENTO DIVERSOS   FACHADA</t>
        </is>
      </c>
      <c r="C36" s="21" t="n"/>
      <c r="D36" s="17">
        <f>SUMIF($CB$4:$JS$4,"&lt;="&amp;D$4,$CB36:$JS36)</f>
        <v/>
      </c>
      <c r="E36" s="17">
        <f>SUMIF($CB$4:$JS$4,E$4,$CB36:$JS36)</f>
        <v/>
      </c>
      <c r="F36" s="17">
        <f>SUMIF($CB$4:$JS$4,F$4,$CB36:$JS36)</f>
        <v/>
      </c>
      <c r="G36" s="17">
        <f>SUMIF($CB$4:$JS$4,G$4,$CB36:$JS36)</f>
        <v/>
      </c>
      <c r="H36" s="17">
        <f>SUMIF($CB$4:$JS$4,H$4,$CB36:$JS36)</f>
        <v/>
      </c>
      <c r="I36" s="17">
        <f>SUMIF($CB$4:$JS$4,I$4,$CB36:$JS36)</f>
        <v/>
      </c>
      <c r="J36" s="17">
        <f>SUMIF($CB$4:$JS$4,J$4,$CB36:$JS36)</f>
        <v/>
      </c>
      <c r="K36" s="17">
        <f>SUMIF($CB$4:$JS$4,K$4,$CB36:$JS36)</f>
        <v/>
      </c>
      <c r="L36" s="17">
        <f>SUMIF($CB$4:$JS$4,L$4,$CB36:$JS36)</f>
        <v/>
      </c>
      <c r="M36" s="17">
        <f>SUMIF($CB$4:$JS$4,M$4,$CB36:$JS36)</f>
        <v/>
      </c>
      <c r="N36" s="17">
        <f>SUMIF($CB$4:$JS$4,N$4,$CB36:$JS36)</f>
        <v/>
      </c>
      <c r="O36" s="17">
        <f>SUMIF($CB$4:$JS$4,O$4,$CB36:$JS36)</f>
        <v/>
      </c>
      <c r="P36" s="17">
        <f>SUMIF($CB$4:$JS$4,P$4,$CB36:$JS36)</f>
        <v/>
      </c>
      <c r="Q36" s="17">
        <f>SUMIF($CB$4:$JS$4,Q$4,$CB36:$JS36)</f>
        <v/>
      </c>
      <c r="R36" s="17">
        <f>SUMIF($CB$4:$JS$4,R$4,$CB36:$JS36)</f>
        <v/>
      </c>
      <c r="S36" s="17">
        <f>SUMIF($CB$4:$JS$4,S$4,$CB36:$JS36)</f>
        <v/>
      </c>
      <c r="T36" s="17">
        <f>SUMIF($CB$4:$JS$4,T$4,$CB36:$JS36)</f>
        <v/>
      </c>
      <c r="U36" s="17">
        <f>SUMIF($CB$4:$JS$4,U$4,$CB36:$JS36)</f>
        <v/>
      </c>
      <c r="V36" s="17">
        <f>SUMIF($CB$4:$JS$4,V$4,$CB36:$JS36)</f>
        <v/>
      </c>
      <c r="W36" s="17">
        <f>SUMIF($CB$4:$JS$4,W$4,$CB36:$JS36)</f>
        <v/>
      </c>
      <c r="X36" s="17">
        <f>SUMIF($CB$4:$JS$4,X$4,$CB36:$JS36)</f>
        <v/>
      </c>
      <c r="Y36" s="17">
        <f>SUMIF($CB$4:$JS$4,Y$4,$CB36:$JS36)</f>
        <v/>
      </c>
      <c r="Z36" s="17">
        <f>SUMIF($CB$4:$JS$4,Z$4,$CB36:$JS36)</f>
        <v/>
      </c>
      <c r="AA36" s="17">
        <f>SUMIF($CB$4:$JS$4,AA$4,$CB36:$JS36)</f>
        <v/>
      </c>
      <c r="AB36" s="17">
        <f>SUMIF($CB$4:$JS$4,AB$4,$CB36:$JS36)</f>
        <v/>
      </c>
      <c r="AC36" s="17">
        <f>SUMIF($CB$4:$JS$4,AC$4,$CB36:$JS36)</f>
        <v/>
      </c>
      <c r="AD36" s="17">
        <f>SUMIF($CB$4:$JS$4,AD$4,$CB36:$JS36)</f>
        <v/>
      </c>
      <c r="AE36" s="17">
        <f>SUMIF($CB$4:$JS$4,AE$4,$CB36:$JS36)</f>
        <v/>
      </c>
      <c r="AF36" s="17">
        <f>SUMIF($CB$4:$JS$4,AF$4,$CB36:$JS36)</f>
        <v/>
      </c>
      <c r="AG36" s="17">
        <f>SUMIF($CB$4:$JS$4,AG$4,$CB36:$JS36)</f>
        <v/>
      </c>
      <c r="AH36" s="17">
        <f>SUMIF($CB$4:$JS$4,AH$4,$CB36:$JS36)</f>
        <v/>
      </c>
      <c r="AI36" s="17">
        <f>SUMIF($CB$4:$JS$4,AI$4,$CB36:$JS36)</f>
        <v/>
      </c>
      <c r="AJ36" s="17">
        <f>SUMIF($CB$4:$JS$4,AJ$4,$CB36:$JS36)</f>
        <v/>
      </c>
      <c r="AK36" s="17">
        <f>SUMIF($CB$4:$JS$4,AK$4,$CB36:$JS36)</f>
        <v/>
      </c>
      <c r="AL36" s="17">
        <f>SUMIF($CB$4:$JS$4,AL$4,$CB36:$JS36)</f>
        <v/>
      </c>
      <c r="AM36" s="17">
        <f>SUMIF($CB$4:$JS$4,AM$4,$CB36:$JS36)</f>
        <v/>
      </c>
      <c r="AN36" s="17">
        <f>SUMIF($CB$4:$JS$4,AN$4,$CB36:$JS36)</f>
        <v/>
      </c>
      <c r="AO36" s="17">
        <f>SUMIF($CB$4:$JS$4,AO$4,$CB36:$JS36)</f>
        <v/>
      </c>
      <c r="AP36" s="17">
        <f>SUMIF($CB$4:$JS$4,AP$4,$CB36:$JS36)</f>
        <v/>
      </c>
      <c r="AQ36" s="17">
        <f>SUMIF($CB$4:$JS$4,AQ$4,$CB36:$JS36)</f>
        <v/>
      </c>
      <c r="AR36" s="17">
        <f>SUMIF($CB$4:$JS$4,AR$4,$CB36:$JS36)</f>
        <v/>
      </c>
      <c r="AS36" s="17">
        <f>SUMIF($CB$4:$JS$4,AS$4,$CB36:$JS36)</f>
        <v/>
      </c>
      <c r="AT36" s="17">
        <f>SUMIF($CB$4:$JS$4,AT$4,$CB36:$JS36)</f>
        <v/>
      </c>
      <c r="AU36" s="17">
        <f>SUMIF($CB$4:$JS$4,AU$4,$CB36:$JS36)</f>
        <v/>
      </c>
      <c r="AV36" s="17">
        <f>SUMIF($CB$4:$JS$4,AV$4,$CB36:$JS36)</f>
        <v/>
      </c>
      <c r="AW36" s="17">
        <f>SUMIF($CB$4:$JS$4,AW$4,$CB36:$JS36)</f>
        <v/>
      </c>
      <c r="AX36" s="17">
        <f>SUMIF($CB$4:$JS$4,AX$4,$CB36:$JS36)</f>
        <v/>
      </c>
      <c r="AY36" s="17">
        <f>SUMIF($CB$4:$JS$4,AY$4,$CB36:$JS36)</f>
        <v/>
      </c>
      <c r="AZ36" s="17">
        <f>SUMIF($CB$4:$JS$4,AZ$4,$CB36:$JS36)</f>
        <v/>
      </c>
      <c r="BA36" s="17">
        <f>SUMIF($CB$4:$JS$4,BA$4,$CB36:$JS36)</f>
        <v/>
      </c>
      <c r="BB36" s="17">
        <f>SUMIF($CB$4:$JS$4,BB$4,$CB36:$JS36)</f>
        <v/>
      </c>
      <c r="BC36" s="17">
        <f>SUMIF($CB$4:$JS$4,BC$4,$CB36:$JS36)</f>
        <v/>
      </c>
      <c r="BD36" s="17">
        <f>SUMIF($CB$4:$JS$4,BD$4,$CB36:$JS36)</f>
        <v/>
      </c>
      <c r="BE36" s="17">
        <f>SUMIF($CB$4:$JS$4,BE$4,$CB36:$JS36)</f>
        <v/>
      </c>
      <c r="BF36" s="17">
        <f>SUMIF($CB$4:$JS$4,BF$4,$CB36:$JS36)</f>
        <v/>
      </c>
      <c r="BG36" s="17">
        <f>SUMIF($CB$4:$JS$4,BG$4,$CB36:$JS36)</f>
        <v/>
      </c>
      <c r="BH36" s="17">
        <f>SUMIF($CB$4:$JS$4,BH$4,$CB36:$JS36)</f>
        <v/>
      </c>
      <c r="BI36" s="17">
        <f>SUMIF($CB$4:$JS$4,BI$4,$CB36:$JS36)</f>
        <v/>
      </c>
      <c r="BJ36" s="17">
        <f>SUMIF($CB$4:$JS$4,BJ$4,$CB36:$JS36)</f>
        <v/>
      </c>
      <c r="BK36" s="17">
        <f>SUMIF($CB$4:$JS$4,BK$4,$CB36:$JS36)</f>
        <v/>
      </c>
      <c r="BL36" s="17">
        <f>SUMIF($CB$4:$JS$4,BL$4,$CB36:$JS36)</f>
        <v/>
      </c>
      <c r="BM36" s="17">
        <f>SUMIF($CB$4:$JS$4,BM$4,$CB36:$JS36)</f>
        <v/>
      </c>
      <c r="BN36" s="17">
        <f>SUMIF($CB$4:$JS$4,BN$4,$CB36:$JS36)</f>
        <v/>
      </c>
      <c r="BO36" s="17">
        <f>SUMIF($CB$4:$JS$4,BO$4,$CB36:$JS36)</f>
        <v/>
      </c>
      <c r="BP36" s="17">
        <f>SUMIF($CB$4:$JS$4,BP$4,$CB36:$JS36)</f>
        <v/>
      </c>
      <c r="BQ36" s="17">
        <f>SUMIF($CB$4:$JS$4,BQ$4,$CB36:$JS36)</f>
        <v/>
      </c>
      <c r="BR36" s="17">
        <f>SUMIF($CB$4:$JS$4,BR$4,$CB36:$JS36)</f>
        <v/>
      </c>
      <c r="BS36" s="17">
        <f>SUMIF($CB$4:$JS$4,BS$4,$CB36:$JS36)</f>
        <v/>
      </c>
      <c r="BT36" s="17">
        <f>SUMIF($CB$4:$JS$4,BT$4,$CB36:$JS36)</f>
        <v/>
      </c>
      <c r="BU36" s="17">
        <f>SUMIF($CB$4:$JS$4,BU$4,$CB36:$JS36)</f>
        <v/>
      </c>
      <c r="BV36" s="17">
        <f>SUMIF($CB$4:$JS$4,BV$4,$CB36:$JS36)</f>
        <v/>
      </c>
      <c r="BW36" s="17">
        <f>SUMIF($CB$4:$JS$4,BW$4,$CB36:$JS36)</f>
        <v/>
      </c>
      <c r="BX36" s="17">
        <f>SUMIF($CB$4:$JS$4,"&gt;"&amp;'VALOR POR PL'!$P$8,$CB36:$JS36)</f>
        <v/>
      </c>
      <c r="BY36" s="17">
        <f>SUM($CB36:$JS36)</f>
        <v/>
      </c>
      <c r="CB36" s="56">
        <f>IF(OR(CB$4="",$B36=""),0,SUMIF('DADOS BRUTOS'!$A$3:$A$500,$B36,'DADOS BRUTOS'!B$3:B$500)+IF($C36="",0,SUMIF('DADOS BRUTOS'!$A$3:$A$500,$C36,'DADOS BRUTOS'!B$3:B$500)))</f>
        <v/>
      </c>
      <c r="CC36" s="56">
        <f>IF(OR(CC$4="",$B36=""),0,SUMIF('DADOS BRUTOS'!$A$3:$A$500,$B36,'DADOS BRUTOS'!C$3:C$500)+IF($C36="",0,SUMIF('DADOS BRUTOS'!$A$3:$A$500,$C36,'DADOS BRUTOS'!C$3:C$500)))</f>
        <v/>
      </c>
      <c r="CD36" s="56">
        <f>IF(OR(CD$4="",$B36=""),0,SUMIF('DADOS BRUTOS'!$A$3:$A$500,$B36,'DADOS BRUTOS'!D$3:D$500)+IF($C36="",0,SUMIF('DADOS BRUTOS'!$A$3:$A$500,$C36,'DADOS BRUTOS'!D$3:D$500)))</f>
        <v/>
      </c>
      <c r="CE36" s="56">
        <f>IF(OR(CE$4="",$B36=""),0,SUMIF('DADOS BRUTOS'!$A$3:$A$500,$B36,'DADOS BRUTOS'!E$3:E$500)+IF($C36="",0,SUMIF('DADOS BRUTOS'!$A$3:$A$500,$C36,'DADOS BRUTOS'!E$3:E$500)))</f>
        <v/>
      </c>
      <c r="CF36" s="56">
        <f>IF(OR(CF$4="",$B36=""),0,SUMIF('DADOS BRUTOS'!$A$3:$A$500,$B36,'DADOS BRUTOS'!F$3:F$500)+IF($C36="",0,SUMIF('DADOS BRUTOS'!$A$3:$A$500,$C36,'DADOS BRUTOS'!F$3:F$500)))</f>
        <v/>
      </c>
      <c r="CG36" s="56">
        <f>IF(OR(CG$4="",$B36=""),0,SUMIF('DADOS BRUTOS'!$A$3:$A$500,$B36,'DADOS BRUTOS'!G$3:G$500)+IF($C36="",0,SUMIF('DADOS BRUTOS'!$A$3:$A$500,$C36,'DADOS BRUTOS'!G$3:G$500)))</f>
        <v/>
      </c>
      <c r="CH36" s="56">
        <f>IF(OR(CH$4="",$B36=""),0,SUMIF('DADOS BRUTOS'!$A$3:$A$500,$B36,'DADOS BRUTOS'!H$3:H$500)+IF($C36="",0,SUMIF('DADOS BRUTOS'!$A$3:$A$500,$C36,'DADOS BRUTOS'!H$3:H$500)))</f>
        <v/>
      </c>
      <c r="CI36" s="56">
        <f>IF(OR(CI$4="",$B36=""),0,SUMIF('DADOS BRUTOS'!$A$3:$A$500,$B36,'DADOS BRUTOS'!I$3:I$500)+IF($C36="",0,SUMIF('DADOS BRUTOS'!$A$3:$A$500,$C36,'DADOS BRUTOS'!I$3:I$500)))</f>
        <v/>
      </c>
      <c r="CJ36" s="56">
        <f>IF(OR(CJ$4="",$B36=""),0,SUMIF('DADOS BRUTOS'!$A$3:$A$500,$B36,'DADOS BRUTOS'!J$3:J$500)+IF($C36="",0,SUMIF('DADOS BRUTOS'!$A$3:$A$500,$C36,'DADOS BRUTOS'!J$3:J$500)))</f>
        <v/>
      </c>
      <c r="CK36" s="56">
        <f>IF(OR(CK$4="",$B36=""),0,SUMIF('DADOS BRUTOS'!$A$3:$A$500,$B36,'DADOS BRUTOS'!K$3:K$500)+IF($C36="",0,SUMIF('DADOS BRUTOS'!$A$3:$A$500,$C36,'DADOS BRUTOS'!K$3:K$500)))</f>
        <v/>
      </c>
      <c r="CL36" s="56">
        <f>IF(OR(CL$4="",$B36=""),0,SUMIF('DADOS BRUTOS'!$A$3:$A$500,$B36,'DADOS BRUTOS'!L$3:L$500)+IF($C36="",0,SUMIF('DADOS BRUTOS'!$A$3:$A$500,$C36,'DADOS BRUTOS'!L$3:L$500)))</f>
        <v/>
      </c>
      <c r="CM36" s="56">
        <f>IF(OR(CM$4="",$B36=""),0,SUMIF('DADOS BRUTOS'!$A$3:$A$500,$B36,'DADOS BRUTOS'!M$3:M$500)+IF($C36="",0,SUMIF('DADOS BRUTOS'!$A$3:$A$500,$C36,'DADOS BRUTOS'!M$3:M$500)))</f>
        <v/>
      </c>
      <c r="CN36" s="56">
        <f>IF(OR(CN$4="",$B36=""),0,SUMIF('DADOS BRUTOS'!$A$3:$A$500,$B36,'DADOS BRUTOS'!N$3:N$500)+IF($C36="",0,SUMIF('DADOS BRUTOS'!$A$3:$A$500,$C36,'DADOS BRUTOS'!N$3:N$500)))</f>
        <v/>
      </c>
      <c r="CO36" s="56">
        <f>IF(OR(CO$4="",$B36=""),0,SUMIF('DADOS BRUTOS'!$A$3:$A$500,$B36,'DADOS BRUTOS'!O$3:O$500)+IF($C36="",0,SUMIF('DADOS BRUTOS'!$A$3:$A$500,$C36,'DADOS BRUTOS'!O$3:O$500)))</f>
        <v/>
      </c>
      <c r="CP36" s="56">
        <f>IF(OR(CP$4="",$B36=""),0,SUMIF('DADOS BRUTOS'!$A$3:$A$500,$B36,'DADOS BRUTOS'!P$3:P$500)+IF($C36="",0,SUMIF('DADOS BRUTOS'!$A$3:$A$500,$C36,'DADOS BRUTOS'!P$3:P$500)))</f>
        <v/>
      </c>
      <c r="CQ36" s="56">
        <f>IF(OR(CQ$4="",$B36=""),0,SUMIF('DADOS BRUTOS'!$A$3:$A$500,$B36,'DADOS BRUTOS'!Q$3:Q$500)+IF($C36="",0,SUMIF('DADOS BRUTOS'!$A$3:$A$500,$C36,'DADOS BRUTOS'!Q$3:Q$500)))</f>
        <v/>
      </c>
      <c r="CR36" s="56">
        <f>IF(OR(CR$4="",$B36=""),0,SUMIF('DADOS BRUTOS'!$A$3:$A$500,$B36,'DADOS BRUTOS'!R$3:R$500)+IF($C36="",0,SUMIF('DADOS BRUTOS'!$A$3:$A$500,$C36,'DADOS BRUTOS'!R$3:R$500)))</f>
        <v/>
      </c>
      <c r="CS36" s="56">
        <f>IF(OR(CS$4="",$B36=""),0,SUMIF('DADOS BRUTOS'!$A$3:$A$500,$B36,'DADOS BRUTOS'!S$3:S$500)+IF($C36="",0,SUMIF('DADOS BRUTOS'!$A$3:$A$500,$C36,'DADOS BRUTOS'!S$3:S$500)))</f>
        <v/>
      </c>
      <c r="CT36" s="56">
        <f>IF(OR(CT$4="",$B36=""),0,SUMIF('DADOS BRUTOS'!$A$3:$A$500,$B36,'DADOS BRUTOS'!T$3:T$500)+IF($C36="",0,SUMIF('DADOS BRUTOS'!$A$3:$A$500,$C36,'DADOS BRUTOS'!T$3:T$500)))</f>
        <v/>
      </c>
      <c r="CU36" s="56">
        <f>IF(OR(CU$4="",$B36=""),0,SUMIF('DADOS BRUTOS'!$A$3:$A$500,$B36,'DADOS BRUTOS'!U$3:U$500)+IF($C36="",0,SUMIF('DADOS BRUTOS'!$A$3:$A$500,$C36,'DADOS BRUTOS'!U$3:U$500)))</f>
        <v/>
      </c>
      <c r="CV36" s="56">
        <f>IF(OR(CV$4="",$B36=""),0,SUMIF('DADOS BRUTOS'!$A$3:$A$500,$B36,'DADOS BRUTOS'!V$3:V$500)+IF($C36="",0,SUMIF('DADOS BRUTOS'!$A$3:$A$500,$C36,'DADOS BRUTOS'!V$3:V$500)))</f>
        <v/>
      </c>
      <c r="CW36" s="56">
        <f>IF(OR(CW$4="",$B36=""),0,SUMIF('DADOS BRUTOS'!$A$3:$A$500,$B36,'DADOS BRUTOS'!W$3:W$500)+IF($C36="",0,SUMIF('DADOS BRUTOS'!$A$3:$A$500,$C36,'DADOS BRUTOS'!W$3:W$500)))</f>
        <v/>
      </c>
      <c r="CX36" s="56">
        <f>IF(OR(CX$4="",$B36=""),0,SUMIF('DADOS BRUTOS'!$A$3:$A$500,$B36,'DADOS BRUTOS'!X$3:X$500)+IF($C36="",0,SUMIF('DADOS BRUTOS'!$A$3:$A$500,$C36,'DADOS BRUTOS'!X$3:X$500)))</f>
        <v/>
      </c>
      <c r="CY36" s="56">
        <f>IF(OR(CY$4="",$B36=""),0,SUMIF('DADOS BRUTOS'!$A$3:$A$500,$B36,'DADOS BRUTOS'!Y$3:Y$500)+IF($C36="",0,SUMIF('DADOS BRUTOS'!$A$3:$A$500,$C36,'DADOS BRUTOS'!Y$3:Y$500)))</f>
        <v/>
      </c>
      <c r="CZ36" s="56">
        <f>IF(OR(CZ$4="",$B36=""),0,SUMIF('DADOS BRUTOS'!$A$3:$A$500,$B36,'DADOS BRUTOS'!Z$3:Z$500)+IF($C36="",0,SUMIF('DADOS BRUTOS'!$A$3:$A$500,$C36,'DADOS BRUTOS'!Z$3:Z$500)))</f>
        <v/>
      </c>
      <c r="DA36" s="56">
        <f>IF(OR(DA$4="",$B36=""),0,SUMIF('DADOS BRUTOS'!$A$3:$A$500,$B36,'DADOS BRUTOS'!AA$3:AA$500)+IF($C36="",0,SUMIF('DADOS BRUTOS'!$A$3:$A$500,$C36,'DADOS BRUTOS'!AA$3:AA$500)))</f>
        <v/>
      </c>
      <c r="DB36" s="56">
        <f>IF(OR(DB$4="",$B36=""),0,SUMIF('DADOS BRUTOS'!$A$3:$A$500,$B36,'DADOS BRUTOS'!AB$3:AB$500)+IF($C36="",0,SUMIF('DADOS BRUTOS'!$A$3:$A$500,$C36,'DADOS BRUTOS'!AB$3:AB$500)))</f>
        <v/>
      </c>
      <c r="DC36" s="56">
        <f>IF(OR(DC$4="",$B36=""),0,SUMIF('DADOS BRUTOS'!$A$3:$A$500,$B36,'DADOS BRUTOS'!AC$3:AC$500)+IF($C36="",0,SUMIF('DADOS BRUTOS'!$A$3:$A$500,$C36,'DADOS BRUTOS'!AC$3:AC$500)))</f>
        <v/>
      </c>
      <c r="DD36" s="56">
        <f>IF(OR(DD$4="",$B36=""),0,SUMIF('DADOS BRUTOS'!$A$3:$A$500,$B36,'DADOS BRUTOS'!AD$3:AD$500)+IF($C36="",0,SUMIF('DADOS BRUTOS'!$A$3:$A$500,$C36,'DADOS BRUTOS'!AD$3:AD$500)))</f>
        <v/>
      </c>
      <c r="DE36" s="56">
        <f>IF(OR(DE$4="",$B36=""),0,SUMIF('DADOS BRUTOS'!$A$3:$A$500,$B36,'DADOS BRUTOS'!AE$3:AE$500)+IF($C36="",0,SUMIF('DADOS BRUTOS'!$A$3:$A$500,$C36,'DADOS BRUTOS'!AE$3:AE$500)))</f>
        <v/>
      </c>
      <c r="DF36" s="56">
        <f>IF(OR(DF$4="",$B36=""),0,SUMIF('DADOS BRUTOS'!$A$3:$A$500,$B36,'DADOS BRUTOS'!AF$3:AF$500)+IF($C36="",0,SUMIF('DADOS BRUTOS'!$A$3:$A$500,$C36,'DADOS BRUTOS'!AF$3:AF$500)))</f>
        <v/>
      </c>
      <c r="DG36" s="56">
        <f>IF(OR(DG$4="",$B36=""),0,SUMIF('DADOS BRUTOS'!$A$3:$A$500,$B36,'DADOS BRUTOS'!AG$3:AG$500)+IF($C36="",0,SUMIF('DADOS BRUTOS'!$A$3:$A$500,$C36,'DADOS BRUTOS'!AG$3:AG$500)))</f>
        <v/>
      </c>
      <c r="DH36" s="56">
        <f>IF(OR(DH$4="",$B36=""),0,SUMIF('DADOS BRUTOS'!$A$3:$A$500,$B36,'DADOS BRUTOS'!AH$3:AH$500)+IF($C36="",0,SUMIF('DADOS BRUTOS'!$A$3:$A$500,$C36,'DADOS BRUTOS'!AH$3:AH$500)))</f>
        <v/>
      </c>
      <c r="DI36" s="56">
        <f>IF(OR(DI$4="",$B36=""),0,SUMIF('DADOS BRUTOS'!$A$3:$A$500,$B36,'DADOS BRUTOS'!AI$3:AI$500)+IF($C36="",0,SUMIF('DADOS BRUTOS'!$A$3:$A$500,$C36,'DADOS BRUTOS'!AI$3:AI$500)))</f>
        <v/>
      </c>
      <c r="DJ36" s="56">
        <f>IF(OR(DJ$4="",$B36=""),0,SUMIF('DADOS BRUTOS'!$A$3:$A$500,$B36,'DADOS BRUTOS'!AJ$3:AJ$500)+IF($C36="",0,SUMIF('DADOS BRUTOS'!$A$3:$A$500,$C36,'DADOS BRUTOS'!AJ$3:AJ$500)))</f>
        <v/>
      </c>
      <c r="DK36" s="56">
        <f>IF(OR(DK$4="",$B36=""),0,SUMIF('DADOS BRUTOS'!$A$3:$A$500,$B36,'DADOS BRUTOS'!AK$3:AK$500)+IF($C36="",0,SUMIF('DADOS BRUTOS'!$A$3:$A$500,$C36,'DADOS BRUTOS'!AK$3:AK$500)))</f>
        <v/>
      </c>
      <c r="DL36" s="56">
        <f>IF(OR(DL$4="",$B36=""),0,SUMIF('DADOS BRUTOS'!$A$3:$A$500,$B36,'DADOS BRUTOS'!AL$3:AL$500)+IF($C36="",0,SUMIF('DADOS BRUTOS'!$A$3:$A$500,$C36,'DADOS BRUTOS'!AL$3:AL$500)))</f>
        <v/>
      </c>
      <c r="DM36" s="56">
        <f>IF(OR(DM$4="",$B36=""),0,SUMIF('DADOS BRUTOS'!$A$3:$A$500,$B36,'DADOS BRUTOS'!AM$3:AM$500)+IF($C36="",0,SUMIF('DADOS BRUTOS'!$A$3:$A$500,$C36,'DADOS BRUTOS'!AM$3:AM$500)))</f>
        <v/>
      </c>
      <c r="DN36" s="56">
        <f>IF(OR(DN$4="",$B36=""),0,SUMIF('DADOS BRUTOS'!$A$3:$A$500,$B36,'DADOS BRUTOS'!AN$3:AN$500)+IF($C36="",0,SUMIF('DADOS BRUTOS'!$A$3:$A$500,$C36,'DADOS BRUTOS'!AN$3:AN$500)))</f>
        <v/>
      </c>
      <c r="DO36" s="56">
        <f>IF(OR(DO$4="",$B36=""),0,SUMIF('DADOS BRUTOS'!$A$3:$A$500,$B36,'DADOS BRUTOS'!AO$3:AO$500)+IF($C36="",0,SUMIF('DADOS BRUTOS'!$A$3:$A$500,$C36,'DADOS BRUTOS'!AO$3:AO$500)))</f>
        <v/>
      </c>
      <c r="DP36" s="56">
        <f>IF(OR(DP$4="",$B36=""),0,SUMIF('DADOS BRUTOS'!$A$3:$A$500,$B36,'DADOS BRUTOS'!AP$3:AP$500)+IF($C36="",0,SUMIF('DADOS BRUTOS'!$A$3:$A$500,$C36,'DADOS BRUTOS'!AP$3:AP$500)))</f>
        <v/>
      </c>
      <c r="DQ36" s="56">
        <f>IF(OR(DQ$4="",$B36=""),0,SUMIF('DADOS BRUTOS'!$A$3:$A$500,$B36,'DADOS BRUTOS'!AQ$3:AQ$500)+IF($C36="",0,SUMIF('DADOS BRUTOS'!$A$3:$A$500,$C36,'DADOS BRUTOS'!AQ$3:AQ$500)))</f>
        <v/>
      </c>
      <c r="DR36" s="56">
        <f>IF(OR(DR$4="",$B36=""),0,SUMIF('DADOS BRUTOS'!$A$3:$A$500,$B36,'DADOS BRUTOS'!AR$3:AR$500)+IF($C36="",0,SUMIF('DADOS BRUTOS'!$A$3:$A$500,$C36,'DADOS BRUTOS'!AR$3:AR$500)))</f>
        <v/>
      </c>
      <c r="DS36" s="56">
        <f>IF(OR(DS$4="",$B36=""),0,SUMIF('DADOS BRUTOS'!$A$3:$A$500,$B36,'DADOS BRUTOS'!AS$3:AS$500)+IF($C36="",0,SUMIF('DADOS BRUTOS'!$A$3:$A$500,$C36,'DADOS BRUTOS'!AS$3:AS$500)))</f>
        <v/>
      </c>
      <c r="DT36" s="56">
        <f>IF(OR(DT$4="",$B36=""),0,SUMIF('DADOS BRUTOS'!$A$3:$A$500,$B36,'DADOS BRUTOS'!AT$3:AT$500)+IF($C36="",0,SUMIF('DADOS BRUTOS'!$A$3:$A$500,$C36,'DADOS BRUTOS'!AT$3:AT$500)))</f>
        <v/>
      </c>
      <c r="DU36" s="56">
        <f>IF(OR(DU$4="",$B36=""),0,SUMIF('DADOS BRUTOS'!$A$3:$A$500,$B36,'DADOS BRUTOS'!AU$3:AU$500)+IF($C36="",0,SUMIF('DADOS BRUTOS'!$A$3:$A$500,$C36,'DADOS BRUTOS'!AU$3:AU$500)))</f>
        <v/>
      </c>
      <c r="DV36" s="56">
        <f>IF(OR(DV$4="",$B36=""),0,SUMIF('DADOS BRUTOS'!$A$3:$A$500,$B36,'DADOS BRUTOS'!AV$3:AV$500)+IF($C36="",0,SUMIF('DADOS BRUTOS'!$A$3:$A$500,$C36,'DADOS BRUTOS'!AV$3:AV$500)))</f>
        <v/>
      </c>
      <c r="DW36" s="56">
        <f>IF(OR(DW$4="",$B36=""),0,SUMIF('DADOS BRUTOS'!$A$3:$A$500,$B36,'DADOS BRUTOS'!AW$3:AW$500)+IF($C36="",0,SUMIF('DADOS BRUTOS'!$A$3:$A$500,$C36,'DADOS BRUTOS'!AW$3:AW$500)))</f>
        <v/>
      </c>
      <c r="DX36" s="56">
        <f>IF(OR(DX$4="",$B36=""),0,SUMIF('DADOS BRUTOS'!$A$3:$A$500,$B36,'DADOS BRUTOS'!AX$3:AX$500)+IF($C36="",0,SUMIF('DADOS BRUTOS'!$A$3:$A$500,$C36,'DADOS BRUTOS'!AX$3:AX$500)))</f>
        <v/>
      </c>
      <c r="DY36" s="56">
        <f>IF(OR(DY$4="",$B36=""),0,SUMIF('DADOS BRUTOS'!$A$3:$A$500,$B36,'DADOS BRUTOS'!AY$3:AY$500)+IF($C36="",0,SUMIF('DADOS BRUTOS'!$A$3:$A$500,$C36,'DADOS BRUTOS'!AY$3:AY$500)))</f>
        <v/>
      </c>
      <c r="DZ36" s="56">
        <f>IF(OR(DZ$4="",$B36=""),0,SUMIF('DADOS BRUTOS'!$A$3:$A$500,$B36,'DADOS BRUTOS'!AZ$3:AZ$500)+IF($C36="",0,SUMIF('DADOS BRUTOS'!$A$3:$A$500,$C36,'DADOS BRUTOS'!AZ$3:AZ$500)))</f>
        <v/>
      </c>
      <c r="EA36" s="56">
        <f>IF(OR(EA$4="",$B36=""),0,SUMIF('DADOS BRUTOS'!$A$3:$A$500,$B36,'DADOS BRUTOS'!BA$3:BA$500)+IF($C36="",0,SUMIF('DADOS BRUTOS'!$A$3:$A$500,$C36,'DADOS BRUTOS'!BA$3:BA$500)))</f>
        <v/>
      </c>
      <c r="EB36" s="56">
        <f>IF(OR(EB$4="",$B36=""),0,SUMIF('DADOS BRUTOS'!$A$3:$A$500,$B36,'DADOS BRUTOS'!BB$3:BB$500)+IF($C36="",0,SUMIF('DADOS BRUTOS'!$A$3:$A$500,$C36,'DADOS BRUTOS'!BB$3:BB$500)))</f>
        <v/>
      </c>
      <c r="EC36" s="56">
        <f>IF(OR(EC$4="",$B36=""),0,SUMIF('DADOS BRUTOS'!$A$3:$A$500,$B36,'DADOS BRUTOS'!BC$3:BC$500)+IF($C36="",0,SUMIF('DADOS BRUTOS'!$A$3:$A$500,$C36,'DADOS BRUTOS'!BC$3:BC$500)))</f>
        <v/>
      </c>
      <c r="ED36" s="56">
        <f>IF(OR(ED$4="",$B36=""),0,SUMIF('DADOS BRUTOS'!$A$3:$A$500,$B36,'DADOS BRUTOS'!BD$3:BD$500)+IF($C36="",0,SUMIF('DADOS BRUTOS'!$A$3:$A$500,$C36,'DADOS BRUTOS'!BD$3:BD$500)))</f>
        <v/>
      </c>
      <c r="EE36" s="56">
        <f>IF(OR(EE$4="",$B36=""),0,SUMIF('DADOS BRUTOS'!$A$3:$A$500,$B36,'DADOS BRUTOS'!BE$3:BE$500)+IF($C36="",0,SUMIF('DADOS BRUTOS'!$A$3:$A$500,$C36,'DADOS BRUTOS'!BE$3:BE$500)))</f>
        <v/>
      </c>
      <c r="EF36" s="56">
        <f>IF(OR(EF$4="",$B36=""),0,SUMIF('DADOS BRUTOS'!$A$3:$A$500,$B36,'DADOS BRUTOS'!BF$3:BF$500)+IF($C36="",0,SUMIF('DADOS BRUTOS'!$A$3:$A$500,$C36,'DADOS BRUTOS'!BF$3:BF$500)))</f>
        <v/>
      </c>
      <c r="EG36" s="56">
        <f>IF(OR(EG$4="",$B36=""),0,SUMIF('DADOS BRUTOS'!$A$3:$A$500,$B36,'DADOS BRUTOS'!BG$3:BG$500)+IF($C36="",0,SUMIF('DADOS BRUTOS'!$A$3:$A$500,$C36,'DADOS BRUTOS'!BG$3:BG$500)))</f>
        <v/>
      </c>
      <c r="EH36" s="56">
        <f>IF(OR(EH$4="",$B36=""),0,SUMIF('DADOS BRUTOS'!$A$3:$A$500,$B36,'DADOS BRUTOS'!BH$3:BH$500)+IF($C36="",0,SUMIF('DADOS BRUTOS'!$A$3:$A$500,$C36,'DADOS BRUTOS'!BH$3:BH$500)))</f>
        <v/>
      </c>
      <c r="EI36" s="56">
        <f>IF(OR(EI$4="",$B36=""),0,SUMIF('DADOS BRUTOS'!$A$3:$A$500,$B36,'DADOS BRUTOS'!BI$3:BI$500)+IF($C36="",0,SUMIF('DADOS BRUTOS'!$A$3:$A$500,$C36,'DADOS BRUTOS'!BI$3:BI$500)))</f>
        <v/>
      </c>
      <c r="EJ36" s="56">
        <f>IF(OR(EJ$4="",$B36=""),0,SUMIF('DADOS BRUTOS'!$A$3:$A$500,$B36,'DADOS BRUTOS'!BJ$3:BJ$500)+IF($C36="",0,SUMIF('DADOS BRUTOS'!$A$3:$A$500,$C36,'DADOS BRUTOS'!BJ$3:BJ$500)))</f>
        <v/>
      </c>
      <c r="EK36" s="56">
        <f>IF(OR(EK$4="",$B36=""),0,SUMIF('DADOS BRUTOS'!$A$3:$A$500,$B36,'DADOS BRUTOS'!BK$3:BK$500)+IF($C36="",0,SUMIF('DADOS BRUTOS'!$A$3:$A$500,$C36,'DADOS BRUTOS'!BK$3:BK$500)))</f>
        <v/>
      </c>
      <c r="EL36" s="56">
        <f>IF(OR(EL$4="",$B36=""),0,SUMIF('DADOS BRUTOS'!$A$3:$A$500,$B36,'DADOS BRUTOS'!BL$3:BL$500)+IF($C36="",0,SUMIF('DADOS BRUTOS'!$A$3:$A$500,$C36,'DADOS BRUTOS'!BL$3:BL$500)))</f>
        <v/>
      </c>
      <c r="EM36" s="56">
        <f>IF(OR(EM$4="",$B36=""),0,SUMIF('DADOS BRUTOS'!$A$3:$A$500,$B36,'DADOS BRUTOS'!BM$3:BM$500)+IF($C36="",0,SUMIF('DADOS BRUTOS'!$A$3:$A$500,$C36,'DADOS BRUTOS'!BM$3:BM$500)))</f>
        <v/>
      </c>
      <c r="EN36" s="56">
        <f>IF(OR(EN$4="",$B36=""),0,SUMIF('DADOS BRUTOS'!$A$3:$A$500,$B36,'DADOS BRUTOS'!BN$3:BN$500)+IF($C36="",0,SUMIF('DADOS BRUTOS'!$A$3:$A$500,$C36,'DADOS BRUTOS'!BN$3:BN$500)))</f>
        <v/>
      </c>
      <c r="EO36" s="56">
        <f>IF(OR(EO$4="",$B36=""),0,SUMIF('DADOS BRUTOS'!$A$3:$A$500,$B36,'DADOS BRUTOS'!BO$3:BO$500)+IF($C36="",0,SUMIF('DADOS BRUTOS'!$A$3:$A$500,$C36,'DADOS BRUTOS'!BO$3:BO$500)))</f>
        <v/>
      </c>
      <c r="EP36" s="56">
        <f>IF(OR(EP$4="",$B36=""),0,SUMIF('DADOS BRUTOS'!$A$3:$A$500,$B36,'DADOS BRUTOS'!BP$3:BP$500)+IF($C36="",0,SUMIF('DADOS BRUTOS'!$A$3:$A$500,$C36,'DADOS BRUTOS'!BP$3:BP$500)))</f>
        <v/>
      </c>
      <c r="EQ36" s="56">
        <f>IF(OR(EQ$4="",$B36=""),0,SUMIF('DADOS BRUTOS'!$A$3:$A$500,$B36,'DADOS BRUTOS'!BQ$3:BQ$500)+IF($C36="",0,SUMIF('DADOS BRUTOS'!$A$3:$A$500,$C36,'DADOS BRUTOS'!BQ$3:BQ$500)))</f>
        <v/>
      </c>
      <c r="ER36" s="56">
        <f>IF(OR(ER$4="",$B36=""),0,SUMIF('DADOS BRUTOS'!$A$3:$A$500,$B36,'DADOS BRUTOS'!BR$3:BR$500)+IF($C36="",0,SUMIF('DADOS BRUTOS'!$A$3:$A$500,$C36,'DADOS BRUTOS'!BR$3:BR$500)))</f>
        <v/>
      </c>
      <c r="ES36" s="56">
        <f>IF(OR(ES$4="",$B36=""),0,SUMIF('DADOS BRUTOS'!$A$3:$A$500,$B36,'DADOS BRUTOS'!BS$3:BS$500)+IF($C36="",0,SUMIF('DADOS BRUTOS'!$A$3:$A$500,$C36,'DADOS BRUTOS'!BS$3:BS$500)))</f>
        <v/>
      </c>
      <c r="ET36" s="56">
        <f>IF(OR(ET$4="",$B36=""),0,SUMIF('DADOS BRUTOS'!$A$3:$A$500,$B36,'DADOS BRUTOS'!BT$3:BT$500)+IF($C36="",0,SUMIF('DADOS BRUTOS'!$A$3:$A$500,$C36,'DADOS BRUTOS'!BT$3:BT$500)))</f>
        <v/>
      </c>
      <c r="EU36" s="56">
        <f>IF(OR(EU$4="",$B36=""),0,SUMIF('DADOS BRUTOS'!$A$3:$A$500,$B36,'DADOS BRUTOS'!BU$3:BU$500)+IF($C36="",0,SUMIF('DADOS BRUTOS'!$A$3:$A$500,$C36,'DADOS BRUTOS'!BU$3:BU$500)))</f>
        <v/>
      </c>
      <c r="EV36" s="56">
        <f>IF(OR(EV$4="",$B36=""),0,SUMIF('DADOS BRUTOS'!$A$3:$A$500,$B36,'DADOS BRUTOS'!BV$3:BV$500)+IF($C36="",0,SUMIF('DADOS BRUTOS'!$A$3:$A$500,$C36,'DADOS BRUTOS'!BV$3:BV$500)))</f>
        <v/>
      </c>
      <c r="EW36" s="56">
        <f>IF(OR(EW$4="",$B36=""),0,SUMIF('DADOS BRUTOS'!$A$3:$A$500,$B36,'DADOS BRUTOS'!BW$3:BW$500)+IF($C36="",0,SUMIF('DADOS BRUTOS'!$A$3:$A$500,$C36,'DADOS BRUTOS'!BW$3:BW$500)))</f>
        <v/>
      </c>
      <c r="EX36" s="56">
        <f>IF(OR(EX$4="",$B36=""),0,SUMIF('DADOS BRUTOS'!$A$3:$A$500,$B36,'DADOS BRUTOS'!BX$3:BX$500)+IF($C36="",0,SUMIF('DADOS BRUTOS'!$A$3:$A$500,$C36,'DADOS BRUTOS'!BX$3:BX$500)))</f>
        <v/>
      </c>
      <c r="EY36" s="56">
        <f>IF(OR(EY$4="",$B36=""),0,SUMIF('DADOS BRUTOS'!$A$3:$A$500,$B36,'DADOS BRUTOS'!BY$3:BY$500)+IF($C36="",0,SUMIF('DADOS BRUTOS'!$A$3:$A$500,$C36,'DADOS BRUTOS'!BY$3:BY$500)))</f>
        <v/>
      </c>
      <c r="EZ36" s="56">
        <f>IF(OR(EZ$4="",$B36=""),0,SUMIF('DADOS BRUTOS'!$A$3:$A$500,$B36,'DADOS BRUTOS'!BZ$3:BZ$500)+IF($C36="",0,SUMIF('DADOS BRUTOS'!$A$3:$A$500,$C36,'DADOS BRUTOS'!BZ$3:BZ$500)))</f>
        <v/>
      </c>
      <c r="FA36" s="56">
        <f>IF(OR(FA$4="",$B36=""),0,SUMIF('DADOS BRUTOS'!$A$3:$A$500,$B36,'DADOS BRUTOS'!CA$3:CA$500)+IF($C36="",0,SUMIF('DADOS BRUTOS'!$A$3:$A$500,$C36,'DADOS BRUTOS'!CA$3:CA$500)))</f>
        <v/>
      </c>
      <c r="FB36" s="56">
        <f>IF(OR(FB$4="",$B36=""),0,SUMIF('DADOS BRUTOS'!$A$3:$A$500,$B36,'DADOS BRUTOS'!CB$3:CB$500)+IF($C36="",0,SUMIF('DADOS BRUTOS'!$A$3:$A$500,$C36,'DADOS BRUTOS'!CB$3:CB$500)))</f>
        <v/>
      </c>
      <c r="FC36" s="56">
        <f>IF(OR(FC$4="",$B36=""),0,SUMIF('DADOS BRUTOS'!$A$3:$A$500,$B36,'DADOS BRUTOS'!CC$3:CC$500)+IF($C36="",0,SUMIF('DADOS BRUTOS'!$A$3:$A$500,$C36,'DADOS BRUTOS'!CC$3:CC$500)))</f>
        <v/>
      </c>
      <c r="FD36" s="56">
        <f>IF(OR(FD$4="",$B36=""),0,SUMIF('DADOS BRUTOS'!$A$3:$A$500,$B36,'DADOS BRUTOS'!CD$3:CD$500)+IF($C36="",0,SUMIF('DADOS BRUTOS'!$A$3:$A$500,$C36,'DADOS BRUTOS'!CD$3:CD$500)))</f>
        <v/>
      </c>
      <c r="FE36" s="56">
        <f>IF(OR(FE$4="",$B36=""),0,SUMIF('DADOS BRUTOS'!$A$3:$A$500,$B36,'DADOS BRUTOS'!CE$3:CE$500)+IF($C36="",0,SUMIF('DADOS BRUTOS'!$A$3:$A$500,$C36,'DADOS BRUTOS'!CE$3:CE$500)))</f>
        <v/>
      </c>
      <c r="FF36" s="56">
        <f>IF(OR(FF$4="",$B36=""),0,SUMIF('DADOS BRUTOS'!$A$3:$A$500,$B36,'DADOS BRUTOS'!CF$3:CF$500)+IF($C36="",0,SUMIF('DADOS BRUTOS'!$A$3:$A$500,$C36,'DADOS BRUTOS'!CF$3:CF$500)))</f>
        <v/>
      </c>
      <c r="FG36" s="56">
        <f>IF(OR(FG$4="",$B36=""),0,SUMIF('DADOS BRUTOS'!$A$3:$A$500,$B36,'DADOS BRUTOS'!CG$3:CG$500)+IF($C36="",0,SUMIF('DADOS BRUTOS'!$A$3:$A$500,$C36,'DADOS BRUTOS'!CG$3:CG$500)))</f>
        <v/>
      </c>
      <c r="FH36" s="56">
        <f>IF(OR(FH$4="",$B36=""),0,SUMIF('DADOS BRUTOS'!$A$3:$A$500,$B36,'DADOS BRUTOS'!CH$3:CH$500)+IF($C36="",0,SUMIF('DADOS BRUTOS'!$A$3:$A$500,$C36,'DADOS BRUTOS'!CH$3:CH$500)))</f>
        <v/>
      </c>
      <c r="FI36" s="56">
        <f>IF(OR(FI$4="",$B36=""),0,SUMIF('DADOS BRUTOS'!$A$3:$A$500,$B36,'DADOS BRUTOS'!CI$3:CI$500)+IF($C36="",0,SUMIF('DADOS BRUTOS'!$A$3:$A$500,$C36,'DADOS BRUTOS'!CI$3:CI$500)))</f>
        <v/>
      </c>
      <c r="FJ36" s="56">
        <f>IF(OR(FJ$4="",$B36=""),0,SUMIF('DADOS BRUTOS'!$A$3:$A$500,$B36,'DADOS BRUTOS'!CJ$3:CJ$500)+IF($C36="",0,SUMIF('DADOS BRUTOS'!$A$3:$A$500,$C36,'DADOS BRUTOS'!CJ$3:CJ$500)))</f>
        <v/>
      </c>
      <c r="FK36" s="56">
        <f>IF(OR(FK$4="",$B36=""),0,SUMIF('DADOS BRUTOS'!$A$3:$A$500,$B36,'DADOS BRUTOS'!CK$3:CK$500)+IF($C36="",0,SUMIF('DADOS BRUTOS'!$A$3:$A$500,$C36,'DADOS BRUTOS'!CK$3:CK$500)))</f>
        <v/>
      </c>
      <c r="FL36" s="56">
        <f>IF(OR(FL$4="",$B36=""),0,SUMIF('DADOS BRUTOS'!$A$3:$A$500,$B36,'DADOS BRUTOS'!CL$3:CL$500)+IF($C36="",0,SUMIF('DADOS BRUTOS'!$A$3:$A$500,$C36,'DADOS BRUTOS'!CL$3:CL$500)))</f>
        <v/>
      </c>
      <c r="FM36" s="56">
        <f>IF(OR(FM$4="",$B36=""),0,SUMIF('DADOS BRUTOS'!$A$3:$A$500,$B36,'DADOS BRUTOS'!CM$3:CM$500)+IF($C36="",0,SUMIF('DADOS BRUTOS'!$A$3:$A$500,$C36,'DADOS BRUTOS'!CM$3:CM$500)))</f>
        <v/>
      </c>
      <c r="FN36" s="56">
        <f>IF(OR(FN$4="",$B36=""),0,SUMIF('DADOS BRUTOS'!$A$3:$A$500,$B36,'DADOS BRUTOS'!CN$3:CN$500)+IF($C36="",0,SUMIF('DADOS BRUTOS'!$A$3:$A$500,$C36,'DADOS BRUTOS'!CN$3:CN$500)))</f>
        <v/>
      </c>
      <c r="FO36" s="56">
        <f>IF(OR(FO$4="",$B36=""),0,SUMIF('DADOS BRUTOS'!$A$3:$A$500,$B36,'DADOS BRUTOS'!CO$3:CO$500)+IF($C36="",0,SUMIF('DADOS BRUTOS'!$A$3:$A$500,$C36,'DADOS BRUTOS'!CO$3:CO$500)))</f>
        <v/>
      </c>
      <c r="FP36" s="56">
        <f>IF(OR(FP$4="",$B36=""),0,SUMIF('DADOS BRUTOS'!$A$3:$A$500,$B36,'DADOS BRUTOS'!CP$3:CP$500)+IF($C36="",0,SUMIF('DADOS BRUTOS'!$A$3:$A$500,$C36,'DADOS BRUTOS'!CP$3:CP$500)))</f>
        <v/>
      </c>
      <c r="FQ36" s="56">
        <f>IF(OR(FQ$4="",$B36=""),0,SUMIF('DADOS BRUTOS'!$A$3:$A$500,$B36,'DADOS BRUTOS'!CQ$3:CQ$500)+IF($C36="",0,SUMIF('DADOS BRUTOS'!$A$3:$A$500,$C36,'DADOS BRUTOS'!CQ$3:CQ$500)))</f>
        <v/>
      </c>
      <c r="FR36" s="56">
        <f>IF(OR(FR$4="",$B36=""),0,SUMIF('DADOS BRUTOS'!$A$3:$A$500,$B36,'DADOS BRUTOS'!CR$3:CR$500)+IF($C36="",0,SUMIF('DADOS BRUTOS'!$A$3:$A$500,$C36,'DADOS BRUTOS'!CR$3:CR$500)))</f>
        <v/>
      </c>
      <c r="FS36" s="56">
        <f>IF(OR(FS$4="",$B36=""),0,SUMIF('DADOS BRUTOS'!$A$3:$A$500,$B36,'DADOS BRUTOS'!CS$3:CS$500)+IF($C36="",0,SUMIF('DADOS BRUTOS'!$A$3:$A$500,$C36,'DADOS BRUTOS'!CS$3:CS$500)))</f>
        <v/>
      </c>
      <c r="FT36" s="56">
        <f>IF(OR(FT$4="",$B36=""),0,SUMIF('DADOS BRUTOS'!$A$3:$A$500,$B36,'DADOS BRUTOS'!CT$3:CT$500)+IF($C36="",0,SUMIF('DADOS BRUTOS'!$A$3:$A$500,$C36,'DADOS BRUTOS'!CT$3:CT$500)))</f>
        <v/>
      </c>
      <c r="FU36" s="56">
        <f>IF(OR(FU$4="",$B36=""),0,SUMIF('DADOS BRUTOS'!$A$3:$A$500,$B36,'DADOS BRUTOS'!CU$3:CU$500)+IF($C36="",0,SUMIF('DADOS BRUTOS'!$A$3:$A$500,$C36,'DADOS BRUTOS'!CU$3:CU$500)))</f>
        <v/>
      </c>
      <c r="FV36" s="56">
        <f>IF(OR(FV$4="",$B36=""),0,SUMIF('DADOS BRUTOS'!$A$3:$A$500,$B36,'DADOS BRUTOS'!CV$3:CV$500)+IF($C36="",0,SUMIF('DADOS BRUTOS'!$A$3:$A$500,$C36,'DADOS BRUTOS'!CV$3:CV$500)))</f>
        <v/>
      </c>
      <c r="FW36" s="56">
        <f>IF(OR(FW$4="",$B36=""),0,SUMIF('DADOS BRUTOS'!$A$3:$A$500,$B36,'DADOS BRUTOS'!CW$3:CW$500)+IF($C36="",0,SUMIF('DADOS BRUTOS'!$A$3:$A$500,$C36,'DADOS BRUTOS'!CW$3:CW$500)))</f>
        <v/>
      </c>
      <c r="FX36" s="56">
        <f>IF(OR(FX$4="",$B36=""),0,SUMIF('DADOS BRUTOS'!$A$3:$A$500,$B36,'DADOS BRUTOS'!CX$3:CX$500)+IF($C36="",0,SUMIF('DADOS BRUTOS'!$A$3:$A$500,$C36,'DADOS BRUTOS'!CX$3:CX$500)))</f>
        <v/>
      </c>
      <c r="FY36" s="56">
        <f>IF(OR(FY$4="",$B36=""),0,SUMIF('DADOS BRUTOS'!$A$3:$A$500,$B36,'DADOS BRUTOS'!CY$3:CY$500)+IF($C36="",0,SUMIF('DADOS BRUTOS'!$A$3:$A$500,$C36,'DADOS BRUTOS'!CY$3:CY$500)))</f>
        <v/>
      </c>
      <c r="FZ36" s="56">
        <f>IF(OR(FZ$4="",$B36=""),0,SUMIF('DADOS BRUTOS'!$A$3:$A$500,$B36,'DADOS BRUTOS'!CZ$3:CZ$500)+IF($C36="",0,SUMIF('DADOS BRUTOS'!$A$3:$A$500,$C36,'DADOS BRUTOS'!CZ$3:CZ$500)))</f>
        <v/>
      </c>
      <c r="GA36" s="56">
        <f>IF(OR(GA$4="",$B36=""),0,SUMIF('DADOS BRUTOS'!$A$3:$A$500,$B36,'DADOS BRUTOS'!DA$3:DA$500)+IF($C36="",0,SUMIF('DADOS BRUTOS'!$A$3:$A$500,$C36,'DADOS BRUTOS'!DA$3:DA$500)))</f>
        <v/>
      </c>
      <c r="GB36" s="56">
        <f>IF(OR(GB$4="",$B36=""),0,SUMIF('DADOS BRUTOS'!$A$3:$A$500,$B36,'DADOS BRUTOS'!DB$3:DB$500)+IF($C36="",0,SUMIF('DADOS BRUTOS'!$A$3:$A$500,$C36,'DADOS BRUTOS'!DB$3:DB$500)))</f>
        <v/>
      </c>
      <c r="GC36" s="56">
        <f>IF(OR(GC$4="",$B36=""),0,SUMIF('DADOS BRUTOS'!$A$3:$A$500,$B36,'DADOS BRUTOS'!DC$3:DC$500)+IF($C36="",0,SUMIF('DADOS BRUTOS'!$A$3:$A$500,$C36,'DADOS BRUTOS'!DC$3:DC$500)))</f>
        <v/>
      </c>
      <c r="GD36" s="56">
        <f>IF(OR(GD$4="",$B36=""),0,SUMIF('DADOS BRUTOS'!$A$3:$A$500,$B36,'DADOS BRUTOS'!DD$3:DD$500)+IF($C36="",0,SUMIF('DADOS BRUTOS'!$A$3:$A$500,$C36,'DADOS BRUTOS'!DD$3:DD$500)))</f>
        <v/>
      </c>
      <c r="GE36" s="56">
        <f>IF(OR(GE$4="",$B36=""),0,SUMIF('DADOS BRUTOS'!$A$3:$A$500,$B36,'DADOS BRUTOS'!DE$3:DE$500)+IF($C36="",0,SUMIF('DADOS BRUTOS'!$A$3:$A$500,$C36,'DADOS BRUTOS'!DE$3:DE$500)))</f>
        <v/>
      </c>
      <c r="GF36" s="56">
        <f>IF(OR(GF$4="",$B36=""),0,SUMIF('DADOS BRUTOS'!$A$3:$A$500,$B36,'DADOS BRUTOS'!DF$3:DF$500)+IF($C36="",0,SUMIF('DADOS BRUTOS'!$A$3:$A$500,$C36,'DADOS BRUTOS'!DF$3:DF$500)))</f>
        <v/>
      </c>
      <c r="GG36" s="56">
        <f>IF(OR(GG$4="",$B36=""),0,SUMIF('DADOS BRUTOS'!$A$3:$A$500,$B36,'DADOS BRUTOS'!DG$3:DG$500)+IF($C36="",0,SUMIF('DADOS BRUTOS'!$A$3:$A$500,$C36,'DADOS BRUTOS'!DG$3:DG$500)))</f>
        <v/>
      </c>
      <c r="GH36" s="56">
        <f>IF(OR(GH$4="",$B36=""),0,SUMIF('DADOS BRUTOS'!$A$3:$A$500,$B36,'DADOS BRUTOS'!DH$3:DH$500)+IF($C36="",0,SUMIF('DADOS BRUTOS'!$A$3:$A$500,$C36,'DADOS BRUTOS'!DH$3:DH$500)))</f>
        <v/>
      </c>
      <c r="GI36" s="56">
        <f>IF(OR(GI$4="",$B36=""),0,SUMIF('DADOS BRUTOS'!$A$3:$A$500,$B36,'DADOS BRUTOS'!DI$3:DI$500)+IF($C36="",0,SUMIF('DADOS BRUTOS'!$A$3:$A$500,$C36,'DADOS BRUTOS'!DI$3:DI$500)))</f>
        <v/>
      </c>
      <c r="GJ36" s="56">
        <f>IF(OR(GJ$4="",$B36=""),0,SUMIF('DADOS BRUTOS'!$A$3:$A$500,$B36,'DADOS BRUTOS'!DJ$3:DJ$500)+IF($C36="",0,SUMIF('DADOS BRUTOS'!$A$3:$A$500,$C36,'DADOS BRUTOS'!DJ$3:DJ$500)))</f>
        <v/>
      </c>
      <c r="GK36" s="56">
        <f>IF(OR(GK$4="",$B36=""),0,SUMIF('DADOS BRUTOS'!$A$3:$A$500,$B36,'DADOS BRUTOS'!DK$3:DK$500)+IF($C36="",0,SUMIF('DADOS BRUTOS'!$A$3:$A$500,$C36,'DADOS BRUTOS'!DK$3:DK$500)))</f>
        <v/>
      </c>
      <c r="GL36" s="56">
        <f>IF(OR(GL$4="",$B36=""),0,SUMIF('DADOS BRUTOS'!$A$3:$A$500,$B36,'DADOS BRUTOS'!DL$3:DL$500)+IF($C36="",0,SUMIF('DADOS BRUTOS'!$A$3:$A$500,$C36,'DADOS BRUTOS'!DL$3:DL$500)))</f>
        <v/>
      </c>
      <c r="GM36" s="56">
        <f>IF(OR(GM$4="",$B36=""),0,SUMIF('DADOS BRUTOS'!$A$3:$A$500,$B36,'DADOS BRUTOS'!DM$3:DM$500)+IF($C36="",0,SUMIF('DADOS BRUTOS'!$A$3:$A$500,$C36,'DADOS BRUTOS'!DM$3:DM$500)))</f>
        <v/>
      </c>
      <c r="GN36" s="56">
        <f>IF(OR(GN$4="",$B36=""),0,SUMIF('DADOS BRUTOS'!$A$3:$A$500,$B36,'DADOS BRUTOS'!DN$3:DN$500)+IF($C36="",0,SUMIF('DADOS BRUTOS'!$A$3:$A$500,$C36,'DADOS BRUTOS'!DN$3:DN$500)))</f>
        <v/>
      </c>
      <c r="GO36" s="56">
        <f>IF(OR(GO$4="",$B36=""),0,SUMIF('DADOS BRUTOS'!$A$3:$A$500,$B36,'DADOS BRUTOS'!DO$3:DO$500)+IF($C36="",0,SUMIF('DADOS BRUTOS'!$A$3:$A$500,$C36,'DADOS BRUTOS'!DO$3:DO$500)))</f>
        <v/>
      </c>
      <c r="GP36" s="56">
        <f>IF(OR(GP$4="",$B36=""),0,SUMIF('DADOS BRUTOS'!$A$3:$A$500,$B36,'DADOS BRUTOS'!DP$3:DP$500)+IF($C36="",0,SUMIF('DADOS BRUTOS'!$A$3:$A$500,$C36,'DADOS BRUTOS'!DP$3:DP$500)))</f>
        <v/>
      </c>
      <c r="GQ36" s="56">
        <f>IF(OR(GQ$4="",$B36=""),0,SUMIF('DADOS BRUTOS'!$A$3:$A$500,$B36,'DADOS BRUTOS'!DQ$3:DQ$500)+IF($C36="",0,SUMIF('DADOS BRUTOS'!$A$3:$A$500,$C36,'DADOS BRUTOS'!DQ$3:DQ$500)))</f>
        <v/>
      </c>
      <c r="GR36" s="56">
        <f>IF(OR(GR$4="",$B36=""),0,SUMIF('DADOS BRUTOS'!$A$3:$A$500,$B36,'DADOS BRUTOS'!DR$3:DR$500)+IF($C36="",0,SUMIF('DADOS BRUTOS'!$A$3:$A$500,$C36,'DADOS BRUTOS'!DR$3:DR$500)))</f>
        <v/>
      </c>
      <c r="GS36" s="56">
        <f>IF(OR(GS$4="",$B36=""),0,SUMIF('DADOS BRUTOS'!$A$3:$A$500,$B36,'DADOS BRUTOS'!DS$3:DS$500)+IF($C36="",0,SUMIF('DADOS BRUTOS'!$A$3:$A$500,$C36,'DADOS BRUTOS'!DS$3:DS$500)))</f>
        <v/>
      </c>
      <c r="GT36" s="56">
        <f>IF(OR(GT$4="",$B36=""),0,SUMIF('DADOS BRUTOS'!$A$3:$A$500,$B36,'DADOS BRUTOS'!DT$3:DT$500)+IF($C36="",0,SUMIF('DADOS BRUTOS'!$A$3:$A$500,$C36,'DADOS BRUTOS'!DT$3:DT$500)))</f>
        <v/>
      </c>
      <c r="GU36" s="56">
        <f>IF(OR(GU$4="",$B36=""),0,SUMIF('DADOS BRUTOS'!$A$3:$A$500,$B36,'DADOS BRUTOS'!DU$3:DU$500)+IF($C36="",0,SUMIF('DADOS BRUTOS'!$A$3:$A$500,$C36,'DADOS BRUTOS'!DU$3:DU$500)))</f>
        <v/>
      </c>
      <c r="GV36" s="56">
        <f>IF(OR(GV$4="",$B36=""),0,SUMIF('DADOS BRUTOS'!$A$3:$A$500,$B36,'DADOS BRUTOS'!DV$3:DV$500)+IF($C36="",0,SUMIF('DADOS BRUTOS'!$A$3:$A$500,$C36,'DADOS BRUTOS'!DV$3:DV$500)))</f>
        <v/>
      </c>
      <c r="GW36" s="56">
        <f>IF(OR(GW$4="",$B36=""),0,SUMIF('DADOS BRUTOS'!$A$3:$A$500,$B36,'DADOS BRUTOS'!DW$3:DW$500)+IF($C36="",0,SUMIF('DADOS BRUTOS'!$A$3:$A$500,$C36,'DADOS BRUTOS'!DW$3:DW$500)))</f>
        <v/>
      </c>
      <c r="GX36" s="56">
        <f>IF(OR(GX$4="",$B36=""),0,SUMIF('DADOS BRUTOS'!$A$3:$A$500,$B36,'DADOS BRUTOS'!DX$3:DX$500)+IF($C36="",0,SUMIF('DADOS BRUTOS'!$A$3:$A$500,$C36,'DADOS BRUTOS'!DX$3:DX$500)))</f>
        <v/>
      </c>
      <c r="GY36" s="56">
        <f>IF(OR(GY$4="",$B36=""),0,SUMIF('DADOS BRUTOS'!$A$3:$A$500,$B36,'DADOS BRUTOS'!DY$3:DY$500)+IF($C36="",0,SUMIF('DADOS BRUTOS'!$A$3:$A$500,$C36,'DADOS BRUTOS'!DY$3:DY$500)))</f>
        <v/>
      </c>
      <c r="GZ36" s="56">
        <f>IF(OR(GZ$4="",$B36=""),0,SUMIF('DADOS BRUTOS'!$A$3:$A$500,$B36,'DADOS BRUTOS'!DZ$3:DZ$500)+IF($C36="",0,SUMIF('DADOS BRUTOS'!$A$3:$A$500,$C36,'DADOS BRUTOS'!DZ$3:DZ$500)))</f>
        <v/>
      </c>
      <c r="HA36" s="56">
        <f>IF(OR(HA$4="",$B36=""),0,SUMIF('DADOS BRUTOS'!$A$3:$A$500,$B36,'DADOS BRUTOS'!EA$3:EA$500)+IF($C36="",0,SUMIF('DADOS BRUTOS'!$A$3:$A$500,$C36,'DADOS BRUTOS'!EA$3:EA$500)))</f>
        <v/>
      </c>
      <c r="HB36" s="56">
        <f>IF(OR(HB$4="",$B36=""),0,SUMIF('DADOS BRUTOS'!$A$3:$A$500,$B36,'DADOS BRUTOS'!EB$3:EB$500)+IF($C36="",0,SUMIF('DADOS BRUTOS'!$A$3:$A$500,$C36,'DADOS BRUTOS'!EB$3:EB$500)))</f>
        <v/>
      </c>
      <c r="HC36" s="56">
        <f>IF(OR(HC$4="",$B36=""),0,SUMIF('DADOS BRUTOS'!$A$3:$A$500,$B36,'DADOS BRUTOS'!EC$3:EC$500)+IF($C36="",0,SUMIF('DADOS BRUTOS'!$A$3:$A$500,$C36,'DADOS BRUTOS'!EC$3:EC$500)))</f>
        <v/>
      </c>
      <c r="HD36" s="56">
        <f>IF(OR(HD$4="",$B36=""),0,SUMIF('DADOS BRUTOS'!$A$3:$A$500,$B36,'DADOS BRUTOS'!ED$3:ED$500)+IF($C36="",0,SUMIF('DADOS BRUTOS'!$A$3:$A$500,$C36,'DADOS BRUTOS'!ED$3:ED$500)))</f>
        <v/>
      </c>
      <c r="HE36" s="56">
        <f>IF(OR(HE$4="",$B36=""),0,SUMIF('DADOS BRUTOS'!$A$3:$A$500,$B36,'DADOS BRUTOS'!EE$3:EE$500)+IF($C36="",0,SUMIF('DADOS BRUTOS'!$A$3:$A$500,$C36,'DADOS BRUTOS'!EE$3:EE$500)))</f>
        <v/>
      </c>
      <c r="HF36" s="56">
        <f>IF(OR(HF$4="",$B36=""),0,SUMIF('DADOS BRUTOS'!$A$3:$A$500,$B36,'DADOS BRUTOS'!EF$3:EF$500)+IF($C36="",0,SUMIF('DADOS BRUTOS'!$A$3:$A$500,$C36,'DADOS BRUTOS'!EF$3:EF$500)))</f>
        <v/>
      </c>
      <c r="HG36" s="56">
        <f>IF(OR(HG$4="",$B36=""),0,SUMIF('DADOS BRUTOS'!$A$3:$A$500,$B36,'DADOS BRUTOS'!EG$3:EG$500)+IF($C36="",0,SUMIF('DADOS BRUTOS'!$A$3:$A$500,$C36,'DADOS BRUTOS'!EG$3:EG$500)))</f>
        <v/>
      </c>
      <c r="HH36" s="56">
        <f>IF(OR(HH$4="",$B36=""),0,SUMIF('DADOS BRUTOS'!$A$3:$A$500,$B36,'DADOS BRUTOS'!EH$3:EH$500)+IF($C36="",0,SUMIF('DADOS BRUTOS'!$A$3:$A$500,$C36,'DADOS BRUTOS'!EH$3:EH$500)))</f>
        <v/>
      </c>
      <c r="HI36" s="56">
        <f>IF(OR(HI$4="",$B36=""),0,SUMIF('DADOS BRUTOS'!$A$3:$A$500,$B36,'DADOS BRUTOS'!EI$3:EI$500)+IF($C36="",0,SUMIF('DADOS BRUTOS'!$A$3:$A$500,$C36,'DADOS BRUTOS'!EI$3:EI$500)))</f>
        <v/>
      </c>
      <c r="HJ36" s="56">
        <f>IF(OR(HJ$4="",$B36=""),0,SUMIF('DADOS BRUTOS'!$A$3:$A$500,$B36,'DADOS BRUTOS'!EJ$3:EJ$500)+IF($C36="",0,SUMIF('DADOS BRUTOS'!$A$3:$A$500,$C36,'DADOS BRUTOS'!EJ$3:EJ$500)))</f>
        <v/>
      </c>
      <c r="HK36" s="56">
        <f>IF(OR(HK$4="",$B36=""),0,SUMIF('DADOS BRUTOS'!$A$3:$A$500,$B36,'DADOS BRUTOS'!EK$3:EK$500)+IF($C36="",0,SUMIF('DADOS BRUTOS'!$A$3:$A$500,$C36,'DADOS BRUTOS'!EK$3:EK$500)))</f>
        <v/>
      </c>
      <c r="HL36" s="56">
        <f>IF(OR(HL$4="",$B36=""),0,SUMIF('DADOS BRUTOS'!$A$3:$A$500,$B36,'DADOS BRUTOS'!EL$3:EL$500)+IF($C36="",0,SUMIF('DADOS BRUTOS'!$A$3:$A$500,$C36,'DADOS BRUTOS'!EL$3:EL$500)))</f>
        <v/>
      </c>
      <c r="HM36" s="56">
        <f>IF(OR(HM$4="",$B36=""),0,SUMIF('DADOS BRUTOS'!$A$3:$A$500,$B36,'DADOS BRUTOS'!EM$3:EM$500)+IF($C36="",0,SUMIF('DADOS BRUTOS'!$A$3:$A$500,$C36,'DADOS BRUTOS'!EM$3:EM$500)))</f>
        <v/>
      </c>
      <c r="HN36" s="56">
        <f>IF(OR(HN$4="",$B36=""),0,SUMIF('DADOS BRUTOS'!$A$3:$A$500,$B36,'DADOS BRUTOS'!EN$3:EN$500)+IF($C36="",0,SUMIF('DADOS BRUTOS'!$A$3:$A$500,$C36,'DADOS BRUTOS'!EN$3:EN$500)))</f>
        <v/>
      </c>
      <c r="HO36" s="56">
        <f>IF(OR(HO$4="",$B36=""),0,SUMIF('DADOS BRUTOS'!$A$3:$A$500,$B36,'DADOS BRUTOS'!EO$3:EO$500)+IF($C36="",0,SUMIF('DADOS BRUTOS'!$A$3:$A$500,$C36,'DADOS BRUTOS'!EO$3:EO$500)))</f>
        <v/>
      </c>
      <c r="HP36" s="56">
        <f>IF(OR(HP$4="",$B36=""),0,SUMIF('DADOS BRUTOS'!$A$3:$A$500,$B36,'DADOS BRUTOS'!EP$3:EP$500)+IF($C36="",0,SUMIF('DADOS BRUTOS'!$A$3:$A$500,$C36,'DADOS BRUTOS'!EP$3:EP$500)))</f>
        <v/>
      </c>
      <c r="HQ36" s="56">
        <f>IF(OR(HQ$4="",$B36=""),0,SUMIF('DADOS BRUTOS'!$A$3:$A$500,$B36,'DADOS BRUTOS'!EQ$3:EQ$500)+IF($C36="",0,SUMIF('DADOS BRUTOS'!$A$3:$A$500,$C36,'DADOS BRUTOS'!EQ$3:EQ$500)))</f>
        <v/>
      </c>
      <c r="HR36" s="56">
        <f>IF(OR(HR$4="",$B36=""),0,SUMIF('DADOS BRUTOS'!$A$3:$A$500,$B36,'DADOS BRUTOS'!ER$3:ER$500)+IF($C36="",0,SUMIF('DADOS BRUTOS'!$A$3:$A$500,$C36,'DADOS BRUTOS'!ER$3:ER$500)))</f>
        <v/>
      </c>
      <c r="HS36" s="56">
        <f>IF(OR(HS$4="",$B36=""),0,SUMIF('DADOS BRUTOS'!$A$3:$A$500,$B36,'DADOS BRUTOS'!ES$3:ES$500)+IF($C36="",0,SUMIF('DADOS BRUTOS'!$A$3:$A$500,$C36,'DADOS BRUTOS'!ES$3:ES$500)))</f>
        <v/>
      </c>
      <c r="HT36" s="56">
        <f>IF(OR(HT$4="",$B36=""),0,SUMIF('DADOS BRUTOS'!$A$3:$A$500,$B36,'DADOS BRUTOS'!ET$3:ET$500)+IF($C36="",0,SUMIF('DADOS BRUTOS'!$A$3:$A$500,$C36,'DADOS BRUTOS'!ET$3:ET$500)))</f>
        <v/>
      </c>
      <c r="HU36" s="56">
        <f>IF(OR(HU$4="",$B36=""),0,SUMIF('DADOS BRUTOS'!$A$3:$A$500,$B36,'DADOS BRUTOS'!EU$3:EU$500)+IF($C36="",0,SUMIF('DADOS BRUTOS'!$A$3:$A$500,$C36,'DADOS BRUTOS'!EU$3:EU$500)))</f>
        <v/>
      </c>
      <c r="HV36" s="56">
        <f>IF(OR(HV$4="",$B36=""),0,SUMIF('DADOS BRUTOS'!$A$3:$A$500,$B36,'DADOS BRUTOS'!EV$3:EV$500)+IF($C36="",0,SUMIF('DADOS BRUTOS'!$A$3:$A$500,$C36,'DADOS BRUTOS'!EV$3:EV$500)))</f>
        <v/>
      </c>
      <c r="HW36" s="56">
        <f>IF(OR(HW$4="",$B36=""),0,SUMIF('DADOS BRUTOS'!$A$3:$A$500,$B36,'DADOS BRUTOS'!EW$3:EW$500)+IF($C36="",0,SUMIF('DADOS BRUTOS'!$A$3:$A$500,$C36,'DADOS BRUTOS'!EW$3:EW$500)))</f>
        <v/>
      </c>
      <c r="HX36" s="56">
        <f>IF(OR(HX$4="",$B36=""),0,SUMIF('DADOS BRUTOS'!$A$3:$A$500,$B36,'DADOS BRUTOS'!EX$3:EX$500)+IF($C36="",0,SUMIF('DADOS BRUTOS'!$A$3:$A$500,$C36,'DADOS BRUTOS'!EX$3:EX$500)))</f>
        <v/>
      </c>
      <c r="HY36" s="56">
        <f>IF(OR(HY$4="",$B36=""),0,SUMIF('DADOS BRUTOS'!$A$3:$A$500,$B36,'DADOS BRUTOS'!EY$3:EY$500)+IF($C36="",0,SUMIF('DADOS BRUTOS'!$A$3:$A$500,$C36,'DADOS BRUTOS'!EY$3:EY$500)))</f>
        <v/>
      </c>
      <c r="HZ36" s="56">
        <f>IF(OR(HZ$4="",$B36=""),0,SUMIF('DADOS BRUTOS'!$A$3:$A$500,$B36,'DADOS BRUTOS'!EZ$3:EZ$500)+IF($C36="",0,SUMIF('DADOS BRUTOS'!$A$3:$A$500,$C36,'DADOS BRUTOS'!EZ$3:EZ$500)))</f>
        <v/>
      </c>
      <c r="IA36" s="56">
        <f>IF(OR(IA$4="",$B36=""),0,SUMIF('DADOS BRUTOS'!$A$3:$A$500,$B36,'DADOS BRUTOS'!FA$3:FA$500)+IF($C36="",0,SUMIF('DADOS BRUTOS'!$A$3:$A$500,$C36,'DADOS BRUTOS'!FA$3:FA$500)))</f>
        <v/>
      </c>
      <c r="IB36" s="56">
        <f>IF(OR(IB$4="",$B36=""),0,SUMIF('DADOS BRUTOS'!$A$3:$A$500,$B36,'DADOS BRUTOS'!FB$3:FB$500)+IF($C36="",0,SUMIF('DADOS BRUTOS'!$A$3:$A$500,$C36,'DADOS BRUTOS'!FB$3:FB$500)))</f>
        <v/>
      </c>
      <c r="IC36" s="56">
        <f>IF(OR(IC$4="",$B36=""),0,SUMIF('DADOS BRUTOS'!$A$3:$A$500,$B36,'DADOS BRUTOS'!FC$3:FC$500)+IF($C36="",0,SUMIF('DADOS BRUTOS'!$A$3:$A$500,$C36,'DADOS BRUTOS'!FC$3:FC$500)))</f>
        <v/>
      </c>
      <c r="ID36" s="56">
        <f>IF(OR(ID$4="",$B36=""),0,SUMIF('DADOS BRUTOS'!$A$3:$A$500,$B36,'DADOS BRUTOS'!FD$3:FD$500)+IF($C36="",0,SUMIF('DADOS BRUTOS'!$A$3:$A$500,$C36,'DADOS BRUTOS'!FD$3:FD$500)))</f>
        <v/>
      </c>
      <c r="IE36" s="56">
        <f>IF(OR(IE$4="",$B36=""),0,SUMIF('DADOS BRUTOS'!$A$3:$A$500,$B36,'DADOS BRUTOS'!FE$3:FE$500)+IF($C36="",0,SUMIF('DADOS BRUTOS'!$A$3:$A$500,$C36,'DADOS BRUTOS'!FE$3:FE$500)))</f>
        <v/>
      </c>
      <c r="IF36" s="56">
        <f>IF(OR(IF$4="",$B36=""),0,SUMIF('DADOS BRUTOS'!$A$3:$A$500,$B36,'DADOS BRUTOS'!FF$3:FF$500)+IF($C36="",0,SUMIF('DADOS BRUTOS'!$A$3:$A$500,$C36,'DADOS BRUTOS'!FF$3:FF$500)))</f>
        <v/>
      </c>
      <c r="IG36" s="56">
        <f>IF(OR(IG$4="",$B36=""),0,SUMIF('DADOS BRUTOS'!$A$3:$A$500,$B36,'DADOS BRUTOS'!FG$3:FG$500)+IF($C36="",0,SUMIF('DADOS BRUTOS'!$A$3:$A$500,$C36,'DADOS BRUTOS'!FG$3:FG$500)))</f>
        <v/>
      </c>
      <c r="IH36" s="56">
        <f>IF(OR(IH$4="",$B36=""),0,SUMIF('DADOS BRUTOS'!$A$3:$A$500,$B36,'DADOS BRUTOS'!FH$3:FH$500)+IF($C36="",0,SUMIF('DADOS BRUTOS'!$A$3:$A$500,$C36,'DADOS BRUTOS'!FH$3:FH$500)))</f>
        <v/>
      </c>
      <c r="II36" s="56">
        <f>IF(OR(II$4="",$B36=""),0,SUMIF('DADOS BRUTOS'!$A$3:$A$500,$B36,'DADOS BRUTOS'!FI$3:FI$500)+IF($C36="",0,SUMIF('DADOS BRUTOS'!$A$3:$A$500,$C36,'DADOS BRUTOS'!FI$3:FI$500)))</f>
        <v/>
      </c>
      <c r="IJ36" s="56">
        <f>IF(OR(IJ$4="",$B36=""),0,SUMIF('DADOS BRUTOS'!$A$3:$A$500,$B36,'DADOS BRUTOS'!FJ$3:FJ$500)+IF($C36="",0,SUMIF('DADOS BRUTOS'!$A$3:$A$500,$C36,'DADOS BRUTOS'!FJ$3:FJ$500)))</f>
        <v/>
      </c>
      <c r="IK36" s="56">
        <f>IF(OR(IK$4="",$B36=""),0,SUMIF('DADOS BRUTOS'!$A$3:$A$500,$B36,'DADOS BRUTOS'!FK$3:FK$500)+IF($C36="",0,SUMIF('DADOS BRUTOS'!$A$3:$A$500,$C36,'DADOS BRUTOS'!FK$3:FK$500)))</f>
        <v/>
      </c>
      <c r="IL36" s="56">
        <f>IF(OR(IL$4="",$B36=""),0,SUMIF('DADOS BRUTOS'!$A$3:$A$500,$B36,'DADOS BRUTOS'!FL$3:FL$500)+IF($C36="",0,SUMIF('DADOS BRUTOS'!$A$3:$A$500,$C36,'DADOS BRUTOS'!FL$3:FL$500)))</f>
        <v/>
      </c>
      <c r="IM36" s="56">
        <f>IF(OR(IM$4="",$B36=""),0,SUMIF('DADOS BRUTOS'!$A$3:$A$500,$B36,'DADOS BRUTOS'!FM$3:FM$500)+IF($C36="",0,SUMIF('DADOS BRUTOS'!$A$3:$A$500,$C36,'DADOS BRUTOS'!FM$3:FM$500)))</f>
        <v/>
      </c>
      <c r="IN36" s="56">
        <f>IF(OR(IN$4="",$B36=""),0,SUMIF('DADOS BRUTOS'!$A$3:$A$500,$B36,'DADOS BRUTOS'!FN$3:FN$500)+IF($C36="",0,SUMIF('DADOS BRUTOS'!$A$3:$A$500,$C36,'DADOS BRUTOS'!FN$3:FN$500)))</f>
        <v/>
      </c>
      <c r="IO36" s="56">
        <f>IF(OR(IO$4="",$B36=""),0,SUMIF('DADOS BRUTOS'!$A$3:$A$500,$B36,'DADOS BRUTOS'!FO$3:FO$500)+IF($C36="",0,SUMIF('DADOS BRUTOS'!$A$3:$A$500,$C36,'DADOS BRUTOS'!FO$3:FO$500)))</f>
        <v/>
      </c>
      <c r="IP36" s="56">
        <f>IF(OR(IP$4="",$B36=""),0,SUMIF('DADOS BRUTOS'!$A$3:$A$500,$B36,'DADOS BRUTOS'!FP$3:FP$500)+IF($C36="",0,SUMIF('DADOS BRUTOS'!$A$3:$A$500,$C36,'DADOS BRUTOS'!FP$3:FP$500)))</f>
        <v/>
      </c>
      <c r="IQ36" s="56">
        <f>IF(OR(IQ$4="",$B36=""),0,SUMIF('DADOS BRUTOS'!$A$3:$A$500,$B36,'DADOS BRUTOS'!FQ$3:FQ$500)+IF($C36="",0,SUMIF('DADOS BRUTOS'!$A$3:$A$500,$C36,'DADOS BRUTOS'!FQ$3:FQ$500)))</f>
        <v/>
      </c>
      <c r="IR36" s="56">
        <f>IF(OR(IR$4="",$B36=""),0,SUMIF('DADOS BRUTOS'!$A$3:$A$500,$B36,'DADOS BRUTOS'!FR$3:FR$500)+IF($C36="",0,SUMIF('DADOS BRUTOS'!$A$3:$A$500,$C36,'DADOS BRUTOS'!FR$3:FR$500)))</f>
        <v/>
      </c>
      <c r="IS36" s="56">
        <f>IF(OR(IS$4="",$B36=""),0,SUMIF('DADOS BRUTOS'!$A$3:$A$500,$B36,'DADOS BRUTOS'!FS$3:FS$500)+IF($C36="",0,SUMIF('DADOS BRUTOS'!$A$3:$A$500,$C36,'DADOS BRUTOS'!FS$3:FS$500)))</f>
        <v/>
      </c>
      <c r="IT36" s="56">
        <f>IF(OR(IT$4="",$B36=""),0,SUMIF('DADOS BRUTOS'!$A$3:$A$500,$B36,'DADOS BRUTOS'!FT$3:FT$500)+IF($C36="",0,SUMIF('DADOS BRUTOS'!$A$3:$A$500,$C36,'DADOS BRUTOS'!FT$3:FT$500)))</f>
        <v/>
      </c>
      <c r="IU36" s="56">
        <f>IF(OR(IU$4="",$B36=""),0,SUMIF('DADOS BRUTOS'!$A$3:$A$500,$B36,'DADOS BRUTOS'!FU$3:FU$500)+IF($C36="",0,SUMIF('DADOS BRUTOS'!$A$3:$A$500,$C36,'DADOS BRUTOS'!FU$3:FU$500)))</f>
        <v/>
      </c>
      <c r="IV36" s="56">
        <f>IF(OR(IV$4="",$B36=""),0,SUMIF('DADOS BRUTOS'!$A$3:$A$500,$B36,'DADOS BRUTOS'!FV$3:FV$500)+IF($C36="",0,SUMIF('DADOS BRUTOS'!$A$3:$A$500,$C36,'DADOS BRUTOS'!FV$3:FV$500)))</f>
        <v/>
      </c>
      <c r="IW36" s="56">
        <f>IF(OR(IW$4="",$B36=""),0,SUMIF('DADOS BRUTOS'!$A$3:$A$500,$B36,'DADOS BRUTOS'!FW$3:FW$500)+IF($C36="",0,SUMIF('DADOS BRUTOS'!$A$3:$A$500,$C36,'DADOS BRUTOS'!FW$3:FW$500)))</f>
        <v/>
      </c>
      <c r="IX36" s="56">
        <f>IF(OR(IX$4="",$B36=""),0,SUMIF('DADOS BRUTOS'!$A$3:$A$500,$B36,'DADOS BRUTOS'!FX$3:FX$500)+IF($C36="",0,SUMIF('DADOS BRUTOS'!$A$3:$A$500,$C36,'DADOS BRUTOS'!FX$3:FX$500)))</f>
        <v/>
      </c>
      <c r="IY36" s="56">
        <f>IF(OR(IY$4="",$B36=""),0,SUMIF('DADOS BRUTOS'!$A$3:$A$500,$B36,'DADOS BRUTOS'!FY$3:FY$500)+IF($C36="",0,SUMIF('DADOS BRUTOS'!$A$3:$A$500,$C36,'DADOS BRUTOS'!FY$3:FY$500)))</f>
        <v/>
      </c>
      <c r="IZ36" s="56">
        <f>IF(OR(IZ$4="",$B36=""),0,SUMIF('DADOS BRUTOS'!$A$3:$A$500,$B36,'DADOS BRUTOS'!FZ$3:FZ$500)+IF($C36="",0,SUMIF('DADOS BRUTOS'!$A$3:$A$500,$C36,'DADOS BRUTOS'!FZ$3:FZ$500)))</f>
        <v/>
      </c>
      <c r="JA36" s="56">
        <f>IF(OR(JA$4="",$B36=""),0,SUMIF('DADOS BRUTOS'!$A$3:$A$500,$B36,'DADOS BRUTOS'!GA$3:GA$500)+IF($C36="",0,SUMIF('DADOS BRUTOS'!$A$3:$A$500,$C36,'DADOS BRUTOS'!GA$3:GA$500)))</f>
        <v/>
      </c>
      <c r="JB36" s="56">
        <f>IF(OR(JB$4="",$B36=""),0,SUMIF('DADOS BRUTOS'!$A$3:$A$500,$B36,'DADOS BRUTOS'!GB$3:GB$500)+IF($C36="",0,SUMIF('DADOS BRUTOS'!$A$3:$A$500,$C36,'DADOS BRUTOS'!GB$3:GB$500)))</f>
        <v/>
      </c>
      <c r="JC36" s="56">
        <f>IF(OR(JC$4="",$B36=""),0,SUMIF('DADOS BRUTOS'!$A$3:$A$500,$B36,'DADOS BRUTOS'!GC$3:GC$500)+IF($C36="",0,SUMIF('DADOS BRUTOS'!$A$3:$A$500,$C36,'DADOS BRUTOS'!GC$3:GC$500)))</f>
        <v/>
      </c>
      <c r="JD36" s="56">
        <f>IF(OR(JD$4="",$B36=""),0,SUMIF('DADOS BRUTOS'!$A$3:$A$500,$B36,'DADOS BRUTOS'!GD$3:GD$500)+IF($C36="",0,SUMIF('DADOS BRUTOS'!$A$3:$A$500,$C36,'DADOS BRUTOS'!GD$3:GD$500)))</f>
        <v/>
      </c>
      <c r="JE36" s="56">
        <f>IF(OR(JE$4="",$B36=""),0,SUMIF('DADOS BRUTOS'!$A$3:$A$500,$B36,'DADOS BRUTOS'!GE$3:GE$500)+IF($C36="",0,SUMIF('DADOS BRUTOS'!$A$3:$A$500,$C36,'DADOS BRUTOS'!GE$3:GE$500)))</f>
        <v/>
      </c>
      <c r="JF36" s="56">
        <f>IF(OR(JF$4="",$B36=""),0,SUMIF('DADOS BRUTOS'!$A$3:$A$500,$B36,'DADOS BRUTOS'!GF$3:GF$500)+IF($C36="",0,SUMIF('DADOS BRUTOS'!$A$3:$A$500,$C36,'DADOS BRUTOS'!GF$3:GF$500)))</f>
        <v/>
      </c>
      <c r="JG36" s="56">
        <f>IF(OR(JG$4="",$B36=""),0,SUMIF('DADOS BRUTOS'!$A$3:$A$500,$B36,'DADOS BRUTOS'!GG$3:GG$500)+IF($C36="",0,SUMIF('DADOS BRUTOS'!$A$3:$A$500,$C36,'DADOS BRUTOS'!GG$3:GG$500)))</f>
        <v/>
      </c>
      <c r="JH36" s="56">
        <f>IF(OR(JH$4="",$B36=""),0,SUMIF('DADOS BRUTOS'!$A$3:$A$500,$B36,'DADOS BRUTOS'!GH$3:GH$500)+IF($C36="",0,SUMIF('DADOS BRUTOS'!$A$3:$A$500,$C36,'DADOS BRUTOS'!GH$3:GH$500)))</f>
        <v/>
      </c>
      <c r="JI36" s="56">
        <f>IF(OR(JI$4="",$B36=""),0,SUMIF('DADOS BRUTOS'!$A$3:$A$500,$B36,'DADOS BRUTOS'!GI$3:GI$500)+IF($C36="",0,SUMIF('DADOS BRUTOS'!$A$3:$A$500,$C36,'DADOS BRUTOS'!GI$3:GI$500)))</f>
        <v/>
      </c>
      <c r="JJ36" s="56">
        <f>IF(OR(JJ$4="",$B36=""),0,SUMIF('DADOS BRUTOS'!$A$3:$A$500,$B36,'DADOS BRUTOS'!GJ$3:GJ$500)+IF($C36="",0,SUMIF('DADOS BRUTOS'!$A$3:$A$500,$C36,'DADOS BRUTOS'!GJ$3:GJ$500)))</f>
        <v/>
      </c>
      <c r="JK36" s="56">
        <f>IF(OR(JK$4="",$B36=""),0,SUMIF('DADOS BRUTOS'!$A$3:$A$500,$B36,'DADOS BRUTOS'!GK$3:GK$500)+IF($C36="",0,SUMIF('DADOS BRUTOS'!$A$3:$A$500,$C36,'DADOS BRUTOS'!GK$3:GK$500)))</f>
        <v/>
      </c>
      <c r="JL36" s="56">
        <f>IF(OR(JL$4="",$B36=""),0,SUMIF('DADOS BRUTOS'!$A$3:$A$500,$B36,'DADOS BRUTOS'!GL$3:GL$500)+IF($C36="",0,SUMIF('DADOS BRUTOS'!$A$3:$A$500,$C36,'DADOS BRUTOS'!GL$3:GL$500)))</f>
        <v/>
      </c>
      <c r="JM36" s="56">
        <f>IF(OR(JM$4="",$B36=""),0,SUMIF('DADOS BRUTOS'!$A$3:$A$500,$B36,'DADOS BRUTOS'!GM$3:GM$500)+IF($C36="",0,SUMIF('DADOS BRUTOS'!$A$3:$A$500,$C36,'DADOS BRUTOS'!GM$3:GM$500)))</f>
        <v/>
      </c>
      <c r="JN36" s="56">
        <f>IF(OR(JN$4="",$B36=""),0,SUMIF('DADOS BRUTOS'!$A$3:$A$500,$B36,'DADOS BRUTOS'!GN$3:GN$500)+IF($C36="",0,SUMIF('DADOS BRUTOS'!$A$3:$A$500,$C36,'DADOS BRUTOS'!GN$3:GN$500)))</f>
        <v/>
      </c>
      <c r="JO36" s="56">
        <f>IF(OR(JO$4="",$B36=""),0,SUMIF('DADOS BRUTOS'!$A$3:$A$500,$B36,'DADOS BRUTOS'!GO$3:GO$500)+IF($C36="",0,SUMIF('DADOS BRUTOS'!$A$3:$A$500,$C36,'DADOS BRUTOS'!GO$3:GO$500)))</f>
        <v/>
      </c>
      <c r="JP36" s="56">
        <f>IF(OR(JP$4="",$B36=""),0,SUMIF('DADOS BRUTOS'!$A$3:$A$500,$B36,'DADOS BRUTOS'!GP$3:GP$500)+IF($C36="",0,SUMIF('DADOS BRUTOS'!$A$3:$A$500,$C36,'DADOS BRUTOS'!GP$3:GP$500)))</f>
        <v/>
      </c>
      <c r="JQ36" s="56">
        <f>IF(OR(JQ$4="",$B36=""),0,SUMIF('DADOS BRUTOS'!$A$3:$A$500,$B36,'DADOS BRUTOS'!GQ$3:GQ$500)+IF($C36="",0,SUMIF('DADOS BRUTOS'!$A$3:$A$500,$C36,'DADOS BRUTOS'!GQ$3:GQ$500)))</f>
        <v/>
      </c>
      <c r="JR36" s="56">
        <f>IF(OR(JR$4="",$B36=""),0,SUMIF('DADOS BRUTOS'!$A$3:$A$500,$B36,'DADOS BRUTOS'!GR$3:GR$500)+IF($C36="",0,SUMIF('DADOS BRUTOS'!$A$3:$A$500,$C36,'DADOS BRUTOS'!GR$3:GR$500)))</f>
        <v/>
      </c>
      <c r="JS36" s="56">
        <f>IF(OR(JS$4="",$B36=""),0,SUMIF('DADOS BRUTOS'!$A$3:$A$500,$B36,'DADOS BRUTOS'!GS$3:GS$500)+IF($C36="",0,SUMIF('DADOS BRUTOS'!$A$3:$A$500,$C36,'DADOS BRUTOS'!GS$3:GS$500)))</f>
        <v/>
      </c>
    </row>
    <row r="37">
      <c r="A37" s="34">
        <f>'VALOR POR PL'!D43</f>
        <v/>
      </c>
      <c r="B37" s="21" t="inlineStr">
        <is>
          <t>FORRO</t>
        </is>
      </c>
      <c r="C37" s="21" t="n"/>
      <c r="D37" s="17">
        <f>SUMIF($CB$4:$JS$4,"&lt;="&amp;D$4,$CB37:$JS37)</f>
        <v/>
      </c>
      <c r="E37" s="17">
        <f>SUMIF($CB$4:$JS$4,E$4,$CB37:$JS37)</f>
        <v/>
      </c>
      <c r="F37" s="17">
        <f>SUMIF($CB$4:$JS$4,F$4,$CB37:$JS37)</f>
        <v/>
      </c>
      <c r="G37" s="17">
        <f>SUMIF($CB$4:$JS$4,G$4,$CB37:$JS37)</f>
        <v/>
      </c>
      <c r="H37" s="17">
        <f>SUMIF($CB$4:$JS$4,H$4,$CB37:$JS37)</f>
        <v/>
      </c>
      <c r="I37" s="17">
        <f>SUMIF($CB$4:$JS$4,I$4,$CB37:$JS37)</f>
        <v/>
      </c>
      <c r="J37" s="17">
        <f>SUMIF($CB$4:$JS$4,J$4,$CB37:$JS37)</f>
        <v/>
      </c>
      <c r="K37" s="17">
        <f>SUMIF($CB$4:$JS$4,K$4,$CB37:$JS37)</f>
        <v/>
      </c>
      <c r="L37" s="17">
        <f>SUMIF($CB$4:$JS$4,L$4,$CB37:$JS37)</f>
        <v/>
      </c>
      <c r="M37" s="17">
        <f>SUMIF($CB$4:$JS$4,M$4,$CB37:$JS37)</f>
        <v/>
      </c>
      <c r="N37" s="17">
        <f>SUMIF($CB$4:$JS$4,N$4,$CB37:$JS37)</f>
        <v/>
      </c>
      <c r="O37" s="17">
        <f>SUMIF($CB$4:$JS$4,O$4,$CB37:$JS37)</f>
        <v/>
      </c>
      <c r="P37" s="17">
        <f>SUMIF($CB$4:$JS$4,P$4,$CB37:$JS37)</f>
        <v/>
      </c>
      <c r="Q37" s="17">
        <f>SUMIF($CB$4:$JS$4,Q$4,$CB37:$JS37)</f>
        <v/>
      </c>
      <c r="R37" s="17">
        <f>SUMIF($CB$4:$JS$4,R$4,$CB37:$JS37)</f>
        <v/>
      </c>
      <c r="S37" s="17">
        <f>SUMIF($CB$4:$JS$4,S$4,$CB37:$JS37)</f>
        <v/>
      </c>
      <c r="T37" s="17">
        <f>SUMIF($CB$4:$JS$4,T$4,$CB37:$JS37)</f>
        <v/>
      </c>
      <c r="U37" s="17">
        <f>SUMIF($CB$4:$JS$4,U$4,$CB37:$JS37)</f>
        <v/>
      </c>
      <c r="V37" s="17">
        <f>SUMIF($CB$4:$JS$4,V$4,$CB37:$JS37)</f>
        <v/>
      </c>
      <c r="W37" s="17">
        <f>SUMIF($CB$4:$JS$4,W$4,$CB37:$JS37)</f>
        <v/>
      </c>
      <c r="X37" s="17">
        <f>SUMIF($CB$4:$JS$4,X$4,$CB37:$JS37)</f>
        <v/>
      </c>
      <c r="Y37" s="17">
        <f>SUMIF($CB$4:$JS$4,Y$4,$CB37:$JS37)</f>
        <v/>
      </c>
      <c r="Z37" s="17">
        <f>SUMIF($CB$4:$JS$4,Z$4,$CB37:$JS37)</f>
        <v/>
      </c>
      <c r="AA37" s="17">
        <f>SUMIF($CB$4:$JS$4,AA$4,$CB37:$JS37)</f>
        <v/>
      </c>
      <c r="AB37" s="17">
        <f>SUMIF($CB$4:$JS$4,AB$4,$CB37:$JS37)</f>
        <v/>
      </c>
      <c r="AC37" s="17">
        <f>SUMIF($CB$4:$JS$4,AC$4,$CB37:$JS37)</f>
        <v/>
      </c>
      <c r="AD37" s="17">
        <f>SUMIF($CB$4:$JS$4,AD$4,$CB37:$JS37)</f>
        <v/>
      </c>
      <c r="AE37" s="17">
        <f>SUMIF($CB$4:$JS$4,AE$4,$CB37:$JS37)</f>
        <v/>
      </c>
      <c r="AF37" s="17">
        <f>SUMIF($CB$4:$JS$4,AF$4,$CB37:$JS37)</f>
        <v/>
      </c>
      <c r="AG37" s="17">
        <f>SUMIF($CB$4:$JS$4,AG$4,$CB37:$JS37)</f>
        <v/>
      </c>
      <c r="AH37" s="17">
        <f>SUMIF($CB$4:$JS$4,AH$4,$CB37:$JS37)</f>
        <v/>
      </c>
      <c r="AI37" s="17">
        <f>SUMIF($CB$4:$JS$4,AI$4,$CB37:$JS37)</f>
        <v/>
      </c>
      <c r="AJ37" s="17">
        <f>SUMIF($CB$4:$JS$4,AJ$4,$CB37:$JS37)</f>
        <v/>
      </c>
      <c r="AK37" s="17">
        <f>SUMIF($CB$4:$JS$4,AK$4,$CB37:$JS37)</f>
        <v/>
      </c>
      <c r="AL37" s="17">
        <f>SUMIF($CB$4:$JS$4,AL$4,$CB37:$JS37)</f>
        <v/>
      </c>
      <c r="AM37" s="17">
        <f>SUMIF($CB$4:$JS$4,AM$4,$CB37:$JS37)</f>
        <v/>
      </c>
      <c r="AN37" s="17">
        <f>SUMIF($CB$4:$JS$4,AN$4,$CB37:$JS37)</f>
        <v/>
      </c>
      <c r="AO37" s="17">
        <f>SUMIF($CB$4:$JS$4,AO$4,$CB37:$JS37)</f>
        <v/>
      </c>
      <c r="AP37" s="17">
        <f>SUMIF($CB$4:$JS$4,AP$4,$CB37:$JS37)</f>
        <v/>
      </c>
      <c r="AQ37" s="17">
        <f>SUMIF($CB$4:$JS$4,AQ$4,$CB37:$JS37)</f>
        <v/>
      </c>
      <c r="AR37" s="17">
        <f>SUMIF($CB$4:$JS$4,AR$4,$CB37:$JS37)</f>
        <v/>
      </c>
      <c r="AS37" s="17">
        <f>SUMIF($CB$4:$JS$4,AS$4,$CB37:$JS37)</f>
        <v/>
      </c>
      <c r="AT37" s="17">
        <f>SUMIF($CB$4:$JS$4,AT$4,$CB37:$JS37)</f>
        <v/>
      </c>
      <c r="AU37" s="17">
        <f>SUMIF($CB$4:$JS$4,AU$4,$CB37:$JS37)</f>
        <v/>
      </c>
      <c r="AV37" s="17">
        <f>SUMIF($CB$4:$JS$4,AV$4,$CB37:$JS37)</f>
        <v/>
      </c>
      <c r="AW37" s="17">
        <f>SUMIF($CB$4:$JS$4,AW$4,$CB37:$JS37)</f>
        <v/>
      </c>
      <c r="AX37" s="17">
        <f>SUMIF($CB$4:$JS$4,AX$4,$CB37:$JS37)</f>
        <v/>
      </c>
      <c r="AY37" s="17">
        <f>SUMIF($CB$4:$JS$4,AY$4,$CB37:$JS37)</f>
        <v/>
      </c>
      <c r="AZ37" s="17">
        <f>SUMIF($CB$4:$JS$4,AZ$4,$CB37:$JS37)</f>
        <v/>
      </c>
      <c r="BA37" s="17">
        <f>SUMIF($CB$4:$JS$4,BA$4,$CB37:$JS37)</f>
        <v/>
      </c>
      <c r="BB37" s="17">
        <f>SUMIF($CB$4:$JS$4,BB$4,$CB37:$JS37)</f>
        <v/>
      </c>
      <c r="BC37" s="17">
        <f>SUMIF($CB$4:$JS$4,BC$4,$CB37:$JS37)</f>
        <v/>
      </c>
      <c r="BD37" s="17">
        <f>SUMIF($CB$4:$JS$4,BD$4,$CB37:$JS37)</f>
        <v/>
      </c>
      <c r="BE37" s="17">
        <f>SUMIF($CB$4:$JS$4,BE$4,$CB37:$JS37)</f>
        <v/>
      </c>
      <c r="BF37" s="17">
        <f>SUMIF($CB$4:$JS$4,BF$4,$CB37:$JS37)</f>
        <v/>
      </c>
      <c r="BG37" s="17">
        <f>SUMIF($CB$4:$JS$4,BG$4,$CB37:$JS37)</f>
        <v/>
      </c>
      <c r="BH37" s="17">
        <f>SUMIF($CB$4:$JS$4,BH$4,$CB37:$JS37)</f>
        <v/>
      </c>
      <c r="BI37" s="17">
        <f>SUMIF($CB$4:$JS$4,BI$4,$CB37:$JS37)</f>
        <v/>
      </c>
      <c r="BJ37" s="17">
        <f>SUMIF($CB$4:$JS$4,BJ$4,$CB37:$JS37)</f>
        <v/>
      </c>
      <c r="BK37" s="17">
        <f>SUMIF($CB$4:$JS$4,BK$4,$CB37:$JS37)</f>
        <v/>
      </c>
      <c r="BL37" s="17">
        <f>SUMIF($CB$4:$JS$4,BL$4,$CB37:$JS37)</f>
        <v/>
      </c>
      <c r="BM37" s="17">
        <f>SUMIF($CB$4:$JS$4,BM$4,$CB37:$JS37)</f>
        <v/>
      </c>
      <c r="BN37" s="17">
        <f>SUMIF($CB$4:$JS$4,BN$4,$CB37:$JS37)</f>
        <v/>
      </c>
      <c r="BO37" s="17">
        <f>SUMIF($CB$4:$JS$4,BO$4,$CB37:$JS37)</f>
        <v/>
      </c>
      <c r="BP37" s="17">
        <f>SUMIF($CB$4:$JS$4,BP$4,$CB37:$JS37)</f>
        <v/>
      </c>
      <c r="BQ37" s="17">
        <f>SUMIF($CB$4:$JS$4,BQ$4,$CB37:$JS37)</f>
        <v/>
      </c>
      <c r="BR37" s="17">
        <f>SUMIF($CB$4:$JS$4,BR$4,$CB37:$JS37)</f>
        <v/>
      </c>
      <c r="BS37" s="17">
        <f>SUMIF($CB$4:$JS$4,BS$4,$CB37:$JS37)</f>
        <v/>
      </c>
      <c r="BT37" s="17">
        <f>SUMIF($CB$4:$JS$4,BT$4,$CB37:$JS37)</f>
        <v/>
      </c>
      <c r="BU37" s="17">
        <f>SUMIF($CB$4:$JS$4,BU$4,$CB37:$JS37)</f>
        <v/>
      </c>
      <c r="BV37" s="17">
        <f>SUMIF($CB$4:$JS$4,BV$4,$CB37:$JS37)</f>
        <v/>
      </c>
      <c r="BW37" s="17">
        <f>SUMIF($CB$4:$JS$4,BW$4,$CB37:$JS37)</f>
        <v/>
      </c>
      <c r="BX37" s="17">
        <f>SUMIF($CB$4:$JS$4,"&gt;"&amp;'VALOR POR PL'!$P$8,$CB37:$JS37)</f>
        <v/>
      </c>
      <c r="BY37" s="17">
        <f>SUM($CB37:$JS37)</f>
        <v/>
      </c>
      <c r="CB37" s="56">
        <f>IF(OR(CB$4="",$B37=""),0,SUMIF('DADOS BRUTOS'!$A$3:$A$500,$B37,'DADOS BRUTOS'!B$3:B$500)+IF($C37="",0,SUMIF('DADOS BRUTOS'!$A$3:$A$500,$C37,'DADOS BRUTOS'!B$3:B$500)))</f>
        <v/>
      </c>
      <c r="CC37" s="56">
        <f>IF(OR(CC$4="",$B37=""),0,SUMIF('DADOS BRUTOS'!$A$3:$A$500,$B37,'DADOS BRUTOS'!C$3:C$500)+IF($C37="",0,SUMIF('DADOS BRUTOS'!$A$3:$A$500,$C37,'DADOS BRUTOS'!C$3:C$500)))</f>
        <v/>
      </c>
      <c r="CD37" s="56">
        <f>IF(OR(CD$4="",$B37=""),0,SUMIF('DADOS BRUTOS'!$A$3:$A$500,$B37,'DADOS BRUTOS'!D$3:D$500)+IF($C37="",0,SUMIF('DADOS BRUTOS'!$A$3:$A$500,$C37,'DADOS BRUTOS'!D$3:D$500)))</f>
        <v/>
      </c>
      <c r="CE37" s="56">
        <f>IF(OR(CE$4="",$B37=""),0,SUMIF('DADOS BRUTOS'!$A$3:$A$500,$B37,'DADOS BRUTOS'!E$3:E$500)+IF($C37="",0,SUMIF('DADOS BRUTOS'!$A$3:$A$500,$C37,'DADOS BRUTOS'!E$3:E$500)))</f>
        <v/>
      </c>
      <c r="CF37" s="56">
        <f>IF(OR(CF$4="",$B37=""),0,SUMIF('DADOS BRUTOS'!$A$3:$A$500,$B37,'DADOS BRUTOS'!F$3:F$500)+IF($C37="",0,SUMIF('DADOS BRUTOS'!$A$3:$A$500,$C37,'DADOS BRUTOS'!F$3:F$500)))</f>
        <v/>
      </c>
      <c r="CG37" s="56">
        <f>IF(OR(CG$4="",$B37=""),0,SUMIF('DADOS BRUTOS'!$A$3:$A$500,$B37,'DADOS BRUTOS'!G$3:G$500)+IF($C37="",0,SUMIF('DADOS BRUTOS'!$A$3:$A$500,$C37,'DADOS BRUTOS'!G$3:G$500)))</f>
        <v/>
      </c>
      <c r="CH37" s="56">
        <f>IF(OR(CH$4="",$B37=""),0,SUMIF('DADOS BRUTOS'!$A$3:$A$500,$B37,'DADOS BRUTOS'!H$3:H$500)+IF($C37="",0,SUMIF('DADOS BRUTOS'!$A$3:$A$500,$C37,'DADOS BRUTOS'!H$3:H$500)))</f>
        <v/>
      </c>
      <c r="CI37" s="56">
        <f>IF(OR(CI$4="",$B37=""),0,SUMIF('DADOS BRUTOS'!$A$3:$A$500,$B37,'DADOS BRUTOS'!I$3:I$500)+IF($C37="",0,SUMIF('DADOS BRUTOS'!$A$3:$A$500,$C37,'DADOS BRUTOS'!I$3:I$500)))</f>
        <v/>
      </c>
      <c r="CJ37" s="56">
        <f>IF(OR(CJ$4="",$B37=""),0,SUMIF('DADOS BRUTOS'!$A$3:$A$500,$B37,'DADOS BRUTOS'!J$3:J$500)+IF($C37="",0,SUMIF('DADOS BRUTOS'!$A$3:$A$500,$C37,'DADOS BRUTOS'!J$3:J$500)))</f>
        <v/>
      </c>
      <c r="CK37" s="56">
        <f>IF(OR(CK$4="",$B37=""),0,SUMIF('DADOS BRUTOS'!$A$3:$A$500,$B37,'DADOS BRUTOS'!K$3:K$500)+IF($C37="",0,SUMIF('DADOS BRUTOS'!$A$3:$A$500,$C37,'DADOS BRUTOS'!K$3:K$500)))</f>
        <v/>
      </c>
      <c r="CL37" s="56">
        <f>IF(OR(CL$4="",$B37=""),0,SUMIF('DADOS BRUTOS'!$A$3:$A$500,$B37,'DADOS BRUTOS'!L$3:L$500)+IF($C37="",0,SUMIF('DADOS BRUTOS'!$A$3:$A$500,$C37,'DADOS BRUTOS'!L$3:L$500)))</f>
        <v/>
      </c>
      <c r="CM37" s="56">
        <f>IF(OR(CM$4="",$B37=""),0,SUMIF('DADOS BRUTOS'!$A$3:$A$500,$B37,'DADOS BRUTOS'!M$3:M$500)+IF($C37="",0,SUMIF('DADOS BRUTOS'!$A$3:$A$500,$C37,'DADOS BRUTOS'!M$3:M$500)))</f>
        <v/>
      </c>
      <c r="CN37" s="56">
        <f>IF(OR(CN$4="",$B37=""),0,SUMIF('DADOS BRUTOS'!$A$3:$A$500,$B37,'DADOS BRUTOS'!N$3:N$500)+IF($C37="",0,SUMIF('DADOS BRUTOS'!$A$3:$A$500,$C37,'DADOS BRUTOS'!N$3:N$500)))</f>
        <v/>
      </c>
      <c r="CO37" s="56">
        <f>IF(OR(CO$4="",$B37=""),0,SUMIF('DADOS BRUTOS'!$A$3:$A$500,$B37,'DADOS BRUTOS'!O$3:O$500)+IF($C37="",0,SUMIF('DADOS BRUTOS'!$A$3:$A$500,$C37,'DADOS BRUTOS'!O$3:O$500)))</f>
        <v/>
      </c>
      <c r="CP37" s="56">
        <f>IF(OR(CP$4="",$B37=""),0,SUMIF('DADOS BRUTOS'!$A$3:$A$500,$B37,'DADOS BRUTOS'!P$3:P$500)+IF($C37="",0,SUMIF('DADOS BRUTOS'!$A$3:$A$500,$C37,'DADOS BRUTOS'!P$3:P$500)))</f>
        <v/>
      </c>
      <c r="CQ37" s="56">
        <f>IF(OR(CQ$4="",$B37=""),0,SUMIF('DADOS BRUTOS'!$A$3:$A$500,$B37,'DADOS BRUTOS'!Q$3:Q$500)+IF($C37="",0,SUMIF('DADOS BRUTOS'!$A$3:$A$500,$C37,'DADOS BRUTOS'!Q$3:Q$500)))</f>
        <v/>
      </c>
      <c r="CR37" s="56">
        <f>IF(OR(CR$4="",$B37=""),0,SUMIF('DADOS BRUTOS'!$A$3:$A$500,$B37,'DADOS BRUTOS'!R$3:R$500)+IF($C37="",0,SUMIF('DADOS BRUTOS'!$A$3:$A$500,$C37,'DADOS BRUTOS'!R$3:R$500)))</f>
        <v/>
      </c>
      <c r="CS37" s="56">
        <f>IF(OR(CS$4="",$B37=""),0,SUMIF('DADOS BRUTOS'!$A$3:$A$500,$B37,'DADOS BRUTOS'!S$3:S$500)+IF($C37="",0,SUMIF('DADOS BRUTOS'!$A$3:$A$500,$C37,'DADOS BRUTOS'!S$3:S$500)))</f>
        <v/>
      </c>
      <c r="CT37" s="56">
        <f>IF(OR(CT$4="",$B37=""),0,SUMIF('DADOS BRUTOS'!$A$3:$A$500,$B37,'DADOS BRUTOS'!T$3:T$500)+IF($C37="",0,SUMIF('DADOS BRUTOS'!$A$3:$A$500,$C37,'DADOS BRUTOS'!T$3:T$500)))</f>
        <v/>
      </c>
      <c r="CU37" s="56">
        <f>IF(OR(CU$4="",$B37=""),0,SUMIF('DADOS BRUTOS'!$A$3:$A$500,$B37,'DADOS BRUTOS'!U$3:U$500)+IF($C37="",0,SUMIF('DADOS BRUTOS'!$A$3:$A$500,$C37,'DADOS BRUTOS'!U$3:U$500)))</f>
        <v/>
      </c>
      <c r="CV37" s="56">
        <f>IF(OR(CV$4="",$B37=""),0,SUMIF('DADOS BRUTOS'!$A$3:$A$500,$B37,'DADOS BRUTOS'!V$3:V$500)+IF($C37="",0,SUMIF('DADOS BRUTOS'!$A$3:$A$500,$C37,'DADOS BRUTOS'!V$3:V$500)))</f>
        <v/>
      </c>
      <c r="CW37" s="56">
        <f>IF(OR(CW$4="",$B37=""),0,SUMIF('DADOS BRUTOS'!$A$3:$A$500,$B37,'DADOS BRUTOS'!W$3:W$500)+IF($C37="",0,SUMIF('DADOS BRUTOS'!$A$3:$A$500,$C37,'DADOS BRUTOS'!W$3:W$500)))</f>
        <v/>
      </c>
      <c r="CX37" s="56">
        <f>IF(OR(CX$4="",$B37=""),0,SUMIF('DADOS BRUTOS'!$A$3:$A$500,$B37,'DADOS BRUTOS'!X$3:X$500)+IF($C37="",0,SUMIF('DADOS BRUTOS'!$A$3:$A$500,$C37,'DADOS BRUTOS'!X$3:X$500)))</f>
        <v/>
      </c>
      <c r="CY37" s="56">
        <f>IF(OR(CY$4="",$B37=""),0,SUMIF('DADOS BRUTOS'!$A$3:$A$500,$B37,'DADOS BRUTOS'!Y$3:Y$500)+IF($C37="",0,SUMIF('DADOS BRUTOS'!$A$3:$A$500,$C37,'DADOS BRUTOS'!Y$3:Y$500)))</f>
        <v/>
      </c>
      <c r="CZ37" s="56">
        <f>IF(OR(CZ$4="",$B37=""),0,SUMIF('DADOS BRUTOS'!$A$3:$A$500,$B37,'DADOS BRUTOS'!Z$3:Z$500)+IF($C37="",0,SUMIF('DADOS BRUTOS'!$A$3:$A$500,$C37,'DADOS BRUTOS'!Z$3:Z$500)))</f>
        <v/>
      </c>
      <c r="DA37" s="56">
        <f>IF(OR(DA$4="",$B37=""),0,SUMIF('DADOS BRUTOS'!$A$3:$A$500,$B37,'DADOS BRUTOS'!AA$3:AA$500)+IF($C37="",0,SUMIF('DADOS BRUTOS'!$A$3:$A$500,$C37,'DADOS BRUTOS'!AA$3:AA$500)))</f>
        <v/>
      </c>
      <c r="DB37" s="56">
        <f>IF(OR(DB$4="",$B37=""),0,SUMIF('DADOS BRUTOS'!$A$3:$A$500,$B37,'DADOS BRUTOS'!AB$3:AB$500)+IF($C37="",0,SUMIF('DADOS BRUTOS'!$A$3:$A$500,$C37,'DADOS BRUTOS'!AB$3:AB$500)))</f>
        <v/>
      </c>
      <c r="DC37" s="56">
        <f>IF(OR(DC$4="",$B37=""),0,SUMIF('DADOS BRUTOS'!$A$3:$A$500,$B37,'DADOS BRUTOS'!AC$3:AC$500)+IF($C37="",0,SUMIF('DADOS BRUTOS'!$A$3:$A$500,$C37,'DADOS BRUTOS'!AC$3:AC$500)))</f>
        <v/>
      </c>
      <c r="DD37" s="56">
        <f>IF(OR(DD$4="",$B37=""),0,SUMIF('DADOS BRUTOS'!$A$3:$A$500,$B37,'DADOS BRUTOS'!AD$3:AD$500)+IF($C37="",0,SUMIF('DADOS BRUTOS'!$A$3:$A$500,$C37,'DADOS BRUTOS'!AD$3:AD$500)))</f>
        <v/>
      </c>
      <c r="DE37" s="56">
        <f>IF(OR(DE$4="",$B37=""),0,SUMIF('DADOS BRUTOS'!$A$3:$A$500,$B37,'DADOS BRUTOS'!AE$3:AE$500)+IF($C37="",0,SUMIF('DADOS BRUTOS'!$A$3:$A$500,$C37,'DADOS BRUTOS'!AE$3:AE$500)))</f>
        <v/>
      </c>
      <c r="DF37" s="56">
        <f>IF(OR(DF$4="",$B37=""),0,SUMIF('DADOS BRUTOS'!$A$3:$A$500,$B37,'DADOS BRUTOS'!AF$3:AF$500)+IF($C37="",0,SUMIF('DADOS BRUTOS'!$A$3:$A$500,$C37,'DADOS BRUTOS'!AF$3:AF$500)))</f>
        <v/>
      </c>
      <c r="DG37" s="56">
        <f>IF(OR(DG$4="",$B37=""),0,SUMIF('DADOS BRUTOS'!$A$3:$A$500,$B37,'DADOS BRUTOS'!AG$3:AG$500)+IF($C37="",0,SUMIF('DADOS BRUTOS'!$A$3:$A$500,$C37,'DADOS BRUTOS'!AG$3:AG$500)))</f>
        <v/>
      </c>
      <c r="DH37" s="56">
        <f>IF(OR(DH$4="",$B37=""),0,SUMIF('DADOS BRUTOS'!$A$3:$A$500,$B37,'DADOS BRUTOS'!AH$3:AH$500)+IF($C37="",0,SUMIF('DADOS BRUTOS'!$A$3:$A$500,$C37,'DADOS BRUTOS'!AH$3:AH$500)))</f>
        <v/>
      </c>
      <c r="DI37" s="56">
        <f>IF(OR(DI$4="",$B37=""),0,SUMIF('DADOS BRUTOS'!$A$3:$A$500,$B37,'DADOS BRUTOS'!AI$3:AI$500)+IF($C37="",0,SUMIF('DADOS BRUTOS'!$A$3:$A$500,$C37,'DADOS BRUTOS'!AI$3:AI$500)))</f>
        <v/>
      </c>
      <c r="DJ37" s="56">
        <f>IF(OR(DJ$4="",$B37=""),0,SUMIF('DADOS BRUTOS'!$A$3:$A$500,$B37,'DADOS BRUTOS'!AJ$3:AJ$500)+IF($C37="",0,SUMIF('DADOS BRUTOS'!$A$3:$A$500,$C37,'DADOS BRUTOS'!AJ$3:AJ$500)))</f>
        <v/>
      </c>
      <c r="DK37" s="56">
        <f>IF(OR(DK$4="",$B37=""),0,SUMIF('DADOS BRUTOS'!$A$3:$A$500,$B37,'DADOS BRUTOS'!AK$3:AK$500)+IF($C37="",0,SUMIF('DADOS BRUTOS'!$A$3:$A$500,$C37,'DADOS BRUTOS'!AK$3:AK$500)))</f>
        <v/>
      </c>
      <c r="DL37" s="56">
        <f>IF(OR(DL$4="",$B37=""),0,SUMIF('DADOS BRUTOS'!$A$3:$A$500,$B37,'DADOS BRUTOS'!AL$3:AL$500)+IF($C37="",0,SUMIF('DADOS BRUTOS'!$A$3:$A$500,$C37,'DADOS BRUTOS'!AL$3:AL$500)))</f>
        <v/>
      </c>
      <c r="DM37" s="56">
        <f>IF(OR(DM$4="",$B37=""),0,SUMIF('DADOS BRUTOS'!$A$3:$A$500,$B37,'DADOS BRUTOS'!AM$3:AM$500)+IF($C37="",0,SUMIF('DADOS BRUTOS'!$A$3:$A$500,$C37,'DADOS BRUTOS'!AM$3:AM$500)))</f>
        <v/>
      </c>
      <c r="DN37" s="56">
        <f>IF(OR(DN$4="",$B37=""),0,SUMIF('DADOS BRUTOS'!$A$3:$A$500,$B37,'DADOS BRUTOS'!AN$3:AN$500)+IF($C37="",0,SUMIF('DADOS BRUTOS'!$A$3:$A$500,$C37,'DADOS BRUTOS'!AN$3:AN$500)))</f>
        <v/>
      </c>
      <c r="DO37" s="56">
        <f>IF(OR(DO$4="",$B37=""),0,SUMIF('DADOS BRUTOS'!$A$3:$A$500,$B37,'DADOS BRUTOS'!AO$3:AO$500)+IF($C37="",0,SUMIF('DADOS BRUTOS'!$A$3:$A$500,$C37,'DADOS BRUTOS'!AO$3:AO$500)))</f>
        <v/>
      </c>
      <c r="DP37" s="56">
        <f>IF(OR(DP$4="",$B37=""),0,SUMIF('DADOS BRUTOS'!$A$3:$A$500,$B37,'DADOS BRUTOS'!AP$3:AP$500)+IF($C37="",0,SUMIF('DADOS BRUTOS'!$A$3:$A$500,$C37,'DADOS BRUTOS'!AP$3:AP$500)))</f>
        <v/>
      </c>
      <c r="DQ37" s="56">
        <f>IF(OR(DQ$4="",$B37=""),0,SUMIF('DADOS BRUTOS'!$A$3:$A$500,$B37,'DADOS BRUTOS'!AQ$3:AQ$500)+IF($C37="",0,SUMIF('DADOS BRUTOS'!$A$3:$A$500,$C37,'DADOS BRUTOS'!AQ$3:AQ$500)))</f>
        <v/>
      </c>
      <c r="DR37" s="56">
        <f>IF(OR(DR$4="",$B37=""),0,SUMIF('DADOS BRUTOS'!$A$3:$A$500,$B37,'DADOS BRUTOS'!AR$3:AR$500)+IF($C37="",0,SUMIF('DADOS BRUTOS'!$A$3:$A$500,$C37,'DADOS BRUTOS'!AR$3:AR$500)))</f>
        <v/>
      </c>
      <c r="DS37" s="56">
        <f>IF(OR(DS$4="",$B37=""),0,SUMIF('DADOS BRUTOS'!$A$3:$A$500,$B37,'DADOS BRUTOS'!AS$3:AS$500)+IF($C37="",0,SUMIF('DADOS BRUTOS'!$A$3:$A$500,$C37,'DADOS BRUTOS'!AS$3:AS$500)))</f>
        <v/>
      </c>
      <c r="DT37" s="56">
        <f>IF(OR(DT$4="",$B37=""),0,SUMIF('DADOS BRUTOS'!$A$3:$A$500,$B37,'DADOS BRUTOS'!AT$3:AT$500)+IF($C37="",0,SUMIF('DADOS BRUTOS'!$A$3:$A$500,$C37,'DADOS BRUTOS'!AT$3:AT$500)))</f>
        <v/>
      </c>
      <c r="DU37" s="56">
        <f>IF(OR(DU$4="",$B37=""),0,SUMIF('DADOS BRUTOS'!$A$3:$A$500,$B37,'DADOS BRUTOS'!AU$3:AU$500)+IF($C37="",0,SUMIF('DADOS BRUTOS'!$A$3:$A$500,$C37,'DADOS BRUTOS'!AU$3:AU$500)))</f>
        <v/>
      </c>
      <c r="DV37" s="56">
        <f>IF(OR(DV$4="",$B37=""),0,SUMIF('DADOS BRUTOS'!$A$3:$A$500,$B37,'DADOS BRUTOS'!AV$3:AV$500)+IF($C37="",0,SUMIF('DADOS BRUTOS'!$A$3:$A$500,$C37,'DADOS BRUTOS'!AV$3:AV$500)))</f>
        <v/>
      </c>
      <c r="DW37" s="56">
        <f>IF(OR(DW$4="",$B37=""),0,SUMIF('DADOS BRUTOS'!$A$3:$A$500,$B37,'DADOS BRUTOS'!AW$3:AW$500)+IF($C37="",0,SUMIF('DADOS BRUTOS'!$A$3:$A$500,$C37,'DADOS BRUTOS'!AW$3:AW$500)))</f>
        <v/>
      </c>
      <c r="DX37" s="56">
        <f>IF(OR(DX$4="",$B37=""),0,SUMIF('DADOS BRUTOS'!$A$3:$A$500,$B37,'DADOS BRUTOS'!AX$3:AX$500)+IF($C37="",0,SUMIF('DADOS BRUTOS'!$A$3:$A$500,$C37,'DADOS BRUTOS'!AX$3:AX$500)))</f>
        <v/>
      </c>
      <c r="DY37" s="56">
        <f>IF(OR(DY$4="",$B37=""),0,SUMIF('DADOS BRUTOS'!$A$3:$A$500,$B37,'DADOS BRUTOS'!AY$3:AY$500)+IF($C37="",0,SUMIF('DADOS BRUTOS'!$A$3:$A$500,$C37,'DADOS BRUTOS'!AY$3:AY$500)))</f>
        <v/>
      </c>
      <c r="DZ37" s="56">
        <f>IF(OR(DZ$4="",$B37=""),0,SUMIF('DADOS BRUTOS'!$A$3:$A$500,$B37,'DADOS BRUTOS'!AZ$3:AZ$500)+IF($C37="",0,SUMIF('DADOS BRUTOS'!$A$3:$A$500,$C37,'DADOS BRUTOS'!AZ$3:AZ$500)))</f>
        <v/>
      </c>
      <c r="EA37" s="56">
        <f>IF(OR(EA$4="",$B37=""),0,SUMIF('DADOS BRUTOS'!$A$3:$A$500,$B37,'DADOS BRUTOS'!BA$3:BA$500)+IF($C37="",0,SUMIF('DADOS BRUTOS'!$A$3:$A$500,$C37,'DADOS BRUTOS'!BA$3:BA$500)))</f>
        <v/>
      </c>
      <c r="EB37" s="56">
        <f>IF(OR(EB$4="",$B37=""),0,SUMIF('DADOS BRUTOS'!$A$3:$A$500,$B37,'DADOS BRUTOS'!BB$3:BB$500)+IF($C37="",0,SUMIF('DADOS BRUTOS'!$A$3:$A$500,$C37,'DADOS BRUTOS'!BB$3:BB$500)))</f>
        <v/>
      </c>
      <c r="EC37" s="56">
        <f>IF(OR(EC$4="",$B37=""),0,SUMIF('DADOS BRUTOS'!$A$3:$A$500,$B37,'DADOS BRUTOS'!BC$3:BC$500)+IF($C37="",0,SUMIF('DADOS BRUTOS'!$A$3:$A$500,$C37,'DADOS BRUTOS'!BC$3:BC$500)))</f>
        <v/>
      </c>
      <c r="ED37" s="56">
        <f>IF(OR(ED$4="",$B37=""),0,SUMIF('DADOS BRUTOS'!$A$3:$A$500,$B37,'DADOS BRUTOS'!BD$3:BD$500)+IF($C37="",0,SUMIF('DADOS BRUTOS'!$A$3:$A$500,$C37,'DADOS BRUTOS'!BD$3:BD$500)))</f>
        <v/>
      </c>
      <c r="EE37" s="56">
        <f>IF(OR(EE$4="",$B37=""),0,SUMIF('DADOS BRUTOS'!$A$3:$A$500,$B37,'DADOS BRUTOS'!BE$3:BE$500)+IF($C37="",0,SUMIF('DADOS BRUTOS'!$A$3:$A$500,$C37,'DADOS BRUTOS'!BE$3:BE$500)))</f>
        <v/>
      </c>
      <c r="EF37" s="56">
        <f>IF(OR(EF$4="",$B37=""),0,SUMIF('DADOS BRUTOS'!$A$3:$A$500,$B37,'DADOS BRUTOS'!BF$3:BF$500)+IF($C37="",0,SUMIF('DADOS BRUTOS'!$A$3:$A$500,$C37,'DADOS BRUTOS'!BF$3:BF$500)))</f>
        <v/>
      </c>
      <c r="EG37" s="56">
        <f>IF(OR(EG$4="",$B37=""),0,SUMIF('DADOS BRUTOS'!$A$3:$A$500,$B37,'DADOS BRUTOS'!BG$3:BG$500)+IF($C37="",0,SUMIF('DADOS BRUTOS'!$A$3:$A$500,$C37,'DADOS BRUTOS'!BG$3:BG$500)))</f>
        <v/>
      </c>
      <c r="EH37" s="56">
        <f>IF(OR(EH$4="",$B37=""),0,SUMIF('DADOS BRUTOS'!$A$3:$A$500,$B37,'DADOS BRUTOS'!BH$3:BH$500)+IF($C37="",0,SUMIF('DADOS BRUTOS'!$A$3:$A$500,$C37,'DADOS BRUTOS'!BH$3:BH$500)))</f>
        <v/>
      </c>
      <c r="EI37" s="56">
        <f>IF(OR(EI$4="",$B37=""),0,SUMIF('DADOS BRUTOS'!$A$3:$A$500,$B37,'DADOS BRUTOS'!BI$3:BI$500)+IF($C37="",0,SUMIF('DADOS BRUTOS'!$A$3:$A$500,$C37,'DADOS BRUTOS'!BI$3:BI$500)))</f>
        <v/>
      </c>
      <c r="EJ37" s="56">
        <f>IF(OR(EJ$4="",$B37=""),0,SUMIF('DADOS BRUTOS'!$A$3:$A$500,$B37,'DADOS BRUTOS'!BJ$3:BJ$500)+IF($C37="",0,SUMIF('DADOS BRUTOS'!$A$3:$A$500,$C37,'DADOS BRUTOS'!BJ$3:BJ$500)))</f>
        <v/>
      </c>
      <c r="EK37" s="56">
        <f>IF(OR(EK$4="",$B37=""),0,SUMIF('DADOS BRUTOS'!$A$3:$A$500,$B37,'DADOS BRUTOS'!BK$3:BK$500)+IF($C37="",0,SUMIF('DADOS BRUTOS'!$A$3:$A$500,$C37,'DADOS BRUTOS'!BK$3:BK$500)))</f>
        <v/>
      </c>
      <c r="EL37" s="56">
        <f>IF(OR(EL$4="",$B37=""),0,SUMIF('DADOS BRUTOS'!$A$3:$A$500,$B37,'DADOS BRUTOS'!BL$3:BL$500)+IF($C37="",0,SUMIF('DADOS BRUTOS'!$A$3:$A$500,$C37,'DADOS BRUTOS'!BL$3:BL$500)))</f>
        <v/>
      </c>
      <c r="EM37" s="56">
        <f>IF(OR(EM$4="",$B37=""),0,SUMIF('DADOS BRUTOS'!$A$3:$A$500,$B37,'DADOS BRUTOS'!BM$3:BM$500)+IF($C37="",0,SUMIF('DADOS BRUTOS'!$A$3:$A$500,$C37,'DADOS BRUTOS'!BM$3:BM$500)))</f>
        <v/>
      </c>
      <c r="EN37" s="56">
        <f>IF(OR(EN$4="",$B37=""),0,SUMIF('DADOS BRUTOS'!$A$3:$A$500,$B37,'DADOS BRUTOS'!BN$3:BN$500)+IF($C37="",0,SUMIF('DADOS BRUTOS'!$A$3:$A$500,$C37,'DADOS BRUTOS'!BN$3:BN$500)))</f>
        <v/>
      </c>
      <c r="EO37" s="56">
        <f>IF(OR(EO$4="",$B37=""),0,SUMIF('DADOS BRUTOS'!$A$3:$A$500,$B37,'DADOS BRUTOS'!BO$3:BO$500)+IF($C37="",0,SUMIF('DADOS BRUTOS'!$A$3:$A$500,$C37,'DADOS BRUTOS'!BO$3:BO$500)))</f>
        <v/>
      </c>
      <c r="EP37" s="56">
        <f>IF(OR(EP$4="",$B37=""),0,SUMIF('DADOS BRUTOS'!$A$3:$A$500,$B37,'DADOS BRUTOS'!BP$3:BP$500)+IF($C37="",0,SUMIF('DADOS BRUTOS'!$A$3:$A$500,$C37,'DADOS BRUTOS'!BP$3:BP$500)))</f>
        <v/>
      </c>
      <c r="EQ37" s="56">
        <f>IF(OR(EQ$4="",$B37=""),0,SUMIF('DADOS BRUTOS'!$A$3:$A$500,$B37,'DADOS BRUTOS'!BQ$3:BQ$500)+IF($C37="",0,SUMIF('DADOS BRUTOS'!$A$3:$A$500,$C37,'DADOS BRUTOS'!BQ$3:BQ$500)))</f>
        <v/>
      </c>
      <c r="ER37" s="56">
        <f>IF(OR(ER$4="",$B37=""),0,SUMIF('DADOS BRUTOS'!$A$3:$A$500,$B37,'DADOS BRUTOS'!BR$3:BR$500)+IF($C37="",0,SUMIF('DADOS BRUTOS'!$A$3:$A$500,$C37,'DADOS BRUTOS'!BR$3:BR$500)))</f>
        <v/>
      </c>
      <c r="ES37" s="56">
        <f>IF(OR(ES$4="",$B37=""),0,SUMIF('DADOS BRUTOS'!$A$3:$A$500,$B37,'DADOS BRUTOS'!BS$3:BS$500)+IF($C37="",0,SUMIF('DADOS BRUTOS'!$A$3:$A$500,$C37,'DADOS BRUTOS'!BS$3:BS$500)))</f>
        <v/>
      </c>
      <c r="ET37" s="56">
        <f>IF(OR(ET$4="",$B37=""),0,SUMIF('DADOS BRUTOS'!$A$3:$A$500,$B37,'DADOS BRUTOS'!BT$3:BT$500)+IF($C37="",0,SUMIF('DADOS BRUTOS'!$A$3:$A$500,$C37,'DADOS BRUTOS'!BT$3:BT$500)))</f>
        <v/>
      </c>
      <c r="EU37" s="56">
        <f>IF(OR(EU$4="",$B37=""),0,SUMIF('DADOS BRUTOS'!$A$3:$A$500,$B37,'DADOS BRUTOS'!BU$3:BU$500)+IF($C37="",0,SUMIF('DADOS BRUTOS'!$A$3:$A$500,$C37,'DADOS BRUTOS'!BU$3:BU$500)))</f>
        <v/>
      </c>
      <c r="EV37" s="56">
        <f>IF(OR(EV$4="",$B37=""),0,SUMIF('DADOS BRUTOS'!$A$3:$A$500,$B37,'DADOS BRUTOS'!BV$3:BV$500)+IF($C37="",0,SUMIF('DADOS BRUTOS'!$A$3:$A$500,$C37,'DADOS BRUTOS'!BV$3:BV$500)))</f>
        <v/>
      </c>
      <c r="EW37" s="56">
        <f>IF(OR(EW$4="",$B37=""),0,SUMIF('DADOS BRUTOS'!$A$3:$A$500,$B37,'DADOS BRUTOS'!BW$3:BW$500)+IF($C37="",0,SUMIF('DADOS BRUTOS'!$A$3:$A$500,$C37,'DADOS BRUTOS'!BW$3:BW$500)))</f>
        <v/>
      </c>
      <c r="EX37" s="56">
        <f>IF(OR(EX$4="",$B37=""),0,SUMIF('DADOS BRUTOS'!$A$3:$A$500,$B37,'DADOS BRUTOS'!BX$3:BX$500)+IF($C37="",0,SUMIF('DADOS BRUTOS'!$A$3:$A$500,$C37,'DADOS BRUTOS'!BX$3:BX$500)))</f>
        <v/>
      </c>
      <c r="EY37" s="56">
        <f>IF(OR(EY$4="",$B37=""),0,SUMIF('DADOS BRUTOS'!$A$3:$A$500,$B37,'DADOS BRUTOS'!BY$3:BY$500)+IF($C37="",0,SUMIF('DADOS BRUTOS'!$A$3:$A$500,$C37,'DADOS BRUTOS'!BY$3:BY$500)))</f>
        <v/>
      </c>
      <c r="EZ37" s="56">
        <f>IF(OR(EZ$4="",$B37=""),0,SUMIF('DADOS BRUTOS'!$A$3:$A$500,$B37,'DADOS BRUTOS'!BZ$3:BZ$500)+IF($C37="",0,SUMIF('DADOS BRUTOS'!$A$3:$A$500,$C37,'DADOS BRUTOS'!BZ$3:BZ$500)))</f>
        <v/>
      </c>
      <c r="FA37" s="56">
        <f>IF(OR(FA$4="",$B37=""),0,SUMIF('DADOS BRUTOS'!$A$3:$A$500,$B37,'DADOS BRUTOS'!CA$3:CA$500)+IF($C37="",0,SUMIF('DADOS BRUTOS'!$A$3:$A$500,$C37,'DADOS BRUTOS'!CA$3:CA$500)))</f>
        <v/>
      </c>
      <c r="FB37" s="56">
        <f>IF(OR(FB$4="",$B37=""),0,SUMIF('DADOS BRUTOS'!$A$3:$A$500,$B37,'DADOS BRUTOS'!CB$3:CB$500)+IF($C37="",0,SUMIF('DADOS BRUTOS'!$A$3:$A$500,$C37,'DADOS BRUTOS'!CB$3:CB$500)))</f>
        <v/>
      </c>
      <c r="FC37" s="56">
        <f>IF(OR(FC$4="",$B37=""),0,SUMIF('DADOS BRUTOS'!$A$3:$A$500,$B37,'DADOS BRUTOS'!CC$3:CC$500)+IF($C37="",0,SUMIF('DADOS BRUTOS'!$A$3:$A$500,$C37,'DADOS BRUTOS'!CC$3:CC$500)))</f>
        <v/>
      </c>
      <c r="FD37" s="56">
        <f>IF(OR(FD$4="",$B37=""),0,SUMIF('DADOS BRUTOS'!$A$3:$A$500,$B37,'DADOS BRUTOS'!CD$3:CD$500)+IF($C37="",0,SUMIF('DADOS BRUTOS'!$A$3:$A$500,$C37,'DADOS BRUTOS'!CD$3:CD$500)))</f>
        <v/>
      </c>
      <c r="FE37" s="56">
        <f>IF(OR(FE$4="",$B37=""),0,SUMIF('DADOS BRUTOS'!$A$3:$A$500,$B37,'DADOS BRUTOS'!CE$3:CE$500)+IF($C37="",0,SUMIF('DADOS BRUTOS'!$A$3:$A$500,$C37,'DADOS BRUTOS'!CE$3:CE$500)))</f>
        <v/>
      </c>
      <c r="FF37" s="56">
        <f>IF(OR(FF$4="",$B37=""),0,SUMIF('DADOS BRUTOS'!$A$3:$A$500,$B37,'DADOS BRUTOS'!CF$3:CF$500)+IF($C37="",0,SUMIF('DADOS BRUTOS'!$A$3:$A$500,$C37,'DADOS BRUTOS'!CF$3:CF$500)))</f>
        <v/>
      </c>
      <c r="FG37" s="56">
        <f>IF(OR(FG$4="",$B37=""),0,SUMIF('DADOS BRUTOS'!$A$3:$A$500,$B37,'DADOS BRUTOS'!CG$3:CG$500)+IF($C37="",0,SUMIF('DADOS BRUTOS'!$A$3:$A$500,$C37,'DADOS BRUTOS'!CG$3:CG$500)))</f>
        <v/>
      </c>
      <c r="FH37" s="56">
        <f>IF(OR(FH$4="",$B37=""),0,SUMIF('DADOS BRUTOS'!$A$3:$A$500,$B37,'DADOS BRUTOS'!CH$3:CH$500)+IF($C37="",0,SUMIF('DADOS BRUTOS'!$A$3:$A$500,$C37,'DADOS BRUTOS'!CH$3:CH$500)))</f>
        <v/>
      </c>
      <c r="FI37" s="56">
        <f>IF(OR(FI$4="",$B37=""),0,SUMIF('DADOS BRUTOS'!$A$3:$A$500,$B37,'DADOS BRUTOS'!CI$3:CI$500)+IF($C37="",0,SUMIF('DADOS BRUTOS'!$A$3:$A$500,$C37,'DADOS BRUTOS'!CI$3:CI$500)))</f>
        <v/>
      </c>
      <c r="FJ37" s="56">
        <f>IF(OR(FJ$4="",$B37=""),0,SUMIF('DADOS BRUTOS'!$A$3:$A$500,$B37,'DADOS BRUTOS'!CJ$3:CJ$500)+IF($C37="",0,SUMIF('DADOS BRUTOS'!$A$3:$A$500,$C37,'DADOS BRUTOS'!CJ$3:CJ$500)))</f>
        <v/>
      </c>
      <c r="FK37" s="56">
        <f>IF(OR(FK$4="",$B37=""),0,SUMIF('DADOS BRUTOS'!$A$3:$A$500,$B37,'DADOS BRUTOS'!CK$3:CK$500)+IF($C37="",0,SUMIF('DADOS BRUTOS'!$A$3:$A$500,$C37,'DADOS BRUTOS'!CK$3:CK$500)))</f>
        <v/>
      </c>
      <c r="FL37" s="56">
        <f>IF(OR(FL$4="",$B37=""),0,SUMIF('DADOS BRUTOS'!$A$3:$A$500,$B37,'DADOS BRUTOS'!CL$3:CL$500)+IF($C37="",0,SUMIF('DADOS BRUTOS'!$A$3:$A$500,$C37,'DADOS BRUTOS'!CL$3:CL$500)))</f>
        <v/>
      </c>
      <c r="FM37" s="56">
        <f>IF(OR(FM$4="",$B37=""),0,SUMIF('DADOS BRUTOS'!$A$3:$A$500,$B37,'DADOS BRUTOS'!CM$3:CM$500)+IF($C37="",0,SUMIF('DADOS BRUTOS'!$A$3:$A$500,$C37,'DADOS BRUTOS'!CM$3:CM$500)))</f>
        <v/>
      </c>
      <c r="FN37" s="56">
        <f>IF(OR(FN$4="",$B37=""),0,SUMIF('DADOS BRUTOS'!$A$3:$A$500,$B37,'DADOS BRUTOS'!CN$3:CN$500)+IF($C37="",0,SUMIF('DADOS BRUTOS'!$A$3:$A$500,$C37,'DADOS BRUTOS'!CN$3:CN$500)))</f>
        <v/>
      </c>
      <c r="FO37" s="56">
        <f>IF(OR(FO$4="",$B37=""),0,SUMIF('DADOS BRUTOS'!$A$3:$A$500,$B37,'DADOS BRUTOS'!CO$3:CO$500)+IF($C37="",0,SUMIF('DADOS BRUTOS'!$A$3:$A$500,$C37,'DADOS BRUTOS'!CO$3:CO$500)))</f>
        <v/>
      </c>
      <c r="FP37" s="56">
        <f>IF(OR(FP$4="",$B37=""),0,SUMIF('DADOS BRUTOS'!$A$3:$A$500,$B37,'DADOS BRUTOS'!CP$3:CP$500)+IF($C37="",0,SUMIF('DADOS BRUTOS'!$A$3:$A$500,$C37,'DADOS BRUTOS'!CP$3:CP$500)))</f>
        <v/>
      </c>
      <c r="FQ37" s="56">
        <f>IF(OR(FQ$4="",$B37=""),0,SUMIF('DADOS BRUTOS'!$A$3:$A$500,$B37,'DADOS BRUTOS'!CQ$3:CQ$500)+IF($C37="",0,SUMIF('DADOS BRUTOS'!$A$3:$A$500,$C37,'DADOS BRUTOS'!CQ$3:CQ$500)))</f>
        <v/>
      </c>
      <c r="FR37" s="56">
        <f>IF(OR(FR$4="",$B37=""),0,SUMIF('DADOS BRUTOS'!$A$3:$A$500,$B37,'DADOS BRUTOS'!CR$3:CR$500)+IF($C37="",0,SUMIF('DADOS BRUTOS'!$A$3:$A$500,$C37,'DADOS BRUTOS'!CR$3:CR$500)))</f>
        <v/>
      </c>
      <c r="FS37" s="56">
        <f>IF(OR(FS$4="",$B37=""),0,SUMIF('DADOS BRUTOS'!$A$3:$A$500,$B37,'DADOS BRUTOS'!CS$3:CS$500)+IF($C37="",0,SUMIF('DADOS BRUTOS'!$A$3:$A$500,$C37,'DADOS BRUTOS'!CS$3:CS$500)))</f>
        <v/>
      </c>
      <c r="FT37" s="56">
        <f>IF(OR(FT$4="",$B37=""),0,SUMIF('DADOS BRUTOS'!$A$3:$A$500,$B37,'DADOS BRUTOS'!CT$3:CT$500)+IF($C37="",0,SUMIF('DADOS BRUTOS'!$A$3:$A$500,$C37,'DADOS BRUTOS'!CT$3:CT$500)))</f>
        <v/>
      </c>
      <c r="FU37" s="56">
        <f>IF(OR(FU$4="",$B37=""),0,SUMIF('DADOS BRUTOS'!$A$3:$A$500,$B37,'DADOS BRUTOS'!CU$3:CU$500)+IF($C37="",0,SUMIF('DADOS BRUTOS'!$A$3:$A$500,$C37,'DADOS BRUTOS'!CU$3:CU$500)))</f>
        <v/>
      </c>
      <c r="FV37" s="56">
        <f>IF(OR(FV$4="",$B37=""),0,SUMIF('DADOS BRUTOS'!$A$3:$A$500,$B37,'DADOS BRUTOS'!CV$3:CV$500)+IF($C37="",0,SUMIF('DADOS BRUTOS'!$A$3:$A$500,$C37,'DADOS BRUTOS'!CV$3:CV$500)))</f>
        <v/>
      </c>
      <c r="FW37" s="56">
        <f>IF(OR(FW$4="",$B37=""),0,SUMIF('DADOS BRUTOS'!$A$3:$A$500,$B37,'DADOS BRUTOS'!CW$3:CW$500)+IF($C37="",0,SUMIF('DADOS BRUTOS'!$A$3:$A$500,$C37,'DADOS BRUTOS'!CW$3:CW$500)))</f>
        <v/>
      </c>
      <c r="FX37" s="56">
        <f>IF(OR(FX$4="",$B37=""),0,SUMIF('DADOS BRUTOS'!$A$3:$A$500,$B37,'DADOS BRUTOS'!CX$3:CX$500)+IF($C37="",0,SUMIF('DADOS BRUTOS'!$A$3:$A$500,$C37,'DADOS BRUTOS'!CX$3:CX$500)))</f>
        <v/>
      </c>
      <c r="FY37" s="56">
        <f>IF(OR(FY$4="",$B37=""),0,SUMIF('DADOS BRUTOS'!$A$3:$A$500,$B37,'DADOS BRUTOS'!CY$3:CY$500)+IF($C37="",0,SUMIF('DADOS BRUTOS'!$A$3:$A$500,$C37,'DADOS BRUTOS'!CY$3:CY$500)))</f>
        <v/>
      </c>
      <c r="FZ37" s="56">
        <f>IF(OR(FZ$4="",$B37=""),0,SUMIF('DADOS BRUTOS'!$A$3:$A$500,$B37,'DADOS BRUTOS'!CZ$3:CZ$500)+IF($C37="",0,SUMIF('DADOS BRUTOS'!$A$3:$A$500,$C37,'DADOS BRUTOS'!CZ$3:CZ$500)))</f>
        <v/>
      </c>
      <c r="GA37" s="56">
        <f>IF(OR(GA$4="",$B37=""),0,SUMIF('DADOS BRUTOS'!$A$3:$A$500,$B37,'DADOS BRUTOS'!DA$3:DA$500)+IF($C37="",0,SUMIF('DADOS BRUTOS'!$A$3:$A$500,$C37,'DADOS BRUTOS'!DA$3:DA$500)))</f>
        <v/>
      </c>
      <c r="GB37" s="56">
        <f>IF(OR(GB$4="",$B37=""),0,SUMIF('DADOS BRUTOS'!$A$3:$A$500,$B37,'DADOS BRUTOS'!DB$3:DB$500)+IF($C37="",0,SUMIF('DADOS BRUTOS'!$A$3:$A$500,$C37,'DADOS BRUTOS'!DB$3:DB$500)))</f>
        <v/>
      </c>
      <c r="GC37" s="56">
        <f>IF(OR(GC$4="",$B37=""),0,SUMIF('DADOS BRUTOS'!$A$3:$A$500,$B37,'DADOS BRUTOS'!DC$3:DC$500)+IF($C37="",0,SUMIF('DADOS BRUTOS'!$A$3:$A$500,$C37,'DADOS BRUTOS'!DC$3:DC$500)))</f>
        <v/>
      </c>
      <c r="GD37" s="56">
        <f>IF(OR(GD$4="",$B37=""),0,SUMIF('DADOS BRUTOS'!$A$3:$A$500,$B37,'DADOS BRUTOS'!DD$3:DD$500)+IF($C37="",0,SUMIF('DADOS BRUTOS'!$A$3:$A$500,$C37,'DADOS BRUTOS'!DD$3:DD$500)))</f>
        <v/>
      </c>
      <c r="GE37" s="56">
        <f>IF(OR(GE$4="",$B37=""),0,SUMIF('DADOS BRUTOS'!$A$3:$A$500,$B37,'DADOS BRUTOS'!DE$3:DE$500)+IF($C37="",0,SUMIF('DADOS BRUTOS'!$A$3:$A$500,$C37,'DADOS BRUTOS'!DE$3:DE$500)))</f>
        <v/>
      </c>
      <c r="GF37" s="56">
        <f>IF(OR(GF$4="",$B37=""),0,SUMIF('DADOS BRUTOS'!$A$3:$A$500,$B37,'DADOS BRUTOS'!DF$3:DF$500)+IF($C37="",0,SUMIF('DADOS BRUTOS'!$A$3:$A$500,$C37,'DADOS BRUTOS'!DF$3:DF$500)))</f>
        <v/>
      </c>
      <c r="GG37" s="56">
        <f>IF(OR(GG$4="",$B37=""),0,SUMIF('DADOS BRUTOS'!$A$3:$A$500,$B37,'DADOS BRUTOS'!DG$3:DG$500)+IF($C37="",0,SUMIF('DADOS BRUTOS'!$A$3:$A$500,$C37,'DADOS BRUTOS'!DG$3:DG$500)))</f>
        <v/>
      </c>
      <c r="GH37" s="56">
        <f>IF(OR(GH$4="",$B37=""),0,SUMIF('DADOS BRUTOS'!$A$3:$A$500,$B37,'DADOS BRUTOS'!DH$3:DH$500)+IF($C37="",0,SUMIF('DADOS BRUTOS'!$A$3:$A$500,$C37,'DADOS BRUTOS'!DH$3:DH$500)))</f>
        <v/>
      </c>
      <c r="GI37" s="56">
        <f>IF(OR(GI$4="",$B37=""),0,SUMIF('DADOS BRUTOS'!$A$3:$A$500,$B37,'DADOS BRUTOS'!DI$3:DI$500)+IF($C37="",0,SUMIF('DADOS BRUTOS'!$A$3:$A$500,$C37,'DADOS BRUTOS'!DI$3:DI$500)))</f>
        <v/>
      </c>
      <c r="GJ37" s="56">
        <f>IF(OR(GJ$4="",$B37=""),0,SUMIF('DADOS BRUTOS'!$A$3:$A$500,$B37,'DADOS BRUTOS'!DJ$3:DJ$500)+IF($C37="",0,SUMIF('DADOS BRUTOS'!$A$3:$A$500,$C37,'DADOS BRUTOS'!DJ$3:DJ$500)))</f>
        <v/>
      </c>
      <c r="GK37" s="56">
        <f>IF(OR(GK$4="",$B37=""),0,SUMIF('DADOS BRUTOS'!$A$3:$A$500,$B37,'DADOS BRUTOS'!DK$3:DK$500)+IF($C37="",0,SUMIF('DADOS BRUTOS'!$A$3:$A$500,$C37,'DADOS BRUTOS'!DK$3:DK$500)))</f>
        <v/>
      </c>
      <c r="GL37" s="56">
        <f>IF(OR(GL$4="",$B37=""),0,SUMIF('DADOS BRUTOS'!$A$3:$A$500,$B37,'DADOS BRUTOS'!DL$3:DL$500)+IF($C37="",0,SUMIF('DADOS BRUTOS'!$A$3:$A$500,$C37,'DADOS BRUTOS'!DL$3:DL$500)))</f>
        <v/>
      </c>
      <c r="GM37" s="56">
        <f>IF(OR(GM$4="",$B37=""),0,SUMIF('DADOS BRUTOS'!$A$3:$A$500,$B37,'DADOS BRUTOS'!DM$3:DM$500)+IF($C37="",0,SUMIF('DADOS BRUTOS'!$A$3:$A$500,$C37,'DADOS BRUTOS'!DM$3:DM$500)))</f>
        <v/>
      </c>
      <c r="GN37" s="56">
        <f>IF(OR(GN$4="",$B37=""),0,SUMIF('DADOS BRUTOS'!$A$3:$A$500,$B37,'DADOS BRUTOS'!DN$3:DN$500)+IF($C37="",0,SUMIF('DADOS BRUTOS'!$A$3:$A$500,$C37,'DADOS BRUTOS'!DN$3:DN$500)))</f>
        <v/>
      </c>
      <c r="GO37" s="56">
        <f>IF(OR(GO$4="",$B37=""),0,SUMIF('DADOS BRUTOS'!$A$3:$A$500,$B37,'DADOS BRUTOS'!DO$3:DO$500)+IF($C37="",0,SUMIF('DADOS BRUTOS'!$A$3:$A$500,$C37,'DADOS BRUTOS'!DO$3:DO$500)))</f>
        <v/>
      </c>
      <c r="GP37" s="56">
        <f>IF(OR(GP$4="",$B37=""),0,SUMIF('DADOS BRUTOS'!$A$3:$A$500,$B37,'DADOS BRUTOS'!DP$3:DP$500)+IF($C37="",0,SUMIF('DADOS BRUTOS'!$A$3:$A$500,$C37,'DADOS BRUTOS'!DP$3:DP$500)))</f>
        <v/>
      </c>
      <c r="GQ37" s="56">
        <f>IF(OR(GQ$4="",$B37=""),0,SUMIF('DADOS BRUTOS'!$A$3:$A$500,$B37,'DADOS BRUTOS'!DQ$3:DQ$500)+IF($C37="",0,SUMIF('DADOS BRUTOS'!$A$3:$A$500,$C37,'DADOS BRUTOS'!DQ$3:DQ$500)))</f>
        <v/>
      </c>
      <c r="GR37" s="56">
        <f>IF(OR(GR$4="",$B37=""),0,SUMIF('DADOS BRUTOS'!$A$3:$A$500,$B37,'DADOS BRUTOS'!DR$3:DR$500)+IF($C37="",0,SUMIF('DADOS BRUTOS'!$A$3:$A$500,$C37,'DADOS BRUTOS'!DR$3:DR$500)))</f>
        <v/>
      </c>
      <c r="GS37" s="56">
        <f>IF(OR(GS$4="",$B37=""),0,SUMIF('DADOS BRUTOS'!$A$3:$A$500,$B37,'DADOS BRUTOS'!DS$3:DS$500)+IF($C37="",0,SUMIF('DADOS BRUTOS'!$A$3:$A$500,$C37,'DADOS BRUTOS'!DS$3:DS$500)))</f>
        <v/>
      </c>
      <c r="GT37" s="56">
        <f>IF(OR(GT$4="",$B37=""),0,SUMIF('DADOS BRUTOS'!$A$3:$A$500,$B37,'DADOS BRUTOS'!DT$3:DT$500)+IF($C37="",0,SUMIF('DADOS BRUTOS'!$A$3:$A$500,$C37,'DADOS BRUTOS'!DT$3:DT$500)))</f>
        <v/>
      </c>
      <c r="GU37" s="56">
        <f>IF(OR(GU$4="",$B37=""),0,SUMIF('DADOS BRUTOS'!$A$3:$A$500,$B37,'DADOS BRUTOS'!DU$3:DU$500)+IF($C37="",0,SUMIF('DADOS BRUTOS'!$A$3:$A$500,$C37,'DADOS BRUTOS'!DU$3:DU$500)))</f>
        <v/>
      </c>
      <c r="GV37" s="56">
        <f>IF(OR(GV$4="",$B37=""),0,SUMIF('DADOS BRUTOS'!$A$3:$A$500,$B37,'DADOS BRUTOS'!DV$3:DV$500)+IF($C37="",0,SUMIF('DADOS BRUTOS'!$A$3:$A$500,$C37,'DADOS BRUTOS'!DV$3:DV$500)))</f>
        <v/>
      </c>
      <c r="GW37" s="56">
        <f>IF(OR(GW$4="",$B37=""),0,SUMIF('DADOS BRUTOS'!$A$3:$A$500,$B37,'DADOS BRUTOS'!DW$3:DW$500)+IF($C37="",0,SUMIF('DADOS BRUTOS'!$A$3:$A$500,$C37,'DADOS BRUTOS'!DW$3:DW$500)))</f>
        <v/>
      </c>
      <c r="GX37" s="56">
        <f>IF(OR(GX$4="",$B37=""),0,SUMIF('DADOS BRUTOS'!$A$3:$A$500,$B37,'DADOS BRUTOS'!DX$3:DX$500)+IF($C37="",0,SUMIF('DADOS BRUTOS'!$A$3:$A$500,$C37,'DADOS BRUTOS'!DX$3:DX$500)))</f>
        <v/>
      </c>
      <c r="GY37" s="56">
        <f>IF(OR(GY$4="",$B37=""),0,SUMIF('DADOS BRUTOS'!$A$3:$A$500,$B37,'DADOS BRUTOS'!DY$3:DY$500)+IF($C37="",0,SUMIF('DADOS BRUTOS'!$A$3:$A$500,$C37,'DADOS BRUTOS'!DY$3:DY$500)))</f>
        <v/>
      </c>
      <c r="GZ37" s="56">
        <f>IF(OR(GZ$4="",$B37=""),0,SUMIF('DADOS BRUTOS'!$A$3:$A$500,$B37,'DADOS BRUTOS'!DZ$3:DZ$500)+IF($C37="",0,SUMIF('DADOS BRUTOS'!$A$3:$A$500,$C37,'DADOS BRUTOS'!DZ$3:DZ$500)))</f>
        <v/>
      </c>
      <c r="HA37" s="56">
        <f>IF(OR(HA$4="",$B37=""),0,SUMIF('DADOS BRUTOS'!$A$3:$A$500,$B37,'DADOS BRUTOS'!EA$3:EA$500)+IF($C37="",0,SUMIF('DADOS BRUTOS'!$A$3:$A$500,$C37,'DADOS BRUTOS'!EA$3:EA$500)))</f>
        <v/>
      </c>
      <c r="HB37" s="56">
        <f>IF(OR(HB$4="",$B37=""),0,SUMIF('DADOS BRUTOS'!$A$3:$A$500,$B37,'DADOS BRUTOS'!EB$3:EB$500)+IF($C37="",0,SUMIF('DADOS BRUTOS'!$A$3:$A$500,$C37,'DADOS BRUTOS'!EB$3:EB$500)))</f>
        <v/>
      </c>
      <c r="HC37" s="56">
        <f>IF(OR(HC$4="",$B37=""),0,SUMIF('DADOS BRUTOS'!$A$3:$A$500,$B37,'DADOS BRUTOS'!EC$3:EC$500)+IF($C37="",0,SUMIF('DADOS BRUTOS'!$A$3:$A$500,$C37,'DADOS BRUTOS'!EC$3:EC$500)))</f>
        <v/>
      </c>
      <c r="HD37" s="56">
        <f>IF(OR(HD$4="",$B37=""),0,SUMIF('DADOS BRUTOS'!$A$3:$A$500,$B37,'DADOS BRUTOS'!ED$3:ED$500)+IF($C37="",0,SUMIF('DADOS BRUTOS'!$A$3:$A$500,$C37,'DADOS BRUTOS'!ED$3:ED$500)))</f>
        <v/>
      </c>
      <c r="HE37" s="56">
        <f>IF(OR(HE$4="",$B37=""),0,SUMIF('DADOS BRUTOS'!$A$3:$A$500,$B37,'DADOS BRUTOS'!EE$3:EE$500)+IF($C37="",0,SUMIF('DADOS BRUTOS'!$A$3:$A$500,$C37,'DADOS BRUTOS'!EE$3:EE$500)))</f>
        <v/>
      </c>
      <c r="HF37" s="56">
        <f>IF(OR(HF$4="",$B37=""),0,SUMIF('DADOS BRUTOS'!$A$3:$A$500,$B37,'DADOS BRUTOS'!EF$3:EF$500)+IF($C37="",0,SUMIF('DADOS BRUTOS'!$A$3:$A$500,$C37,'DADOS BRUTOS'!EF$3:EF$500)))</f>
        <v/>
      </c>
      <c r="HG37" s="56">
        <f>IF(OR(HG$4="",$B37=""),0,SUMIF('DADOS BRUTOS'!$A$3:$A$500,$B37,'DADOS BRUTOS'!EG$3:EG$500)+IF($C37="",0,SUMIF('DADOS BRUTOS'!$A$3:$A$500,$C37,'DADOS BRUTOS'!EG$3:EG$500)))</f>
        <v/>
      </c>
      <c r="HH37" s="56">
        <f>IF(OR(HH$4="",$B37=""),0,SUMIF('DADOS BRUTOS'!$A$3:$A$500,$B37,'DADOS BRUTOS'!EH$3:EH$500)+IF($C37="",0,SUMIF('DADOS BRUTOS'!$A$3:$A$500,$C37,'DADOS BRUTOS'!EH$3:EH$500)))</f>
        <v/>
      </c>
      <c r="HI37" s="56">
        <f>IF(OR(HI$4="",$B37=""),0,SUMIF('DADOS BRUTOS'!$A$3:$A$500,$B37,'DADOS BRUTOS'!EI$3:EI$500)+IF($C37="",0,SUMIF('DADOS BRUTOS'!$A$3:$A$500,$C37,'DADOS BRUTOS'!EI$3:EI$500)))</f>
        <v/>
      </c>
      <c r="HJ37" s="56">
        <f>IF(OR(HJ$4="",$B37=""),0,SUMIF('DADOS BRUTOS'!$A$3:$A$500,$B37,'DADOS BRUTOS'!EJ$3:EJ$500)+IF($C37="",0,SUMIF('DADOS BRUTOS'!$A$3:$A$500,$C37,'DADOS BRUTOS'!EJ$3:EJ$500)))</f>
        <v/>
      </c>
      <c r="HK37" s="56">
        <f>IF(OR(HK$4="",$B37=""),0,SUMIF('DADOS BRUTOS'!$A$3:$A$500,$B37,'DADOS BRUTOS'!EK$3:EK$500)+IF($C37="",0,SUMIF('DADOS BRUTOS'!$A$3:$A$500,$C37,'DADOS BRUTOS'!EK$3:EK$500)))</f>
        <v/>
      </c>
      <c r="HL37" s="56">
        <f>IF(OR(HL$4="",$B37=""),0,SUMIF('DADOS BRUTOS'!$A$3:$A$500,$B37,'DADOS BRUTOS'!EL$3:EL$500)+IF($C37="",0,SUMIF('DADOS BRUTOS'!$A$3:$A$500,$C37,'DADOS BRUTOS'!EL$3:EL$500)))</f>
        <v/>
      </c>
      <c r="HM37" s="56">
        <f>IF(OR(HM$4="",$B37=""),0,SUMIF('DADOS BRUTOS'!$A$3:$A$500,$B37,'DADOS BRUTOS'!EM$3:EM$500)+IF($C37="",0,SUMIF('DADOS BRUTOS'!$A$3:$A$500,$C37,'DADOS BRUTOS'!EM$3:EM$500)))</f>
        <v/>
      </c>
      <c r="HN37" s="56">
        <f>IF(OR(HN$4="",$B37=""),0,SUMIF('DADOS BRUTOS'!$A$3:$A$500,$B37,'DADOS BRUTOS'!EN$3:EN$500)+IF($C37="",0,SUMIF('DADOS BRUTOS'!$A$3:$A$500,$C37,'DADOS BRUTOS'!EN$3:EN$500)))</f>
        <v/>
      </c>
      <c r="HO37" s="56">
        <f>IF(OR(HO$4="",$B37=""),0,SUMIF('DADOS BRUTOS'!$A$3:$A$500,$B37,'DADOS BRUTOS'!EO$3:EO$500)+IF($C37="",0,SUMIF('DADOS BRUTOS'!$A$3:$A$500,$C37,'DADOS BRUTOS'!EO$3:EO$500)))</f>
        <v/>
      </c>
      <c r="HP37" s="56">
        <f>IF(OR(HP$4="",$B37=""),0,SUMIF('DADOS BRUTOS'!$A$3:$A$500,$B37,'DADOS BRUTOS'!EP$3:EP$500)+IF($C37="",0,SUMIF('DADOS BRUTOS'!$A$3:$A$500,$C37,'DADOS BRUTOS'!EP$3:EP$500)))</f>
        <v/>
      </c>
      <c r="HQ37" s="56">
        <f>IF(OR(HQ$4="",$B37=""),0,SUMIF('DADOS BRUTOS'!$A$3:$A$500,$B37,'DADOS BRUTOS'!EQ$3:EQ$500)+IF($C37="",0,SUMIF('DADOS BRUTOS'!$A$3:$A$500,$C37,'DADOS BRUTOS'!EQ$3:EQ$500)))</f>
        <v/>
      </c>
      <c r="HR37" s="56">
        <f>IF(OR(HR$4="",$B37=""),0,SUMIF('DADOS BRUTOS'!$A$3:$A$500,$B37,'DADOS BRUTOS'!ER$3:ER$500)+IF($C37="",0,SUMIF('DADOS BRUTOS'!$A$3:$A$500,$C37,'DADOS BRUTOS'!ER$3:ER$500)))</f>
        <v/>
      </c>
      <c r="HS37" s="56">
        <f>IF(OR(HS$4="",$B37=""),0,SUMIF('DADOS BRUTOS'!$A$3:$A$500,$B37,'DADOS BRUTOS'!ES$3:ES$500)+IF($C37="",0,SUMIF('DADOS BRUTOS'!$A$3:$A$500,$C37,'DADOS BRUTOS'!ES$3:ES$500)))</f>
        <v/>
      </c>
      <c r="HT37" s="56">
        <f>IF(OR(HT$4="",$B37=""),0,SUMIF('DADOS BRUTOS'!$A$3:$A$500,$B37,'DADOS BRUTOS'!ET$3:ET$500)+IF($C37="",0,SUMIF('DADOS BRUTOS'!$A$3:$A$500,$C37,'DADOS BRUTOS'!ET$3:ET$500)))</f>
        <v/>
      </c>
      <c r="HU37" s="56">
        <f>IF(OR(HU$4="",$B37=""),0,SUMIF('DADOS BRUTOS'!$A$3:$A$500,$B37,'DADOS BRUTOS'!EU$3:EU$500)+IF($C37="",0,SUMIF('DADOS BRUTOS'!$A$3:$A$500,$C37,'DADOS BRUTOS'!EU$3:EU$500)))</f>
        <v/>
      </c>
      <c r="HV37" s="56">
        <f>IF(OR(HV$4="",$B37=""),0,SUMIF('DADOS BRUTOS'!$A$3:$A$500,$B37,'DADOS BRUTOS'!EV$3:EV$500)+IF($C37="",0,SUMIF('DADOS BRUTOS'!$A$3:$A$500,$C37,'DADOS BRUTOS'!EV$3:EV$500)))</f>
        <v/>
      </c>
      <c r="HW37" s="56">
        <f>IF(OR(HW$4="",$B37=""),0,SUMIF('DADOS BRUTOS'!$A$3:$A$500,$B37,'DADOS BRUTOS'!EW$3:EW$500)+IF($C37="",0,SUMIF('DADOS BRUTOS'!$A$3:$A$500,$C37,'DADOS BRUTOS'!EW$3:EW$500)))</f>
        <v/>
      </c>
      <c r="HX37" s="56">
        <f>IF(OR(HX$4="",$B37=""),0,SUMIF('DADOS BRUTOS'!$A$3:$A$500,$B37,'DADOS BRUTOS'!EX$3:EX$500)+IF($C37="",0,SUMIF('DADOS BRUTOS'!$A$3:$A$500,$C37,'DADOS BRUTOS'!EX$3:EX$500)))</f>
        <v/>
      </c>
      <c r="HY37" s="56">
        <f>IF(OR(HY$4="",$B37=""),0,SUMIF('DADOS BRUTOS'!$A$3:$A$500,$B37,'DADOS BRUTOS'!EY$3:EY$500)+IF($C37="",0,SUMIF('DADOS BRUTOS'!$A$3:$A$500,$C37,'DADOS BRUTOS'!EY$3:EY$500)))</f>
        <v/>
      </c>
      <c r="HZ37" s="56">
        <f>IF(OR(HZ$4="",$B37=""),0,SUMIF('DADOS BRUTOS'!$A$3:$A$500,$B37,'DADOS BRUTOS'!EZ$3:EZ$500)+IF($C37="",0,SUMIF('DADOS BRUTOS'!$A$3:$A$500,$C37,'DADOS BRUTOS'!EZ$3:EZ$500)))</f>
        <v/>
      </c>
      <c r="IA37" s="56">
        <f>IF(OR(IA$4="",$B37=""),0,SUMIF('DADOS BRUTOS'!$A$3:$A$500,$B37,'DADOS BRUTOS'!FA$3:FA$500)+IF($C37="",0,SUMIF('DADOS BRUTOS'!$A$3:$A$500,$C37,'DADOS BRUTOS'!FA$3:FA$500)))</f>
        <v/>
      </c>
      <c r="IB37" s="56">
        <f>IF(OR(IB$4="",$B37=""),0,SUMIF('DADOS BRUTOS'!$A$3:$A$500,$B37,'DADOS BRUTOS'!FB$3:FB$500)+IF($C37="",0,SUMIF('DADOS BRUTOS'!$A$3:$A$500,$C37,'DADOS BRUTOS'!FB$3:FB$500)))</f>
        <v/>
      </c>
      <c r="IC37" s="56">
        <f>IF(OR(IC$4="",$B37=""),0,SUMIF('DADOS BRUTOS'!$A$3:$A$500,$B37,'DADOS BRUTOS'!FC$3:FC$500)+IF($C37="",0,SUMIF('DADOS BRUTOS'!$A$3:$A$500,$C37,'DADOS BRUTOS'!FC$3:FC$500)))</f>
        <v/>
      </c>
      <c r="ID37" s="56">
        <f>IF(OR(ID$4="",$B37=""),0,SUMIF('DADOS BRUTOS'!$A$3:$A$500,$B37,'DADOS BRUTOS'!FD$3:FD$500)+IF($C37="",0,SUMIF('DADOS BRUTOS'!$A$3:$A$500,$C37,'DADOS BRUTOS'!FD$3:FD$500)))</f>
        <v/>
      </c>
      <c r="IE37" s="56">
        <f>IF(OR(IE$4="",$B37=""),0,SUMIF('DADOS BRUTOS'!$A$3:$A$500,$B37,'DADOS BRUTOS'!FE$3:FE$500)+IF($C37="",0,SUMIF('DADOS BRUTOS'!$A$3:$A$500,$C37,'DADOS BRUTOS'!FE$3:FE$500)))</f>
        <v/>
      </c>
      <c r="IF37" s="56">
        <f>IF(OR(IF$4="",$B37=""),0,SUMIF('DADOS BRUTOS'!$A$3:$A$500,$B37,'DADOS BRUTOS'!FF$3:FF$500)+IF($C37="",0,SUMIF('DADOS BRUTOS'!$A$3:$A$500,$C37,'DADOS BRUTOS'!FF$3:FF$500)))</f>
        <v/>
      </c>
      <c r="IG37" s="56">
        <f>IF(OR(IG$4="",$B37=""),0,SUMIF('DADOS BRUTOS'!$A$3:$A$500,$B37,'DADOS BRUTOS'!FG$3:FG$500)+IF($C37="",0,SUMIF('DADOS BRUTOS'!$A$3:$A$500,$C37,'DADOS BRUTOS'!FG$3:FG$500)))</f>
        <v/>
      </c>
      <c r="IH37" s="56">
        <f>IF(OR(IH$4="",$B37=""),0,SUMIF('DADOS BRUTOS'!$A$3:$A$500,$B37,'DADOS BRUTOS'!FH$3:FH$500)+IF($C37="",0,SUMIF('DADOS BRUTOS'!$A$3:$A$500,$C37,'DADOS BRUTOS'!FH$3:FH$500)))</f>
        <v/>
      </c>
      <c r="II37" s="56">
        <f>IF(OR(II$4="",$B37=""),0,SUMIF('DADOS BRUTOS'!$A$3:$A$500,$B37,'DADOS BRUTOS'!FI$3:FI$500)+IF($C37="",0,SUMIF('DADOS BRUTOS'!$A$3:$A$500,$C37,'DADOS BRUTOS'!FI$3:FI$500)))</f>
        <v/>
      </c>
      <c r="IJ37" s="56">
        <f>IF(OR(IJ$4="",$B37=""),0,SUMIF('DADOS BRUTOS'!$A$3:$A$500,$B37,'DADOS BRUTOS'!FJ$3:FJ$500)+IF($C37="",0,SUMIF('DADOS BRUTOS'!$A$3:$A$500,$C37,'DADOS BRUTOS'!FJ$3:FJ$500)))</f>
        <v/>
      </c>
      <c r="IK37" s="56">
        <f>IF(OR(IK$4="",$B37=""),0,SUMIF('DADOS BRUTOS'!$A$3:$A$500,$B37,'DADOS BRUTOS'!FK$3:FK$500)+IF($C37="",0,SUMIF('DADOS BRUTOS'!$A$3:$A$500,$C37,'DADOS BRUTOS'!FK$3:FK$500)))</f>
        <v/>
      </c>
      <c r="IL37" s="56">
        <f>IF(OR(IL$4="",$B37=""),0,SUMIF('DADOS BRUTOS'!$A$3:$A$500,$B37,'DADOS BRUTOS'!FL$3:FL$500)+IF($C37="",0,SUMIF('DADOS BRUTOS'!$A$3:$A$500,$C37,'DADOS BRUTOS'!FL$3:FL$500)))</f>
        <v/>
      </c>
      <c r="IM37" s="56">
        <f>IF(OR(IM$4="",$B37=""),0,SUMIF('DADOS BRUTOS'!$A$3:$A$500,$B37,'DADOS BRUTOS'!FM$3:FM$500)+IF($C37="",0,SUMIF('DADOS BRUTOS'!$A$3:$A$500,$C37,'DADOS BRUTOS'!FM$3:FM$500)))</f>
        <v/>
      </c>
      <c r="IN37" s="56">
        <f>IF(OR(IN$4="",$B37=""),0,SUMIF('DADOS BRUTOS'!$A$3:$A$500,$B37,'DADOS BRUTOS'!FN$3:FN$500)+IF($C37="",0,SUMIF('DADOS BRUTOS'!$A$3:$A$500,$C37,'DADOS BRUTOS'!FN$3:FN$500)))</f>
        <v/>
      </c>
      <c r="IO37" s="56">
        <f>IF(OR(IO$4="",$B37=""),0,SUMIF('DADOS BRUTOS'!$A$3:$A$500,$B37,'DADOS BRUTOS'!FO$3:FO$500)+IF($C37="",0,SUMIF('DADOS BRUTOS'!$A$3:$A$500,$C37,'DADOS BRUTOS'!FO$3:FO$500)))</f>
        <v/>
      </c>
      <c r="IP37" s="56">
        <f>IF(OR(IP$4="",$B37=""),0,SUMIF('DADOS BRUTOS'!$A$3:$A$500,$B37,'DADOS BRUTOS'!FP$3:FP$500)+IF($C37="",0,SUMIF('DADOS BRUTOS'!$A$3:$A$500,$C37,'DADOS BRUTOS'!FP$3:FP$500)))</f>
        <v/>
      </c>
      <c r="IQ37" s="56">
        <f>IF(OR(IQ$4="",$B37=""),0,SUMIF('DADOS BRUTOS'!$A$3:$A$500,$B37,'DADOS BRUTOS'!FQ$3:FQ$500)+IF($C37="",0,SUMIF('DADOS BRUTOS'!$A$3:$A$500,$C37,'DADOS BRUTOS'!FQ$3:FQ$500)))</f>
        <v/>
      </c>
      <c r="IR37" s="56">
        <f>IF(OR(IR$4="",$B37=""),0,SUMIF('DADOS BRUTOS'!$A$3:$A$500,$B37,'DADOS BRUTOS'!FR$3:FR$500)+IF($C37="",0,SUMIF('DADOS BRUTOS'!$A$3:$A$500,$C37,'DADOS BRUTOS'!FR$3:FR$500)))</f>
        <v/>
      </c>
      <c r="IS37" s="56">
        <f>IF(OR(IS$4="",$B37=""),0,SUMIF('DADOS BRUTOS'!$A$3:$A$500,$B37,'DADOS BRUTOS'!FS$3:FS$500)+IF($C37="",0,SUMIF('DADOS BRUTOS'!$A$3:$A$500,$C37,'DADOS BRUTOS'!FS$3:FS$500)))</f>
        <v/>
      </c>
      <c r="IT37" s="56">
        <f>IF(OR(IT$4="",$B37=""),0,SUMIF('DADOS BRUTOS'!$A$3:$A$500,$B37,'DADOS BRUTOS'!FT$3:FT$500)+IF($C37="",0,SUMIF('DADOS BRUTOS'!$A$3:$A$500,$C37,'DADOS BRUTOS'!FT$3:FT$500)))</f>
        <v/>
      </c>
      <c r="IU37" s="56">
        <f>IF(OR(IU$4="",$B37=""),0,SUMIF('DADOS BRUTOS'!$A$3:$A$500,$B37,'DADOS BRUTOS'!FU$3:FU$500)+IF($C37="",0,SUMIF('DADOS BRUTOS'!$A$3:$A$500,$C37,'DADOS BRUTOS'!FU$3:FU$500)))</f>
        <v/>
      </c>
      <c r="IV37" s="56">
        <f>IF(OR(IV$4="",$B37=""),0,SUMIF('DADOS BRUTOS'!$A$3:$A$500,$B37,'DADOS BRUTOS'!FV$3:FV$500)+IF($C37="",0,SUMIF('DADOS BRUTOS'!$A$3:$A$500,$C37,'DADOS BRUTOS'!FV$3:FV$500)))</f>
        <v/>
      </c>
      <c r="IW37" s="56">
        <f>IF(OR(IW$4="",$B37=""),0,SUMIF('DADOS BRUTOS'!$A$3:$A$500,$B37,'DADOS BRUTOS'!FW$3:FW$500)+IF($C37="",0,SUMIF('DADOS BRUTOS'!$A$3:$A$500,$C37,'DADOS BRUTOS'!FW$3:FW$500)))</f>
        <v/>
      </c>
      <c r="IX37" s="56">
        <f>IF(OR(IX$4="",$B37=""),0,SUMIF('DADOS BRUTOS'!$A$3:$A$500,$B37,'DADOS BRUTOS'!FX$3:FX$500)+IF($C37="",0,SUMIF('DADOS BRUTOS'!$A$3:$A$500,$C37,'DADOS BRUTOS'!FX$3:FX$500)))</f>
        <v/>
      </c>
      <c r="IY37" s="56">
        <f>IF(OR(IY$4="",$B37=""),0,SUMIF('DADOS BRUTOS'!$A$3:$A$500,$B37,'DADOS BRUTOS'!FY$3:FY$500)+IF($C37="",0,SUMIF('DADOS BRUTOS'!$A$3:$A$500,$C37,'DADOS BRUTOS'!FY$3:FY$500)))</f>
        <v/>
      </c>
      <c r="IZ37" s="56">
        <f>IF(OR(IZ$4="",$B37=""),0,SUMIF('DADOS BRUTOS'!$A$3:$A$500,$B37,'DADOS BRUTOS'!FZ$3:FZ$500)+IF($C37="",0,SUMIF('DADOS BRUTOS'!$A$3:$A$500,$C37,'DADOS BRUTOS'!FZ$3:FZ$500)))</f>
        <v/>
      </c>
      <c r="JA37" s="56">
        <f>IF(OR(JA$4="",$B37=""),0,SUMIF('DADOS BRUTOS'!$A$3:$A$500,$B37,'DADOS BRUTOS'!GA$3:GA$500)+IF($C37="",0,SUMIF('DADOS BRUTOS'!$A$3:$A$500,$C37,'DADOS BRUTOS'!GA$3:GA$500)))</f>
        <v/>
      </c>
      <c r="JB37" s="56">
        <f>IF(OR(JB$4="",$B37=""),0,SUMIF('DADOS BRUTOS'!$A$3:$A$500,$B37,'DADOS BRUTOS'!GB$3:GB$500)+IF($C37="",0,SUMIF('DADOS BRUTOS'!$A$3:$A$500,$C37,'DADOS BRUTOS'!GB$3:GB$500)))</f>
        <v/>
      </c>
      <c r="JC37" s="56">
        <f>IF(OR(JC$4="",$B37=""),0,SUMIF('DADOS BRUTOS'!$A$3:$A$500,$B37,'DADOS BRUTOS'!GC$3:GC$500)+IF($C37="",0,SUMIF('DADOS BRUTOS'!$A$3:$A$500,$C37,'DADOS BRUTOS'!GC$3:GC$500)))</f>
        <v/>
      </c>
      <c r="JD37" s="56">
        <f>IF(OR(JD$4="",$B37=""),0,SUMIF('DADOS BRUTOS'!$A$3:$A$500,$B37,'DADOS BRUTOS'!GD$3:GD$500)+IF($C37="",0,SUMIF('DADOS BRUTOS'!$A$3:$A$500,$C37,'DADOS BRUTOS'!GD$3:GD$500)))</f>
        <v/>
      </c>
      <c r="JE37" s="56">
        <f>IF(OR(JE$4="",$B37=""),0,SUMIF('DADOS BRUTOS'!$A$3:$A$500,$B37,'DADOS BRUTOS'!GE$3:GE$500)+IF($C37="",0,SUMIF('DADOS BRUTOS'!$A$3:$A$500,$C37,'DADOS BRUTOS'!GE$3:GE$500)))</f>
        <v/>
      </c>
      <c r="JF37" s="56">
        <f>IF(OR(JF$4="",$B37=""),0,SUMIF('DADOS BRUTOS'!$A$3:$A$500,$B37,'DADOS BRUTOS'!GF$3:GF$500)+IF($C37="",0,SUMIF('DADOS BRUTOS'!$A$3:$A$500,$C37,'DADOS BRUTOS'!GF$3:GF$500)))</f>
        <v/>
      </c>
      <c r="JG37" s="56">
        <f>IF(OR(JG$4="",$B37=""),0,SUMIF('DADOS BRUTOS'!$A$3:$A$500,$B37,'DADOS BRUTOS'!GG$3:GG$500)+IF($C37="",0,SUMIF('DADOS BRUTOS'!$A$3:$A$500,$C37,'DADOS BRUTOS'!GG$3:GG$500)))</f>
        <v/>
      </c>
      <c r="JH37" s="56">
        <f>IF(OR(JH$4="",$B37=""),0,SUMIF('DADOS BRUTOS'!$A$3:$A$500,$B37,'DADOS BRUTOS'!GH$3:GH$500)+IF($C37="",0,SUMIF('DADOS BRUTOS'!$A$3:$A$500,$C37,'DADOS BRUTOS'!GH$3:GH$500)))</f>
        <v/>
      </c>
      <c r="JI37" s="56">
        <f>IF(OR(JI$4="",$B37=""),0,SUMIF('DADOS BRUTOS'!$A$3:$A$500,$B37,'DADOS BRUTOS'!GI$3:GI$500)+IF($C37="",0,SUMIF('DADOS BRUTOS'!$A$3:$A$500,$C37,'DADOS BRUTOS'!GI$3:GI$500)))</f>
        <v/>
      </c>
      <c r="JJ37" s="56">
        <f>IF(OR(JJ$4="",$B37=""),0,SUMIF('DADOS BRUTOS'!$A$3:$A$500,$B37,'DADOS BRUTOS'!GJ$3:GJ$500)+IF($C37="",0,SUMIF('DADOS BRUTOS'!$A$3:$A$500,$C37,'DADOS BRUTOS'!GJ$3:GJ$500)))</f>
        <v/>
      </c>
      <c r="JK37" s="56">
        <f>IF(OR(JK$4="",$B37=""),0,SUMIF('DADOS BRUTOS'!$A$3:$A$500,$B37,'DADOS BRUTOS'!GK$3:GK$500)+IF($C37="",0,SUMIF('DADOS BRUTOS'!$A$3:$A$500,$C37,'DADOS BRUTOS'!GK$3:GK$500)))</f>
        <v/>
      </c>
      <c r="JL37" s="56">
        <f>IF(OR(JL$4="",$B37=""),0,SUMIF('DADOS BRUTOS'!$A$3:$A$500,$B37,'DADOS BRUTOS'!GL$3:GL$500)+IF($C37="",0,SUMIF('DADOS BRUTOS'!$A$3:$A$500,$C37,'DADOS BRUTOS'!GL$3:GL$500)))</f>
        <v/>
      </c>
      <c r="JM37" s="56">
        <f>IF(OR(JM$4="",$B37=""),0,SUMIF('DADOS BRUTOS'!$A$3:$A$500,$B37,'DADOS BRUTOS'!GM$3:GM$500)+IF($C37="",0,SUMIF('DADOS BRUTOS'!$A$3:$A$500,$C37,'DADOS BRUTOS'!GM$3:GM$500)))</f>
        <v/>
      </c>
      <c r="JN37" s="56">
        <f>IF(OR(JN$4="",$B37=""),0,SUMIF('DADOS BRUTOS'!$A$3:$A$500,$B37,'DADOS BRUTOS'!GN$3:GN$500)+IF($C37="",0,SUMIF('DADOS BRUTOS'!$A$3:$A$500,$C37,'DADOS BRUTOS'!GN$3:GN$500)))</f>
        <v/>
      </c>
      <c r="JO37" s="56">
        <f>IF(OR(JO$4="",$B37=""),0,SUMIF('DADOS BRUTOS'!$A$3:$A$500,$B37,'DADOS BRUTOS'!GO$3:GO$500)+IF($C37="",0,SUMIF('DADOS BRUTOS'!$A$3:$A$500,$C37,'DADOS BRUTOS'!GO$3:GO$500)))</f>
        <v/>
      </c>
      <c r="JP37" s="56">
        <f>IF(OR(JP$4="",$B37=""),0,SUMIF('DADOS BRUTOS'!$A$3:$A$500,$B37,'DADOS BRUTOS'!GP$3:GP$500)+IF($C37="",0,SUMIF('DADOS BRUTOS'!$A$3:$A$500,$C37,'DADOS BRUTOS'!GP$3:GP$500)))</f>
        <v/>
      </c>
      <c r="JQ37" s="56">
        <f>IF(OR(JQ$4="",$B37=""),0,SUMIF('DADOS BRUTOS'!$A$3:$A$500,$B37,'DADOS BRUTOS'!GQ$3:GQ$500)+IF($C37="",0,SUMIF('DADOS BRUTOS'!$A$3:$A$500,$C37,'DADOS BRUTOS'!GQ$3:GQ$500)))</f>
        <v/>
      </c>
      <c r="JR37" s="56">
        <f>IF(OR(JR$4="",$B37=""),0,SUMIF('DADOS BRUTOS'!$A$3:$A$500,$B37,'DADOS BRUTOS'!GR$3:GR$500)+IF($C37="",0,SUMIF('DADOS BRUTOS'!$A$3:$A$500,$C37,'DADOS BRUTOS'!GR$3:GR$500)))</f>
        <v/>
      </c>
      <c r="JS37" s="56">
        <f>IF(OR(JS$4="",$B37=""),0,SUMIF('DADOS BRUTOS'!$A$3:$A$500,$B37,'DADOS BRUTOS'!GS$3:GS$500)+IF($C37="",0,SUMIF('DADOS BRUTOS'!$A$3:$A$500,$C37,'DADOS BRUTOS'!GS$3:GS$500)))</f>
        <v/>
      </c>
    </row>
    <row r="38">
      <c r="A38" s="34">
        <f>'VALOR POR PL'!D44</f>
        <v/>
      </c>
      <c r="B38" s="21" t="inlineStr">
        <is>
          <t>LOUÇAS SANITÁRIAS</t>
        </is>
      </c>
      <c r="C38" s="21" t="n"/>
      <c r="D38" s="17">
        <f>SUMIF($CB$4:$JS$4,"&lt;="&amp;D$4,$CB38:$JS38)</f>
        <v/>
      </c>
      <c r="E38" s="17">
        <f>SUMIF($CB$4:$JS$4,E$4,$CB38:$JS38)</f>
        <v/>
      </c>
      <c r="F38" s="17">
        <f>SUMIF($CB$4:$JS$4,F$4,$CB38:$JS38)</f>
        <v/>
      </c>
      <c r="G38" s="17">
        <f>SUMIF($CB$4:$JS$4,G$4,$CB38:$JS38)</f>
        <v/>
      </c>
      <c r="H38" s="17">
        <f>SUMIF($CB$4:$JS$4,H$4,$CB38:$JS38)</f>
        <v/>
      </c>
      <c r="I38" s="17">
        <f>SUMIF($CB$4:$JS$4,I$4,$CB38:$JS38)</f>
        <v/>
      </c>
      <c r="J38" s="17">
        <f>SUMIF($CB$4:$JS$4,J$4,$CB38:$JS38)</f>
        <v/>
      </c>
      <c r="K38" s="17">
        <f>SUMIF($CB$4:$JS$4,K$4,$CB38:$JS38)</f>
        <v/>
      </c>
      <c r="L38" s="17">
        <f>SUMIF($CB$4:$JS$4,L$4,$CB38:$JS38)</f>
        <v/>
      </c>
      <c r="M38" s="17">
        <f>SUMIF($CB$4:$JS$4,M$4,$CB38:$JS38)</f>
        <v/>
      </c>
      <c r="N38" s="17">
        <f>SUMIF($CB$4:$JS$4,N$4,$CB38:$JS38)</f>
        <v/>
      </c>
      <c r="O38" s="17">
        <f>SUMIF($CB$4:$JS$4,O$4,$CB38:$JS38)</f>
        <v/>
      </c>
      <c r="P38" s="17">
        <f>SUMIF($CB$4:$JS$4,P$4,$CB38:$JS38)</f>
        <v/>
      </c>
      <c r="Q38" s="17">
        <f>SUMIF($CB$4:$JS$4,Q$4,$CB38:$JS38)</f>
        <v/>
      </c>
      <c r="R38" s="17">
        <f>SUMIF($CB$4:$JS$4,R$4,$CB38:$JS38)</f>
        <v/>
      </c>
      <c r="S38" s="17">
        <f>SUMIF($CB$4:$JS$4,S$4,$CB38:$JS38)</f>
        <v/>
      </c>
      <c r="T38" s="17">
        <f>SUMIF($CB$4:$JS$4,T$4,$CB38:$JS38)</f>
        <v/>
      </c>
      <c r="U38" s="17">
        <f>SUMIF($CB$4:$JS$4,U$4,$CB38:$JS38)</f>
        <v/>
      </c>
      <c r="V38" s="17">
        <f>SUMIF($CB$4:$JS$4,V$4,$CB38:$JS38)</f>
        <v/>
      </c>
      <c r="W38" s="17">
        <f>SUMIF($CB$4:$JS$4,W$4,$CB38:$JS38)</f>
        <v/>
      </c>
      <c r="X38" s="17">
        <f>SUMIF($CB$4:$JS$4,X$4,$CB38:$JS38)</f>
        <v/>
      </c>
      <c r="Y38" s="17">
        <f>SUMIF($CB$4:$JS$4,Y$4,$CB38:$JS38)</f>
        <v/>
      </c>
      <c r="Z38" s="17">
        <f>SUMIF($CB$4:$JS$4,Z$4,$CB38:$JS38)</f>
        <v/>
      </c>
      <c r="AA38" s="17">
        <f>SUMIF($CB$4:$JS$4,AA$4,$CB38:$JS38)</f>
        <v/>
      </c>
      <c r="AB38" s="17">
        <f>SUMIF($CB$4:$JS$4,AB$4,$CB38:$JS38)</f>
        <v/>
      </c>
      <c r="AC38" s="17">
        <f>SUMIF($CB$4:$JS$4,AC$4,$CB38:$JS38)</f>
        <v/>
      </c>
      <c r="AD38" s="17">
        <f>SUMIF($CB$4:$JS$4,AD$4,$CB38:$JS38)</f>
        <v/>
      </c>
      <c r="AE38" s="17">
        <f>SUMIF($CB$4:$JS$4,AE$4,$CB38:$JS38)</f>
        <v/>
      </c>
      <c r="AF38" s="17">
        <f>SUMIF($CB$4:$JS$4,AF$4,$CB38:$JS38)</f>
        <v/>
      </c>
      <c r="AG38" s="17">
        <f>SUMIF($CB$4:$JS$4,AG$4,$CB38:$JS38)</f>
        <v/>
      </c>
      <c r="AH38" s="17">
        <f>SUMIF($CB$4:$JS$4,AH$4,$CB38:$JS38)</f>
        <v/>
      </c>
      <c r="AI38" s="17">
        <f>SUMIF($CB$4:$JS$4,AI$4,$CB38:$JS38)</f>
        <v/>
      </c>
      <c r="AJ38" s="17">
        <f>SUMIF($CB$4:$JS$4,AJ$4,$CB38:$JS38)</f>
        <v/>
      </c>
      <c r="AK38" s="17">
        <f>SUMIF($CB$4:$JS$4,AK$4,$CB38:$JS38)</f>
        <v/>
      </c>
      <c r="AL38" s="17">
        <f>SUMIF($CB$4:$JS$4,AL$4,$CB38:$JS38)</f>
        <v/>
      </c>
      <c r="AM38" s="17">
        <f>SUMIF($CB$4:$JS$4,AM$4,$CB38:$JS38)</f>
        <v/>
      </c>
      <c r="AN38" s="17">
        <f>SUMIF($CB$4:$JS$4,AN$4,$CB38:$JS38)</f>
        <v/>
      </c>
      <c r="AO38" s="17">
        <f>SUMIF($CB$4:$JS$4,AO$4,$CB38:$JS38)</f>
        <v/>
      </c>
      <c r="AP38" s="17">
        <f>SUMIF($CB$4:$JS$4,AP$4,$CB38:$JS38)</f>
        <v/>
      </c>
      <c r="AQ38" s="17">
        <f>SUMIF($CB$4:$JS$4,AQ$4,$CB38:$JS38)</f>
        <v/>
      </c>
      <c r="AR38" s="17">
        <f>SUMIF($CB$4:$JS$4,AR$4,$CB38:$JS38)</f>
        <v/>
      </c>
      <c r="AS38" s="17">
        <f>SUMIF($CB$4:$JS$4,AS$4,$CB38:$JS38)</f>
        <v/>
      </c>
      <c r="AT38" s="17">
        <f>SUMIF($CB$4:$JS$4,AT$4,$CB38:$JS38)</f>
        <v/>
      </c>
      <c r="AU38" s="17">
        <f>SUMIF($CB$4:$JS$4,AU$4,$CB38:$JS38)</f>
        <v/>
      </c>
      <c r="AV38" s="17">
        <f>SUMIF($CB$4:$JS$4,AV$4,$CB38:$JS38)</f>
        <v/>
      </c>
      <c r="AW38" s="17">
        <f>SUMIF($CB$4:$JS$4,AW$4,$CB38:$JS38)</f>
        <v/>
      </c>
      <c r="AX38" s="17">
        <f>SUMIF($CB$4:$JS$4,AX$4,$CB38:$JS38)</f>
        <v/>
      </c>
      <c r="AY38" s="17">
        <f>SUMIF($CB$4:$JS$4,AY$4,$CB38:$JS38)</f>
        <v/>
      </c>
      <c r="AZ38" s="17">
        <f>SUMIF($CB$4:$JS$4,AZ$4,$CB38:$JS38)</f>
        <v/>
      </c>
      <c r="BA38" s="17">
        <f>SUMIF($CB$4:$JS$4,BA$4,$CB38:$JS38)</f>
        <v/>
      </c>
      <c r="BB38" s="17">
        <f>SUMIF($CB$4:$JS$4,BB$4,$CB38:$JS38)</f>
        <v/>
      </c>
      <c r="BC38" s="17">
        <f>SUMIF($CB$4:$JS$4,BC$4,$CB38:$JS38)</f>
        <v/>
      </c>
      <c r="BD38" s="17">
        <f>SUMIF($CB$4:$JS$4,BD$4,$CB38:$JS38)</f>
        <v/>
      </c>
      <c r="BE38" s="17">
        <f>SUMIF($CB$4:$JS$4,BE$4,$CB38:$JS38)</f>
        <v/>
      </c>
      <c r="BF38" s="17">
        <f>SUMIF($CB$4:$JS$4,BF$4,$CB38:$JS38)</f>
        <v/>
      </c>
      <c r="BG38" s="17">
        <f>SUMIF($CB$4:$JS$4,BG$4,$CB38:$JS38)</f>
        <v/>
      </c>
      <c r="BH38" s="17">
        <f>SUMIF($CB$4:$JS$4,BH$4,$CB38:$JS38)</f>
        <v/>
      </c>
      <c r="BI38" s="17">
        <f>SUMIF($CB$4:$JS$4,BI$4,$CB38:$JS38)</f>
        <v/>
      </c>
      <c r="BJ38" s="17">
        <f>SUMIF($CB$4:$JS$4,BJ$4,$CB38:$JS38)</f>
        <v/>
      </c>
      <c r="BK38" s="17">
        <f>SUMIF($CB$4:$JS$4,BK$4,$CB38:$JS38)</f>
        <v/>
      </c>
      <c r="BL38" s="17">
        <f>SUMIF($CB$4:$JS$4,BL$4,$CB38:$JS38)</f>
        <v/>
      </c>
      <c r="BM38" s="17">
        <f>SUMIF($CB$4:$JS$4,BM$4,$CB38:$JS38)</f>
        <v/>
      </c>
      <c r="BN38" s="17">
        <f>SUMIF($CB$4:$JS$4,BN$4,$CB38:$JS38)</f>
        <v/>
      </c>
      <c r="BO38" s="17">
        <f>SUMIF($CB$4:$JS$4,BO$4,$CB38:$JS38)</f>
        <v/>
      </c>
      <c r="BP38" s="17">
        <f>SUMIF($CB$4:$JS$4,BP$4,$CB38:$JS38)</f>
        <v/>
      </c>
      <c r="BQ38" s="17">
        <f>SUMIF($CB$4:$JS$4,BQ$4,$CB38:$JS38)</f>
        <v/>
      </c>
      <c r="BR38" s="17">
        <f>SUMIF($CB$4:$JS$4,BR$4,$CB38:$JS38)</f>
        <v/>
      </c>
      <c r="BS38" s="17">
        <f>SUMIF($CB$4:$JS$4,BS$4,$CB38:$JS38)</f>
        <v/>
      </c>
      <c r="BT38" s="17">
        <f>SUMIF($CB$4:$JS$4,BT$4,$CB38:$JS38)</f>
        <v/>
      </c>
      <c r="BU38" s="17">
        <f>SUMIF($CB$4:$JS$4,BU$4,$CB38:$JS38)</f>
        <v/>
      </c>
      <c r="BV38" s="17">
        <f>SUMIF($CB$4:$JS$4,BV$4,$CB38:$JS38)</f>
        <v/>
      </c>
      <c r="BW38" s="17">
        <f>SUMIF($CB$4:$JS$4,BW$4,$CB38:$JS38)</f>
        <v/>
      </c>
      <c r="BX38" s="17">
        <f>SUMIF($CB$4:$JS$4,"&gt;"&amp;'VALOR POR PL'!$P$8,$CB38:$JS38)</f>
        <v/>
      </c>
      <c r="BY38" s="17">
        <f>SUM($CB38:$JS38)</f>
        <v/>
      </c>
      <c r="CB38" s="56">
        <f>IF(OR(CB$4="",$B38=""),0,SUMIF('DADOS BRUTOS'!$A$3:$A$500,$B38,'DADOS BRUTOS'!B$3:B$500)+IF($C38="",0,SUMIF('DADOS BRUTOS'!$A$3:$A$500,$C38,'DADOS BRUTOS'!B$3:B$500)))</f>
        <v/>
      </c>
      <c r="CC38" s="56">
        <f>IF(OR(CC$4="",$B38=""),0,SUMIF('DADOS BRUTOS'!$A$3:$A$500,$B38,'DADOS BRUTOS'!C$3:C$500)+IF($C38="",0,SUMIF('DADOS BRUTOS'!$A$3:$A$500,$C38,'DADOS BRUTOS'!C$3:C$500)))</f>
        <v/>
      </c>
      <c r="CD38" s="56">
        <f>IF(OR(CD$4="",$B38=""),0,SUMIF('DADOS BRUTOS'!$A$3:$A$500,$B38,'DADOS BRUTOS'!D$3:D$500)+IF($C38="",0,SUMIF('DADOS BRUTOS'!$A$3:$A$500,$C38,'DADOS BRUTOS'!D$3:D$500)))</f>
        <v/>
      </c>
      <c r="CE38" s="56">
        <f>IF(OR(CE$4="",$B38=""),0,SUMIF('DADOS BRUTOS'!$A$3:$A$500,$B38,'DADOS BRUTOS'!E$3:E$500)+IF($C38="",0,SUMIF('DADOS BRUTOS'!$A$3:$A$500,$C38,'DADOS BRUTOS'!E$3:E$500)))</f>
        <v/>
      </c>
      <c r="CF38" s="56">
        <f>IF(OR(CF$4="",$B38=""),0,SUMIF('DADOS BRUTOS'!$A$3:$A$500,$B38,'DADOS BRUTOS'!F$3:F$500)+IF($C38="",0,SUMIF('DADOS BRUTOS'!$A$3:$A$500,$C38,'DADOS BRUTOS'!F$3:F$500)))</f>
        <v/>
      </c>
      <c r="CG38" s="56">
        <f>IF(OR(CG$4="",$B38=""),0,SUMIF('DADOS BRUTOS'!$A$3:$A$500,$B38,'DADOS BRUTOS'!G$3:G$500)+IF($C38="",0,SUMIF('DADOS BRUTOS'!$A$3:$A$500,$C38,'DADOS BRUTOS'!G$3:G$500)))</f>
        <v/>
      </c>
      <c r="CH38" s="56">
        <f>IF(OR(CH$4="",$B38=""),0,SUMIF('DADOS BRUTOS'!$A$3:$A$500,$B38,'DADOS BRUTOS'!H$3:H$500)+IF($C38="",0,SUMIF('DADOS BRUTOS'!$A$3:$A$500,$C38,'DADOS BRUTOS'!H$3:H$500)))</f>
        <v/>
      </c>
      <c r="CI38" s="56">
        <f>IF(OR(CI$4="",$B38=""),0,SUMIF('DADOS BRUTOS'!$A$3:$A$500,$B38,'DADOS BRUTOS'!I$3:I$500)+IF($C38="",0,SUMIF('DADOS BRUTOS'!$A$3:$A$500,$C38,'DADOS BRUTOS'!I$3:I$500)))</f>
        <v/>
      </c>
      <c r="CJ38" s="56">
        <f>IF(OR(CJ$4="",$B38=""),0,SUMIF('DADOS BRUTOS'!$A$3:$A$500,$B38,'DADOS BRUTOS'!J$3:J$500)+IF($C38="",0,SUMIF('DADOS BRUTOS'!$A$3:$A$500,$C38,'DADOS BRUTOS'!J$3:J$500)))</f>
        <v/>
      </c>
      <c r="CK38" s="56">
        <f>IF(OR(CK$4="",$B38=""),0,SUMIF('DADOS BRUTOS'!$A$3:$A$500,$B38,'DADOS BRUTOS'!K$3:K$500)+IF($C38="",0,SUMIF('DADOS BRUTOS'!$A$3:$A$500,$C38,'DADOS BRUTOS'!K$3:K$500)))</f>
        <v/>
      </c>
      <c r="CL38" s="56">
        <f>IF(OR(CL$4="",$B38=""),0,SUMIF('DADOS BRUTOS'!$A$3:$A$500,$B38,'DADOS BRUTOS'!L$3:L$500)+IF($C38="",0,SUMIF('DADOS BRUTOS'!$A$3:$A$500,$C38,'DADOS BRUTOS'!L$3:L$500)))</f>
        <v/>
      </c>
      <c r="CM38" s="56">
        <f>IF(OR(CM$4="",$B38=""),0,SUMIF('DADOS BRUTOS'!$A$3:$A$500,$B38,'DADOS BRUTOS'!M$3:M$500)+IF($C38="",0,SUMIF('DADOS BRUTOS'!$A$3:$A$500,$C38,'DADOS BRUTOS'!M$3:M$500)))</f>
        <v/>
      </c>
      <c r="CN38" s="56">
        <f>IF(OR(CN$4="",$B38=""),0,SUMIF('DADOS BRUTOS'!$A$3:$A$500,$B38,'DADOS BRUTOS'!N$3:N$500)+IF($C38="",0,SUMIF('DADOS BRUTOS'!$A$3:$A$500,$C38,'DADOS BRUTOS'!N$3:N$500)))</f>
        <v/>
      </c>
      <c r="CO38" s="56">
        <f>IF(OR(CO$4="",$B38=""),0,SUMIF('DADOS BRUTOS'!$A$3:$A$500,$B38,'DADOS BRUTOS'!O$3:O$500)+IF($C38="",0,SUMIF('DADOS BRUTOS'!$A$3:$A$500,$C38,'DADOS BRUTOS'!O$3:O$500)))</f>
        <v/>
      </c>
      <c r="CP38" s="56">
        <f>IF(OR(CP$4="",$B38=""),0,SUMIF('DADOS BRUTOS'!$A$3:$A$500,$B38,'DADOS BRUTOS'!P$3:P$500)+IF($C38="",0,SUMIF('DADOS BRUTOS'!$A$3:$A$500,$C38,'DADOS BRUTOS'!P$3:P$500)))</f>
        <v/>
      </c>
      <c r="CQ38" s="56">
        <f>IF(OR(CQ$4="",$B38=""),0,SUMIF('DADOS BRUTOS'!$A$3:$A$500,$B38,'DADOS BRUTOS'!Q$3:Q$500)+IF($C38="",0,SUMIF('DADOS BRUTOS'!$A$3:$A$500,$C38,'DADOS BRUTOS'!Q$3:Q$500)))</f>
        <v/>
      </c>
      <c r="CR38" s="56">
        <f>IF(OR(CR$4="",$B38=""),0,SUMIF('DADOS BRUTOS'!$A$3:$A$500,$B38,'DADOS BRUTOS'!R$3:R$500)+IF($C38="",0,SUMIF('DADOS BRUTOS'!$A$3:$A$500,$C38,'DADOS BRUTOS'!R$3:R$500)))</f>
        <v/>
      </c>
      <c r="CS38" s="56">
        <f>IF(OR(CS$4="",$B38=""),0,SUMIF('DADOS BRUTOS'!$A$3:$A$500,$B38,'DADOS BRUTOS'!S$3:S$500)+IF($C38="",0,SUMIF('DADOS BRUTOS'!$A$3:$A$500,$C38,'DADOS BRUTOS'!S$3:S$500)))</f>
        <v/>
      </c>
      <c r="CT38" s="56">
        <f>IF(OR(CT$4="",$B38=""),0,SUMIF('DADOS BRUTOS'!$A$3:$A$500,$B38,'DADOS BRUTOS'!T$3:T$500)+IF($C38="",0,SUMIF('DADOS BRUTOS'!$A$3:$A$500,$C38,'DADOS BRUTOS'!T$3:T$500)))</f>
        <v/>
      </c>
      <c r="CU38" s="56">
        <f>IF(OR(CU$4="",$B38=""),0,SUMIF('DADOS BRUTOS'!$A$3:$A$500,$B38,'DADOS BRUTOS'!U$3:U$500)+IF($C38="",0,SUMIF('DADOS BRUTOS'!$A$3:$A$500,$C38,'DADOS BRUTOS'!U$3:U$500)))</f>
        <v/>
      </c>
      <c r="CV38" s="56">
        <f>IF(OR(CV$4="",$B38=""),0,SUMIF('DADOS BRUTOS'!$A$3:$A$500,$B38,'DADOS BRUTOS'!V$3:V$500)+IF($C38="",0,SUMIF('DADOS BRUTOS'!$A$3:$A$500,$C38,'DADOS BRUTOS'!V$3:V$500)))</f>
        <v/>
      </c>
      <c r="CW38" s="56">
        <f>IF(OR(CW$4="",$B38=""),0,SUMIF('DADOS BRUTOS'!$A$3:$A$500,$B38,'DADOS BRUTOS'!W$3:W$500)+IF($C38="",0,SUMIF('DADOS BRUTOS'!$A$3:$A$500,$C38,'DADOS BRUTOS'!W$3:W$500)))</f>
        <v/>
      </c>
      <c r="CX38" s="56">
        <f>IF(OR(CX$4="",$B38=""),0,SUMIF('DADOS BRUTOS'!$A$3:$A$500,$B38,'DADOS BRUTOS'!X$3:X$500)+IF($C38="",0,SUMIF('DADOS BRUTOS'!$A$3:$A$500,$C38,'DADOS BRUTOS'!X$3:X$500)))</f>
        <v/>
      </c>
      <c r="CY38" s="56">
        <f>IF(OR(CY$4="",$B38=""),0,SUMIF('DADOS BRUTOS'!$A$3:$A$500,$B38,'DADOS BRUTOS'!Y$3:Y$500)+IF($C38="",0,SUMIF('DADOS BRUTOS'!$A$3:$A$500,$C38,'DADOS BRUTOS'!Y$3:Y$500)))</f>
        <v/>
      </c>
      <c r="CZ38" s="56">
        <f>IF(OR(CZ$4="",$B38=""),0,SUMIF('DADOS BRUTOS'!$A$3:$A$500,$B38,'DADOS BRUTOS'!Z$3:Z$500)+IF($C38="",0,SUMIF('DADOS BRUTOS'!$A$3:$A$500,$C38,'DADOS BRUTOS'!Z$3:Z$500)))</f>
        <v/>
      </c>
      <c r="DA38" s="56">
        <f>IF(OR(DA$4="",$B38=""),0,SUMIF('DADOS BRUTOS'!$A$3:$A$500,$B38,'DADOS BRUTOS'!AA$3:AA$500)+IF($C38="",0,SUMIF('DADOS BRUTOS'!$A$3:$A$500,$C38,'DADOS BRUTOS'!AA$3:AA$500)))</f>
        <v/>
      </c>
      <c r="DB38" s="56">
        <f>IF(OR(DB$4="",$B38=""),0,SUMIF('DADOS BRUTOS'!$A$3:$A$500,$B38,'DADOS BRUTOS'!AB$3:AB$500)+IF($C38="",0,SUMIF('DADOS BRUTOS'!$A$3:$A$500,$C38,'DADOS BRUTOS'!AB$3:AB$500)))</f>
        <v/>
      </c>
      <c r="DC38" s="56">
        <f>IF(OR(DC$4="",$B38=""),0,SUMIF('DADOS BRUTOS'!$A$3:$A$500,$B38,'DADOS BRUTOS'!AC$3:AC$500)+IF($C38="",0,SUMIF('DADOS BRUTOS'!$A$3:$A$500,$C38,'DADOS BRUTOS'!AC$3:AC$500)))</f>
        <v/>
      </c>
      <c r="DD38" s="56">
        <f>IF(OR(DD$4="",$B38=""),0,SUMIF('DADOS BRUTOS'!$A$3:$A$500,$B38,'DADOS BRUTOS'!AD$3:AD$500)+IF($C38="",0,SUMIF('DADOS BRUTOS'!$A$3:$A$500,$C38,'DADOS BRUTOS'!AD$3:AD$500)))</f>
        <v/>
      </c>
      <c r="DE38" s="56">
        <f>IF(OR(DE$4="",$B38=""),0,SUMIF('DADOS BRUTOS'!$A$3:$A$500,$B38,'DADOS BRUTOS'!AE$3:AE$500)+IF($C38="",0,SUMIF('DADOS BRUTOS'!$A$3:$A$500,$C38,'DADOS BRUTOS'!AE$3:AE$500)))</f>
        <v/>
      </c>
      <c r="DF38" s="56">
        <f>IF(OR(DF$4="",$B38=""),0,SUMIF('DADOS BRUTOS'!$A$3:$A$500,$B38,'DADOS BRUTOS'!AF$3:AF$500)+IF($C38="",0,SUMIF('DADOS BRUTOS'!$A$3:$A$500,$C38,'DADOS BRUTOS'!AF$3:AF$500)))</f>
        <v/>
      </c>
      <c r="DG38" s="56">
        <f>IF(OR(DG$4="",$B38=""),0,SUMIF('DADOS BRUTOS'!$A$3:$A$500,$B38,'DADOS BRUTOS'!AG$3:AG$500)+IF($C38="",0,SUMIF('DADOS BRUTOS'!$A$3:$A$500,$C38,'DADOS BRUTOS'!AG$3:AG$500)))</f>
        <v/>
      </c>
      <c r="DH38" s="56">
        <f>IF(OR(DH$4="",$B38=""),0,SUMIF('DADOS BRUTOS'!$A$3:$A$500,$B38,'DADOS BRUTOS'!AH$3:AH$500)+IF($C38="",0,SUMIF('DADOS BRUTOS'!$A$3:$A$500,$C38,'DADOS BRUTOS'!AH$3:AH$500)))</f>
        <v/>
      </c>
      <c r="DI38" s="56">
        <f>IF(OR(DI$4="",$B38=""),0,SUMIF('DADOS BRUTOS'!$A$3:$A$500,$B38,'DADOS BRUTOS'!AI$3:AI$500)+IF($C38="",0,SUMIF('DADOS BRUTOS'!$A$3:$A$500,$C38,'DADOS BRUTOS'!AI$3:AI$500)))</f>
        <v/>
      </c>
      <c r="DJ38" s="56">
        <f>IF(OR(DJ$4="",$B38=""),0,SUMIF('DADOS BRUTOS'!$A$3:$A$500,$B38,'DADOS BRUTOS'!AJ$3:AJ$500)+IF($C38="",0,SUMIF('DADOS BRUTOS'!$A$3:$A$500,$C38,'DADOS BRUTOS'!AJ$3:AJ$500)))</f>
        <v/>
      </c>
      <c r="DK38" s="56">
        <f>IF(OR(DK$4="",$B38=""),0,SUMIF('DADOS BRUTOS'!$A$3:$A$500,$B38,'DADOS BRUTOS'!AK$3:AK$500)+IF($C38="",0,SUMIF('DADOS BRUTOS'!$A$3:$A$500,$C38,'DADOS BRUTOS'!AK$3:AK$500)))</f>
        <v/>
      </c>
      <c r="DL38" s="56">
        <f>IF(OR(DL$4="",$B38=""),0,SUMIF('DADOS BRUTOS'!$A$3:$A$500,$B38,'DADOS BRUTOS'!AL$3:AL$500)+IF($C38="",0,SUMIF('DADOS BRUTOS'!$A$3:$A$500,$C38,'DADOS BRUTOS'!AL$3:AL$500)))</f>
        <v/>
      </c>
      <c r="DM38" s="56">
        <f>IF(OR(DM$4="",$B38=""),0,SUMIF('DADOS BRUTOS'!$A$3:$A$500,$B38,'DADOS BRUTOS'!AM$3:AM$500)+IF($C38="",0,SUMIF('DADOS BRUTOS'!$A$3:$A$500,$C38,'DADOS BRUTOS'!AM$3:AM$500)))</f>
        <v/>
      </c>
      <c r="DN38" s="56">
        <f>IF(OR(DN$4="",$B38=""),0,SUMIF('DADOS BRUTOS'!$A$3:$A$500,$B38,'DADOS BRUTOS'!AN$3:AN$500)+IF($C38="",0,SUMIF('DADOS BRUTOS'!$A$3:$A$500,$C38,'DADOS BRUTOS'!AN$3:AN$500)))</f>
        <v/>
      </c>
      <c r="DO38" s="56">
        <f>IF(OR(DO$4="",$B38=""),0,SUMIF('DADOS BRUTOS'!$A$3:$A$500,$B38,'DADOS BRUTOS'!AO$3:AO$500)+IF($C38="",0,SUMIF('DADOS BRUTOS'!$A$3:$A$500,$C38,'DADOS BRUTOS'!AO$3:AO$500)))</f>
        <v/>
      </c>
      <c r="DP38" s="56">
        <f>IF(OR(DP$4="",$B38=""),0,SUMIF('DADOS BRUTOS'!$A$3:$A$500,$B38,'DADOS BRUTOS'!AP$3:AP$500)+IF($C38="",0,SUMIF('DADOS BRUTOS'!$A$3:$A$500,$C38,'DADOS BRUTOS'!AP$3:AP$500)))</f>
        <v/>
      </c>
      <c r="DQ38" s="56">
        <f>IF(OR(DQ$4="",$B38=""),0,SUMIF('DADOS BRUTOS'!$A$3:$A$500,$B38,'DADOS BRUTOS'!AQ$3:AQ$500)+IF($C38="",0,SUMIF('DADOS BRUTOS'!$A$3:$A$500,$C38,'DADOS BRUTOS'!AQ$3:AQ$500)))</f>
        <v/>
      </c>
      <c r="DR38" s="56">
        <f>IF(OR(DR$4="",$B38=""),0,SUMIF('DADOS BRUTOS'!$A$3:$A$500,$B38,'DADOS BRUTOS'!AR$3:AR$500)+IF($C38="",0,SUMIF('DADOS BRUTOS'!$A$3:$A$500,$C38,'DADOS BRUTOS'!AR$3:AR$500)))</f>
        <v/>
      </c>
      <c r="DS38" s="56">
        <f>IF(OR(DS$4="",$B38=""),0,SUMIF('DADOS BRUTOS'!$A$3:$A$500,$B38,'DADOS BRUTOS'!AS$3:AS$500)+IF($C38="",0,SUMIF('DADOS BRUTOS'!$A$3:$A$500,$C38,'DADOS BRUTOS'!AS$3:AS$500)))</f>
        <v/>
      </c>
      <c r="DT38" s="56">
        <f>IF(OR(DT$4="",$B38=""),0,SUMIF('DADOS BRUTOS'!$A$3:$A$500,$B38,'DADOS BRUTOS'!AT$3:AT$500)+IF($C38="",0,SUMIF('DADOS BRUTOS'!$A$3:$A$500,$C38,'DADOS BRUTOS'!AT$3:AT$500)))</f>
        <v/>
      </c>
      <c r="DU38" s="56">
        <f>IF(OR(DU$4="",$B38=""),0,SUMIF('DADOS BRUTOS'!$A$3:$A$500,$B38,'DADOS BRUTOS'!AU$3:AU$500)+IF($C38="",0,SUMIF('DADOS BRUTOS'!$A$3:$A$500,$C38,'DADOS BRUTOS'!AU$3:AU$500)))</f>
        <v/>
      </c>
      <c r="DV38" s="56">
        <f>IF(OR(DV$4="",$B38=""),0,SUMIF('DADOS BRUTOS'!$A$3:$A$500,$B38,'DADOS BRUTOS'!AV$3:AV$500)+IF($C38="",0,SUMIF('DADOS BRUTOS'!$A$3:$A$500,$C38,'DADOS BRUTOS'!AV$3:AV$500)))</f>
        <v/>
      </c>
      <c r="DW38" s="56">
        <f>IF(OR(DW$4="",$B38=""),0,SUMIF('DADOS BRUTOS'!$A$3:$A$500,$B38,'DADOS BRUTOS'!AW$3:AW$500)+IF($C38="",0,SUMIF('DADOS BRUTOS'!$A$3:$A$500,$C38,'DADOS BRUTOS'!AW$3:AW$500)))</f>
        <v/>
      </c>
      <c r="DX38" s="56">
        <f>IF(OR(DX$4="",$B38=""),0,SUMIF('DADOS BRUTOS'!$A$3:$A$500,$B38,'DADOS BRUTOS'!AX$3:AX$500)+IF($C38="",0,SUMIF('DADOS BRUTOS'!$A$3:$A$500,$C38,'DADOS BRUTOS'!AX$3:AX$500)))</f>
        <v/>
      </c>
      <c r="DY38" s="56">
        <f>IF(OR(DY$4="",$B38=""),0,SUMIF('DADOS BRUTOS'!$A$3:$A$500,$B38,'DADOS BRUTOS'!AY$3:AY$500)+IF($C38="",0,SUMIF('DADOS BRUTOS'!$A$3:$A$500,$C38,'DADOS BRUTOS'!AY$3:AY$500)))</f>
        <v/>
      </c>
      <c r="DZ38" s="56">
        <f>IF(OR(DZ$4="",$B38=""),0,SUMIF('DADOS BRUTOS'!$A$3:$A$500,$B38,'DADOS BRUTOS'!AZ$3:AZ$500)+IF($C38="",0,SUMIF('DADOS BRUTOS'!$A$3:$A$500,$C38,'DADOS BRUTOS'!AZ$3:AZ$500)))</f>
        <v/>
      </c>
      <c r="EA38" s="56">
        <f>IF(OR(EA$4="",$B38=""),0,SUMIF('DADOS BRUTOS'!$A$3:$A$500,$B38,'DADOS BRUTOS'!BA$3:BA$500)+IF($C38="",0,SUMIF('DADOS BRUTOS'!$A$3:$A$500,$C38,'DADOS BRUTOS'!BA$3:BA$500)))</f>
        <v/>
      </c>
      <c r="EB38" s="56">
        <f>IF(OR(EB$4="",$B38=""),0,SUMIF('DADOS BRUTOS'!$A$3:$A$500,$B38,'DADOS BRUTOS'!BB$3:BB$500)+IF($C38="",0,SUMIF('DADOS BRUTOS'!$A$3:$A$500,$C38,'DADOS BRUTOS'!BB$3:BB$500)))</f>
        <v/>
      </c>
      <c r="EC38" s="56">
        <f>IF(OR(EC$4="",$B38=""),0,SUMIF('DADOS BRUTOS'!$A$3:$A$500,$B38,'DADOS BRUTOS'!BC$3:BC$500)+IF($C38="",0,SUMIF('DADOS BRUTOS'!$A$3:$A$500,$C38,'DADOS BRUTOS'!BC$3:BC$500)))</f>
        <v/>
      </c>
      <c r="ED38" s="56">
        <f>IF(OR(ED$4="",$B38=""),0,SUMIF('DADOS BRUTOS'!$A$3:$A$500,$B38,'DADOS BRUTOS'!BD$3:BD$500)+IF($C38="",0,SUMIF('DADOS BRUTOS'!$A$3:$A$500,$C38,'DADOS BRUTOS'!BD$3:BD$500)))</f>
        <v/>
      </c>
      <c r="EE38" s="56">
        <f>IF(OR(EE$4="",$B38=""),0,SUMIF('DADOS BRUTOS'!$A$3:$A$500,$B38,'DADOS BRUTOS'!BE$3:BE$500)+IF($C38="",0,SUMIF('DADOS BRUTOS'!$A$3:$A$500,$C38,'DADOS BRUTOS'!BE$3:BE$500)))</f>
        <v/>
      </c>
      <c r="EF38" s="56">
        <f>IF(OR(EF$4="",$B38=""),0,SUMIF('DADOS BRUTOS'!$A$3:$A$500,$B38,'DADOS BRUTOS'!BF$3:BF$500)+IF($C38="",0,SUMIF('DADOS BRUTOS'!$A$3:$A$500,$C38,'DADOS BRUTOS'!BF$3:BF$500)))</f>
        <v/>
      </c>
      <c r="EG38" s="56">
        <f>IF(OR(EG$4="",$B38=""),0,SUMIF('DADOS BRUTOS'!$A$3:$A$500,$B38,'DADOS BRUTOS'!BG$3:BG$500)+IF($C38="",0,SUMIF('DADOS BRUTOS'!$A$3:$A$500,$C38,'DADOS BRUTOS'!BG$3:BG$500)))</f>
        <v/>
      </c>
      <c r="EH38" s="56">
        <f>IF(OR(EH$4="",$B38=""),0,SUMIF('DADOS BRUTOS'!$A$3:$A$500,$B38,'DADOS BRUTOS'!BH$3:BH$500)+IF($C38="",0,SUMIF('DADOS BRUTOS'!$A$3:$A$500,$C38,'DADOS BRUTOS'!BH$3:BH$500)))</f>
        <v/>
      </c>
      <c r="EI38" s="56">
        <f>IF(OR(EI$4="",$B38=""),0,SUMIF('DADOS BRUTOS'!$A$3:$A$500,$B38,'DADOS BRUTOS'!BI$3:BI$500)+IF($C38="",0,SUMIF('DADOS BRUTOS'!$A$3:$A$500,$C38,'DADOS BRUTOS'!BI$3:BI$500)))</f>
        <v/>
      </c>
      <c r="EJ38" s="56">
        <f>IF(OR(EJ$4="",$B38=""),0,SUMIF('DADOS BRUTOS'!$A$3:$A$500,$B38,'DADOS BRUTOS'!BJ$3:BJ$500)+IF($C38="",0,SUMIF('DADOS BRUTOS'!$A$3:$A$500,$C38,'DADOS BRUTOS'!BJ$3:BJ$500)))</f>
        <v/>
      </c>
      <c r="EK38" s="56">
        <f>IF(OR(EK$4="",$B38=""),0,SUMIF('DADOS BRUTOS'!$A$3:$A$500,$B38,'DADOS BRUTOS'!BK$3:BK$500)+IF($C38="",0,SUMIF('DADOS BRUTOS'!$A$3:$A$500,$C38,'DADOS BRUTOS'!BK$3:BK$500)))</f>
        <v/>
      </c>
      <c r="EL38" s="56">
        <f>IF(OR(EL$4="",$B38=""),0,SUMIF('DADOS BRUTOS'!$A$3:$A$500,$B38,'DADOS BRUTOS'!BL$3:BL$500)+IF($C38="",0,SUMIF('DADOS BRUTOS'!$A$3:$A$500,$C38,'DADOS BRUTOS'!BL$3:BL$500)))</f>
        <v/>
      </c>
      <c r="EM38" s="56">
        <f>IF(OR(EM$4="",$B38=""),0,SUMIF('DADOS BRUTOS'!$A$3:$A$500,$B38,'DADOS BRUTOS'!BM$3:BM$500)+IF($C38="",0,SUMIF('DADOS BRUTOS'!$A$3:$A$500,$C38,'DADOS BRUTOS'!BM$3:BM$500)))</f>
        <v/>
      </c>
      <c r="EN38" s="56">
        <f>IF(OR(EN$4="",$B38=""),0,SUMIF('DADOS BRUTOS'!$A$3:$A$500,$B38,'DADOS BRUTOS'!BN$3:BN$500)+IF($C38="",0,SUMIF('DADOS BRUTOS'!$A$3:$A$500,$C38,'DADOS BRUTOS'!BN$3:BN$500)))</f>
        <v/>
      </c>
      <c r="EO38" s="56">
        <f>IF(OR(EO$4="",$B38=""),0,SUMIF('DADOS BRUTOS'!$A$3:$A$500,$B38,'DADOS BRUTOS'!BO$3:BO$500)+IF($C38="",0,SUMIF('DADOS BRUTOS'!$A$3:$A$500,$C38,'DADOS BRUTOS'!BO$3:BO$500)))</f>
        <v/>
      </c>
      <c r="EP38" s="56">
        <f>IF(OR(EP$4="",$B38=""),0,SUMIF('DADOS BRUTOS'!$A$3:$A$500,$B38,'DADOS BRUTOS'!BP$3:BP$500)+IF($C38="",0,SUMIF('DADOS BRUTOS'!$A$3:$A$500,$C38,'DADOS BRUTOS'!BP$3:BP$500)))</f>
        <v/>
      </c>
      <c r="EQ38" s="56">
        <f>IF(OR(EQ$4="",$B38=""),0,SUMIF('DADOS BRUTOS'!$A$3:$A$500,$B38,'DADOS BRUTOS'!BQ$3:BQ$500)+IF($C38="",0,SUMIF('DADOS BRUTOS'!$A$3:$A$500,$C38,'DADOS BRUTOS'!BQ$3:BQ$500)))</f>
        <v/>
      </c>
      <c r="ER38" s="56">
        <f>IF(OR(ER$4="",$B38=""),0,SUMIF('DADOS BRUTOS'!$A$3:$A$500,$B38,'DADOS BRUTOS'!BR$3:BR$500)+IF($C38="",0,SUMIF('DADOS BRUTOS'!$A$3:$A$500,$C38,'DADOS BRUTOS'!BR$3:BR$500)))</f>
        <v/>
      </c>
      <c r="ES38" s="56">
        <f>IF(OR(ES$4="",$B38=""),0,SUMIF('DADOS BRUTOS'!$A$3:$A$500,$B38,'DADOS BRUTOS'!BS$3:BS$500)+IF($C38="",0,SUMIF('DADOS BRUTOS'!$A$3:$A$500,$C38,'DADOS BRUTOS'!BS$3:BS$500)))</f>
        <v/>
      </c>
      <c r="ET38" s="56">
        <f>IF(OR(ET$4="",$B38=""),0,SUMIF('DADOS BRUTOS'!$A$3:$A$500,$B38,'DADOS BRUTOS'!BT$3:BT$500)+IF($C38="",0,SUMIF('DADOS BRUTOS'!$A$3:$A$500,$C38,'DADOS BRUTOS'!BT$3:BT$500)))</f>
        <v/>
      </c>
      <c r="EU38" s="56">
        <f>IF(OR(EU$4="",$B38=""),0,SUMIF('DADOS BRUTOS'!$A$3:$A$500,$B38,'DADOS BRUTOS'!BU$3:BU$500)+IF($C38="",0,SUMIF('DADOS BRUTOS'!$A$3:$A$500,$C38,'DADOS BRUTOS'!BU$3:BU$500)))</f>
        <v/>
      </c>
      <c r="EV38" s="56">
        <f>IF(OR(EV$4="",$B38=""),0,SUMIF('DADOS BRUTOS'!$A$3:$A$500,$B38,'DADOS BRUTOS'!BV$3:BV$500)+IF($C38="",0,SUMIF('DADOS BRUTOS'!$A$3:$A$500,$C38,'DADOS BRUTOS'!BV$3:BV$500)))</f>
        <v/>
      </c>
      <c r="EW38" s="56">
        <f>IF(OR(EW$4="",$B38=""),0,SUMIF('DADOS BRUTOS'!$A$3:$A$500,$B38,'DADOS BRUTOS'!BW$3:BW$500)+IF($C38="",0,SUMIF('DADOS BRUTOS'!$A$3:$A$500,$C38,'DADOS BRUTOS'!BW$3:BW$500)))</f>
        <v/>
      </c>
      <c r="EX38" s="56">
        <f>IF(OR(EX$4="",$B38=""),0,SUMIF('DADOS BRUTOS'!$A$3:$A$500,$B38,'DADOS BRUTOS'!BX$3:BX$500)+IF($C38="",0,SUMIF('DADOS BRUTOS'!$A$3:$A$500,$C38,'DADOS BRUTOS'!BX$3:BX$500)))</f>
        <v/>
      </c>
      <c r="EY38" s="56">
        <f>IF(OR(EY$4="",$B38=""),0,SUMIF('DADOS BRUTOS'!$A$3:$A$500,$B38,'DADOS BRUTOS'!BY$3:BY$500)+IF($C38="",0,SUMIF('DADOS BRUTOS'!$A$3:$A$500,$C38,'DADOS BRUTOS'!BY$3:BY$500)))</f>
        <v/>
      </c>
      <c r="EZ38" s="56">
        <f>IF(OR(EZ$4="",$B38=""),0,SUMIF('DADOS BRUTOS'!$A$3:$A$500,$B38,'DADOS BRUTOS'!BZ$3:BZ$500)+IF($C38="",0,SUMIF('DADOS BRUTOS'!$A$3:$A$500,$C38,'DADOS BRUTOS'!BZ$3:BZ$500)))</f>
        <v/>
      </c>
      <c r="FA38" s="56">
        <f>IF(OR(FA$4="",$B38=""),0,SUMIF('DADOS BRUTOS'!$A$3:$A$500,$B38,'DADOS BRUTOS'!CA$3:CA$500)+IF($C38="",0,SUMIF('DADOS BRUTOS'!$A$3:$A$500,$C38,'DADOS BRUTOS'!CA$3:CA$500)))</f>
        <v/>
      </c>
      <c r="FB38" s="56">
        <f>IF(OR(FB$4="",$B38=""),0,SUMIF('DADOS BRUTOS'!$A$3:$A$500,$B38,'DADOS BRUTOS'!CB$3:CB$500)+IF($C38="",0,SUMIF('DADOS BRUTOS'!$A$3:$A$500,$C38,'DADOS BRUTOS'!CB$3:CB$500)))</f>
        <v/>
      </c>
      <c r="FC38" s="56">
        <f>IF(OR(FC$4="",$B38=""),0,SUMIF('DADOS BRUTOS'!$A$3:$A$500,$B38,'DADOS BRUTOS'!CC$3:CC$500)+IF($C38="",0,SUMIF('DADOS BRUTOS'!$A$3:$A$500,$C38,'DADOS BRUTOS'!CC$3:CC$500)))</f>
        <v/>
      </c>
      <c r="FD38" s="56">
        <f>IF(OR(FD$4="",$B38=""),0,SUMIF('DADOS BRUTOS'!$A$3:$A$500,$B38,'DADOS BRUTOS'!CD$3:CD$500)+IF($C38="",0,SUMIF('DADOS BRUTOS'!$A$3:$A$500,$C38,'DADOS BRUTOS'!CD$3:CD$500)))</f>
        <v/>
      </c>
      <c r="FE38" s="56">
        <f>IF(OR(FE$4="",$B38=""),0,SUMIF('DADOS BRUTOS'!$A$3:$A$500,$B38,'DADOS BRUTOS'!CE$3:CE$500)+IF($C38="",0,SUMIF('DADOS BRUTOS'!$A$3:$A$500,$C38,'DADOS BRUTOS'!CE$3:CE$500)))</f>
        <v/>
      </c>
      <c r="FF38" s="56">
        <f>IF(OR(FF$4="",$B38=""),0,SUMIF('DADOS BRUTOS'!$A$3:$A$500,$B38,'DADOS BRUTOS'!CF$3:CF$500)+IF($C38="",0,SUMIF('DADOS BRUTOS'!$A$3:$A$500,$C38,'DADOS BRUTOS'!CF$3:CF$500)))</f>
        <v/>
      </c>
      <c r="FG38" s="56">
        <f>IF(OR(FG$4="",$B38=""),0,SUMIF('DADOS BRUTOS'!$A$3:$A$500,$B38,'DADOS BRUTOS'!CG$3:CG$500)+IF($C38="",0,SUMIF('DADOS BRUTOS'!$A$3:$A$500,$C38,'DADOS BRUTOS'!CG$3:CG$500)))</f>
        <v/>
      </c>
      <c r="FH38" s="56">
        <f>IF(OR(FH$4="",$B38=""),0,SUMIF('DADOS BRUTOS'!$A$3:$A$500,$B38,'DADOS BRUTOS'!CH$3:CH$500)+IF($C38="",0,SUMIF('DADOS BRUTOS'!$A$3:$A$500,$C38,'DADOS BRUTOS'!CH$3:CH$500)))</f>
        <v/>
      </c>
      <c r="FI38" s="56">
        <f>IF(OR(FI$4="",$B38=""),0,SUMIF('DADOS BRUTOS'!$A$3:$A$500,$B38,'DADOS BRUTOS'!CI$3:CI$500)+IF($C38="",0,SUMIF('DADOS BRUTOS'!$A$3:$A$500,$C38,'DADOS BRUTOS'!CI$3:CI$500)))</f>
        <v/>
      </c>
      <c r="FJ38" s="56">
        <f>IF(OR(FJ$4="",$B38=""),0,SUMIF('DADOS BRUTOS'!$A$3:$A$500,$B38,'DADOS BRUTOS'!CJ$3:CJ$500)+IF($C38="",0,SUMIF('DADOS BRUTOS'!$A$3:$A$500,$C38,'DADOS BRUTOS'!CJ$3:CJ$500)))</f>
        <v/>
      </c>
      <c r="FK38" s="56">
        <f>IF(OR(FK$4="",$B38=""),0,SUMIF('DADOS BRUTOS'!$A$3:$A$500,$B38,'DADOS BRUTOS'!CK$3:CK$500)+IF($C38="",0,SUMIF('DADOS BRUTOS'!$A$3:$A$500,$C38,'DADOS BRUTOS'!CK$3:CK$500)))</f>
        <v/>
      </c>
      <c r="FL38" s="56">
        <f>IF(OR(FL$4="",$B38=""),0,SUMIF('DADOS BRUTOS'!$A$3:$A$500,$B38,'DADOS BRUTOS'!CL$3:CL$500)+IF($C38="",0,SUMIF('DADOS BRUTOS'!$A$3:$A$500,$C38,'DADOS BRUTOS'!CL$3:CL$500)))</f>
        <v/>
      </c>
      <c r="FM38" s="56">
        <f>IF(OR(FM$4="",$B38=""),0,SUMIF('DADOS BRUTOS'!$A$3:$A$500,$B38,'DADOS BRUTOS'!CM$3:CM$500)+IF($C38="",0,SUMIF('DADOS BRUTOS'!$A$3:$A$500,$C38,'DADOS BRUTOS'!CM$3:CM$500)))</f>
        <v/>
      </c>
      <c r="FN38" s="56">
        <f>IF(OR(FN$4="",$B38=""),0,SUMIF('DADOS BRUTOS'!$A$3:$A$500,$B38,'DADOS BRUTOS'!CN$3:CN$500)+IF($C38="",0,SUMIF('DADOS BRUTOS'!$A$3:$A$500,$C38,'DADOS BRUTOS'!CN$3:CN$500)))</f>
        <v/>
      </c>
      <c r="FO38" s="56">
        <f>IF(OR(FO$4="",$B38=""),0,SUMIF('DADOS BRUTOS'!$A$3:$A$500,$B38,'DADOS BRUTOS'!CO$3:CO$500)+IF($C38="",0,SUMIF('DADOS BRUTOS'!$A$3:$A$500,$C38,'DADOS BRUTOS'!CO$3:CO$500)))</f>
        <v/>
      </c>
      <c r="FP38" s="56">
        <f>IF(OR(FP$4="",$B38=""),0,SUMIF('DADOS BRUTOS'!$A$3:$A$500,$B38,'DADOS BRUTOS'!CP$3:CP$500)+IF($C38="",0,SUMIF('DADOS BRUTOS'!$A$3:$A$500,$C38,'DADOS BRUTOS'!CP$3:CP$500)))</f>
        <v/>
      </c>
      <c r="FQ38" s="56">
        <f>IF(OR(FQ$4="",$B38=""),0,SUMIF('DADOS BRUTOS'!$A$3:$A$500,$B38,'DADOS BRUTOS'!CQ$3:CQ$500)+IF($C38="",0,SUMIF('DADOS BRUTOS'!$A$3:$A$500,$C38,'DADOS BRUTOS'!CQ$3:CQ$500)))</f>
        <v/>
      </c>
      <c r="FR38" s="56">
        <f>IF(OR(FR$4="",$B38=""),0,SUMIF('DADOS BRUTOS'!$A$3:$A$500,$B38,'DADOS BRUTOS'!CR$3:CR$500)+IF($C38="",0,SUMIF('DADOS BRUTOS'!$A$3:$A$500,$C38,'DADOS BRUTOS'!CR$3:CR$500)))</f>
        <v/>
      </c>
      <c r="FS38" s="56">
        <f>IF(OR(FS$4="",$B38=""),0,SUMIF('DADOS BRUTOS'!$A$3:$A$500,$B38,'DADOS BRUTOS'!CS$3:CS$500)+IF($C38="",0,SUMIF('DADOS BRUTOS'!$A$3:$A$500,$C38,'DADOS BRUTOS'!CS$3:CS$500)))</f>
        <v/>
      </c>
      <c r="FT38" s="56">
        <f>IF(OR(FT$4="",$B38=""),0,SUMIF('DADOS BRUTOS'!$A$3:$A$500,$B38,'DADOS BRUTOS'!CT$3:CT$500)+IF($C38="",0,SUMIF('DADOS BRUTOS'!$A$3:$A$500,$C38,'DADOS BRUTOS'!CT$3:CT$500)))</f>
        <v/>
      </c>
      <c r="FU38" s="56">
        <f>IF(OR(FU$4="",$B38=""),0,SUMIF('DADOS BRUTOS'!$A$3:$A$500,$B38,'DADOS BRUTOS'!CU$3:CU$500)+IF($C38="",0,SUMIF('DADOS BRUTOS'!$A$3:$A$500,$C38,'DADOS BRUTOS'!CU$3:CU$500)))</f>
        <v/>
      </c>
      <c r="FV38" s="56">
        <f>IF(OR(FV$4="",$B38=""),0,SUMIF('DADOS BRUTOS'!$A$3:$A$500,$B38,'DADOS BRUTOS'!CV$3:CV$500)+IF($C38="",0,SUMIF('DADOS BRUTOS'!$A$3:$A$500,$C38,'DADOS BRUTOS'!CV$3:CV$500)))</f>
        <v/>
      </c>
      <c r="FW38" s="56">
        <f>IF(OR(FW$4="",$B38=""),0,SUMIF('DADOS BRUTOS'!$A$3:$A$500,$B38,'DADOS BRUTOS'!CW$3:CW$500)+IF($C38="",0,SUMIF('DADOS BRUTOS'!$A$3:$A$500,$C38,'DADOS BRUTOS'!CW$3:CW$500)))</f>
        <v/>
      </c>
      <c r="FX38" s="56">
        <f>IF(OR(FX$4="",$B38=""),0,SUMIF('DADOS BRUTOS'!$A$3:$A$500,$B38,'DADOS BRUTOS'!CX$3:CX$500)+IF($C38="",0,SUMIF('DADOS BRUTOS'!$A$3:$A$500,$C38,'DADOS BRUTOS'!CX$3:CX$500)))</f>
        <v/>
      </c>
      <c r="FY38" s="56">
        <f>IF(OR(FY$4="",$B38=""),0,SUMIF('DADOS BRUTOS'!$A$3:$A$500,$B38,'DADOS BRUTOS'!CY$3:CY$500)+IF($C38="",0,SUMIF('DADOS BRUTOS'!$A$3:$A$500,$C38,'DADOS BRUTOS'!CY$3:CY$500)))</f>
        <v/>
      </c>
      <c r="FZ38" s="56">
        <f>IF(OR(FZ$4="",$B38=""),0,SUMIF('DADOS BRUTOS'!$A$3:$A$500,$B38,'DADOS BRUTOS'!CZ$3:CZ$500)+IF($C38="",0,SUMIF('DADOS BRUTOS'!$A$3:$A$500,$C38,'DADOS BRUTOS'!CZ$3:CZ$500)))</f>
        <v/>
      </c>
      <c r="GA38" s="56">
        <f>IF(OR(GA$4="",$B38=""),0,SUMIF('DADOS BRUTOS'!$A$3:$A$500,$B38,'DADOS BRUTOS'!DA$3:DA$500)+IF($C38="",0,SUMIF('DADOS BRUTOS'!$A$3:$A$500,$C38,'DADOS BRUTOS'!DA$3:DA$500)))</f>
        <v/>
      </c>
      <c r="GB38" s="56">
        <f>IF(OR(GB$4="",$B38=""),0,SUMIF('DADOS BRUTOS'!$A$3:$A$500,$B38,'DADOS BRUTOS'!DB$3:DB$500)+IF($C38="",0,SUMIF('DADOS BRUTOS'!$A$3:$A$500,$C38,'DADOS BRUTOS'!DB$3:DB$500)))</f>
        <v/>
      </c>
      <c r="GC38" s="56">
        <f>IF(OR(GC$4="",$B38=""),0,SUMIF('DADOS BRUTOS'!$A$3:$A$500,$B38,'DADOS BRUTOS'!DC$3:DC$500)+IF($C38="",0,SUMIF('DADOS BRUTOS'!$A$3:$A$500,$C38,'DADOS BRUTOS'!DC$3:DC$500)))</f>
        <v/>
      </c>
      <c r="GD38" s="56">
        <f>IF(OR(GD$4="",$B38=""),0,SUMIF('DADOS BRUTOS'!$A$3:$A$500,$B38,'DADOS BRUTOS'!DD$3:DD$500)+IF($C38="",0,SUMIF('DADOS BRUTOS'!$A$3:$A$500,$C38,'DADOS BRUTOS'!DD$3:DD$500)))</f>
        <v/>
      </c>
      <c r="GE38" s="56">
        <f>IF(OR(GE$4="",$B38=""),0,SUMIF('DADOS BRUTOS'!$A$3:$A$500,$B38,'DADOS BRUTOS'!DE$3:DE$500)+IF($C38="",0,SUMIF('DADOS BRUTOS'!$A$3:$A$500,$C38,'DADOS BRUTOS'!DE$3:DE$500)))</f>
        <v/>
      </c>
      <c r="GF38" s="56">
        <f>IF(OR(GF$4="",$B38=""),0,SUMIF('DADOS BRUTOS'!$A$3:$A$500,$B38,'DADOS BRUTOS'!DF$3:DF$500)+IF($C38="",0,SUMIF('DADOS BRUTOS'!$A$3:$A$500,$C38,'DADOS BRUTOS'!DF$3:DF$500)))</f>
        <v/>
      </c>
      <c r="GG38" s="56">
        <f>IF(OR(GG$4="",$B38=""),0,SUMIF('DADOS BRUTOS'!$A$3:$A$500,$B38,'DADOS BRUTOS'!DG$3:DG$500)+IF($C38="",0,SUMIF('DADOS BRUTOS'!$A$3:$A$500,$C38,'DADOS BRUTOS'!DG$3:DG$500)))</f>
        <v/>
      </c>
      <c r="GH38" s="56">
        <f>IF(OR(GH$4="",$B38=""),0,SUMIF('DADOS BRUTOS'!$A$3:$A$500,$B38,'DADOS BRUTOS'!DH$3:DH$500)+IF($C38="",0,SUMIF('DADOS BRUTOS'!$A$3:$A$500,$C38,'DADOS BRUTOS'!DH$3:DH$500)))</f>
        <v/>
      </c>
      <c r="GI38" s="56">
        <f>IF(OR(GI$4="",$B38=""),0,SUMIF('DADOS BRUTOS'!$A$3:$A$500,$B38,'DADOS BRUTOS'!DI$3:DI$500)+IF($C38="",0,SUMIF('DADOS BRUTOS'!$A$3:$A$500,$C38,'DADOS BRUTOS'!DI$3:DI$500)))</f>
        <v/>
      </c>
      <c r="GJ38" s="56">
        <f>IF(OR(GJ$4="",$B38=""),0,SUMIF('DADOS BRUTOS'!$A$3:$A$500,$B38,'DADOS BRUTOS'!DJ$3:DJ$500)+IF($C38="",0,SUMIF('DADOS BRUTOS'!$A$3:$A$500,$C38,'DADOS BRUTOS'!DJ$3:DJ$500)))</f>
        <v/>
      </c>
      <c r="GK38" s="56">
        <f>IF(OR(GK$4="",$B38=""),0,SUMIF('DADOS BRUTOS'!$A$3:$A$500,$B38,'DADOS BRUTOS'!DK$3:DK$500)+IF($C38="",0,SUMIF('DADOS BRUTOS'!$A$3:$A$500,$C38,'DADOS BRUTOS'!DK$3:DK$500)))</f>
        <v/>
      </c>
      <c r="GL38" s="56">
        <f>IF(OR(GL$4="",$B38=""),0,SUMIF('DADOS BRUTOS'!$A$3:$A$500,$B38,'DADOS BRUTOS'!DL$3:DL$500)+IF($C38="",0,SUMIF('DADOS BRUTOS'!$A$3:$A$500,$C38,'DADOS BRUTOS'!DL$3:DL$500)))</f>
        <v/>
      </c>
      <c r="GM38" s="56">
        <f>IF(OR(GM$4="",$B38=""),0,SUMIF('DADOS BRUTOS'!$A$3:$A$500,$B38,'DADOS BRUTOS'!DM$3:DM$500)+IF($C38="",0,SUMIF('DADOS BRUTOS'!$A$3:$A$500,$C38,'DADOS BRUTOS'!DM$3:DM$500)))</f>
        <v/>
      </c>
      <c r="GN38" s="56">
        <f>IF(OR(GN$4="",$B38=""),0,SUMIF('DADOS BRUTOS'!$A$3:$A$500,$B38,'DADOS BRUTOS'!DN$3:DN$500)+IF($C38="",0,SUMIF('DADOS BRUTOS'!$A$3:$A$500,$C38,'DADOS BRUTOS'!DN$3:DN$500)))</f>
        <v/>
      </c>
      <c r="GO38" s="56">
        <f>IF(OR(GO$4="",$B38=""),0,SUMIF('DADOS BRUTOS'!$A$3:$A$500,$B38,'DADOS BRUTOS'!DO$3:DO$500)+IF($C38="",0,SUMIF('DADOS BRUTOS'!$A$3:$A$500,$C38,'DADOS BRUTOS'!DO$3:DO$500)))</f>
        <v/>
      </c>
      <c r="GP38" s="56">
        <f>IF(OR(GP$4="",$B38=""),0,SUMIF('DADOS BRUTOS'!$A$3:$A$500,$B38,'DADOS BRUTOS'!DP$3:DP$500)+IF($C38="",0,SUMIF('DADOS BRUTOS'!$A$3:$A$500,$C38,'DADOS BRUTOS'!DP$3:DP$500)))</f>
        <v/>
      </c>
      <c r="GQ38" s="56">
        <f>IF(OR(GQ$4="",$B38=""),0,SUMIF('DADOS BRUTOS'!$A$3:$A$500,$B38,'DADOS BRUTOS'!DQ$3:DQ$500)+IF($C38="",0,SUMIF('DADOS BRUTOS'!$A$3:$A$500,$C38,'DADOS BRUTOS'!DQ$3:DQ$500)))</f>
        <v/>
      </c>
      <c r="GR38" s="56">
        <f>IF(OR(GR$4="",$B38=""),0,SUMIF('DADOS BRUTOS'!$A$3:$A$500,$B38,'DADOS BRUTOS'!DR$3:DR$500)+IF($C38="",0,SUMIF('DADOS BRUTOS'!$A$3:$A$500,$C38,'DADOS BRUTOS'!DR$3:DR$500)))</f>
        <v/>
      </c>
      <c r="GS38" s="56">
        <f>IF(OR(GS$4="",$B38=""),0,SUMIF('DADOS BRUTOS'!$A$3:$A$500,$B38,'DADOS BRUTOS'!DS$3:DS$500)+IF($C38="",0,SUMIF('DADOS BRUTOS'!$A$3:$A$500,$C38,'DADOS BRUTOS'!DS$3:DS$500)))</f>
        <v/>
      </c>
      <c r="GT38" s="56">
        <f>IF(OR(GT$4="",$B38=""),0,SUMIF('DADOS BRUTOS'!$A$3:$A$500,$B38,'DADOS BRUTOS'!DT$3:DT$500)+IF($C38="",0,SUMIF('DADOS BRUTOS'!$A$3:$A$500,$C38,'DADOS BRUTOS'!DT$3:DT$500)))</f>
        <v/>
      </c>
      <c r="GU38" s="56">
        <f>IF(OR(GU$4="",$B38=""),0,SUMIF('DADOS BRUTOS'!$A$3:$A$500,$B38,'DADOS BRUTOS'!DU$3:DU$500)+IF($C38="",0,SUMIF('DADOS BRUTOS'!$A$3:$A$500,$C38,'DADOS BRUTOS'!DU$3:DU$500)))</f>
        <v/>
      </c>
      <c r="GV38" s="56">
        <f>IF(OR(GV$4="",$B38=""),0,SUMIF('DADOS BRUTOS'!$A$3:$A$500,$B38,'DADOS BRUTOS'!DV$3:DV$500)+IF($C38="",0,SUMIF('DADOS BRUTOS'!$A$3:$A$500,$C38,'DADOS BRUTOS'!DV$3:DV$500)))</f>
        <v/>
      </c>
      <c r="GW38" s="56">
        <f>IF(OR(GW$4="",$B38=""),0,SUMIF('DADOS BRUTOS'!$A$3:$A$500,$B38,'DADOS BRUTOS'!DW$3:DW$500)+IF($C38="",0,SUMIF('DADOS BRUTOS'!$A$3:$A$500,$C38,'DADOS BRUTOS'!DW$3:DW$500)))</f>
        <v/>
      </c>
      <c r="GX38" s="56">
        <f>IF(OR(GX$4="",$B38=""),0,SUMIF('DADOS BRUTOS'!$A$3:$A$500,$B38,'DADOS BRUTOS'!DX$3:DX$500)+IF($C38="",0,SUMIF('DADOS BRUTOS'!$A$3:$A$500,$C38,'DADOS BRUTOS'!DX$3:DX$500)))</f>
        <v/>
      </c>
      <c r="GY38" s="56">
        <f>IF(OR(GY$4="",$B38=""),0,SUMIF('DADOS BRUTOS'!$A$3:$A$500,$B38,'DADOS BRUTOS'!DY$3:DY$500)+IF($C38="",0,SUMIF('DADOS BRUTOS'!$A$3:$A$500,$C38,'DADOS BRUTOS'!DY$3:DY$500)))</f>
        <v/>
      </c>
      <c r="GZ38" s="56">
        <f>IF(OR(GZ$4="",$B38=""),0,SUMIF('DADOS BRUTOS'!$A$3:$A$500,$B38,'DADOS BRUTOS'!DZ$3:DZ$500)+IF($C38="",0,SUMIF('DADOS BRUTOS'!$A$3:$A$500,$C38,'DADOS BRUTOS'!DZ$3:DZ$500)))</f>
        <v/>
      </c>
      <c r="HA38" s="56">
        <f>IF(OR(HA$4="",$B38=""),0,SUMIF('DADOS BRUTOS'!$A$3:$A$500,$B38,'DADOS BRUTOS'!EA$3:EA$500)+IF($C38="",0,SUMIF('DADOS BRUTOS'!$A$3:$A$500,$C38,'DADOS BRUTOS'!EA$3:EA$500)))</f>
        <v/>
      </c>
      <c r="HB38" s="56">
        <f>IF(OR(HB$4="",$B38=""),0,SUMIF('DADOS BRUTOS'!$A$3:$A$500,$B38,'DADOS BRUTOS'!EB$3:EB$500)+IF($C38="",0,SUMIF('DADOS BRUTOS'!$A$3:$A$500,$C38,'DADOS BRUTOS'!EB$3:EB$500)))</f>
        <v/>
      </c>
      <c r="HC38" s="56">
        <f>IF(OR(HC$4="",$B38=""),0,SUMIF('DADOS BRUTOS'!$A$3:$A$500,$B38,'DADOS BRUTOS'!EC$3:EC$500)+IF($C38="",0,SUMIF('DADOS BRUTOS'!$A$3:$A$500,$C38,'DADOS BRUTOS'!EC$3:EC$500)))</f>
        <v/>
      </c>
      <c r="HD38" s="56">
        <f>IF(OR(HD$4="",$B38=""),0,SUMIF('DADOS BRUTOS'!$A$3:$A$500,$B38,'DADOS BRUTOS'!ED$3:ED$500)+IF($C38="",0,SUMIF('DADOS BRUTOS'!$A$3:$A$500,$C38,'DADOS BRUTOS'!ED$3:ED$500)))</f>
        <v/>
      </c>
      <c r="HE38" s="56">
        <f>IF(OR(HE$4="",$B38=""),0,SUMIF('DADOS BRUTOS'!$A$3:$A$500,$B38,'DADOS BRUTOS'!EE$3:EE$500)+IF($C38="",0,SUMIF('DADOS BRUTOS'!$A$3:$A$500,$C38,'DADOS BRUTOS'!EE$3:EE$500)))</f>
        <v/>
      </c>
      <c r="HF38" s="56">
        <f>IF(OR(HF$4="",$B38=""),0,SUMIF('DADOS BRUTOS'!$A$3:$A$500,$B38,'DADOS BRUTOS'!EF$3:EF$500)+IF($C38="",0,SUMIF('DADOS BRUTOS'!$A$3:$A$500,$C38,'DADOS BRUTOS'!EF$3:EF$500)))</f>
        <v/>
      </c>
      <c r="HG38" s="56">
        <f>IF(OR(HG$4="",$B38=""),0,SUMIF('DADOS BRUTOS'!$A$3:$A$500,$B38,'DADOS BRUTOS'!EG$3:EG$500)+IF($C38="",0,SUMIF('DADOS BRUTOS'!$A$3:$A$500,$C38,'DADOS BRUTOS'!EG$3:EG$500)))</f>
        <v/>
      </c>
      <c r="HH38" s="56">
        <f>IF(OR(HH$4="",$B38=""),0,SUMIF('DADOS BRUTOS'!$A$3:$A$500,$B38,'DADOS BRUTOS'!EH$3:EH$500)+IF($C38="",0,SUMIF('DADOS BRUTOS'!$A$3:$A$500,$C38,'DADOS BRUTOS'!EH$3:EH$500)))</f>
        <v/>
      </c>
      <c r="HI38" s="56">
        <f>IF(OR(HI$4="",$B38=""),0,SUMIF('DADOS BRUTOS'!$A$3:$A$500,$B38,'DADOS BRUTOS'!EI$3:EI$500)+IF($C38="",0,SUMIF('DADOS BRUTOS'!$A$3:$A$500,$C38,'DADOS BRUTOS'!EI$3:EI$500)))</f>
        <v/>
      </c>
      <c r="HJ38" s="56">
        <f>IF(OR(HJ$4="",$B38=""),0,SUMIF('DADOS BRUTOS'!$A$3:$A$500,$B38,'DADOS BRUTOS'!EJ$3:EJ$500)+IF($C38="",0,SUMIF('DADOS BRUTOS'!$A$3:$A$500,$C38,'DADOS BRUTOS'!EJ$3:EJ$500)))</f>
        <v/>
      </c>
      <c r="HK38" s="56">
        <f>IF(OR(HK$4="",$B38=""),0,SUMIF('DADOS BRUTOS'!$A$3:$A$500,$B38,'DADOS BRUTOS'!EK$3:EK$500)+IF($C38="",0,SUMIF('DADOS BRUTOS'!$A$3:$A$500,$C38,'DADOS BRUTOS'!EK$3:EK$500)))</f>
        <v/>
      </c>
      <c r="HL38" s="56">
        <f>IF(OR(HL$4="",$B38=""),0,SUMIF('DADOS BRUTOS'!$A$3:$A$500,$B38,'DADOS BRUTOS'!EL$3:EL$500)+IF($C38="",0,SUMIF('DADOS BRUTOS'!$A$3:$A$500,$C38,'DADOS BRUTOS'!EL$3:EL$500)))</f>
        <v/>
      </c>
      <c r="HM38" s="56">
        <f>IF(OR(HM$4="",$B38=""),0,SUMIF('DADOS BRUTOS'!$A$3:$A$500,$B38,'DADOS BRUTOS'!EM$3:EM$500)+IF($C38="",0,SUMIF('DADOS BRUTOS'!$A$3:$A$500,$C38,'DADOS BRUTOS'!EM$3:EM$500)))</f>
        <v/>
      </c>
      <c r="HN38" s="56">
        <f>IF(OR(HN$4="",$B38=""),0,SUMIF('DADOS BRUTOS'!$A$3:$A$500,$B38,'DADOS BRUTOS'!EN$3:EN$500)+IF($C38="",0,SUMIF('DADOS BRUTOS'!$A$3:$A$500,$C38,'DADOS BRUTOS'!EN$3:EN$500)))</f>
        <v/>
      </c>
      <c r="HO38" s="56">
        <f>IF(OR(HO$4="",$B38=""),0,SUMIF('DADOS BRUTOS'!$A$3:$A$500,$B38,'DADOS BRUTOS'!EO$3:EO$500)+IF($C38="",0,SUMIF('DADOS BRUTOS'!$A$3:$A$500,$C38,'DADOS BRUTOS'!EO$3:EO$500)))</f>
        <v/>
      </c>
      <c r="HP38" s="56">
        <f>IF(OR(HP$4="",$B38=""),0,SUMIF('DADOS BRUTOS'!$A$3:$A$500,$B38,'DADOS BRUTOS'!EP$3:EP$500)+IF($C38="",0,SUMIF('DADOS BRUTOS'!$A$3:$A$500,$C38,'DADOS BRUTOS'!EP$3:EP$500)))</f>
        <v/>
      </c>
      <c r="HQ38" s="56">
        <f>IF(OR(HQ$4="",$B38=""),0,SUMIF('DADOS BRUTOS'!$A$3:$A$500,$B38,'DADOS BRUTOS'!EQ$3:EQ$500)+IF($C38="",0,SUMIF('DADOS BRUTOS'!$A$3:$A$500,$C38,'DADOS BRUTOS'!EQ$3:EQ$500)))</f>
        <v/>
      </c>
      <c r="HR38" s="56">
        <f>IF(OR(HR$4="",$B38=""),0,SUMIF('DADOS BRUTOS'!$A$3:$A$500,$B38,'DADOS BRUTOS'!ER$3:ER$500)+IF($C38="",0,SUMIF('DADOS BRUTOS'!$A$3:$A$500,$C38,'DADOS BRUTOS'!ER$3:ER$500)))</f>
        <v/>
      </c>
      <c r="HS38" s="56">
        <f>IF(OR(HS$4="",$B38=""),0,SUMIF('DADOS BRUTOS'!$A$3:$A$500,$B38,'DADOS BRUTOS'!ES$3:ES$500)+IF($C38="",0,SUMIF('DADOS BRUTOS'!$A$3:$A$500,$C38,'DADOS BRUTOS'!ES$3:ES$500)))</f>
        <v/>
      </c>
      <c r="HT38" s="56">
        <f>IF(OR(HT$4="",$B38=""),0,SUMIF('DADOS BRUTOS'!$A$3:$A$500,$B38,'DADOS BRUTOS'!ET$3:ET$500)+IF($C38="",0,SUMIF('DADOS BRUTOS'!$A$3:$A$500,$C38,'DADOS BRUTOS'!ET$3:ET$500)))</f>
        <v/>
      </c>
      <c r="HU38" s="56">
        <f>IF(OR(HU$4="",$B38=""),0,SUMIF('DADOS BRUTOS'!$A$3:$A$500,$B38,'DADOS BRUTOS'!EU$3:EU$500)+IF($C38="",0,SUMIF('DADOS BRUTOS'!$A$3:$A$500,$C38,'DADOS BRUTOS'!EU$3:EU$500)))</f>
        <v/>
      </c>
      <c r="HV38" s="56">
        <f>IF(OR(HV$4="",$B38=""),0,SUMIF('DADOS BRUTOS'!$A$3:$A$500,$B38,'DADOS BRUTOS'!EV$3:EV$500)+IF($C38="",0,SUMIF('DADOS BRUTOS'!$A$3:$A$500,$C38,'DADOS BRUTOS'!EV$3:EV$500)))</f>
        <v/>
      </c>
      <c r="HW38" s="56">
        <f>IF(OR(HW$4="",$B38=""),0,SUMIF('DADOS BRUTOS'!$A$3:$A$500,$B38,'DADOS BRUTOS'!EW$3:EW$500)+IF($C38="",0,SUMIF('DADOS BRUTOS'!$A$3:$A$500,$C38,'DADOS BRUTOS'!EW$3:EW$500)))</f>
        <v/>
      </c>
      <c r="HX38" s="56">
        <f>IF(OR(HX$4="",$B38=""),0,SUMIF('DADOS BRUTOS'!$A$3:$A$500,$B38,'DADOS BRUTOS'!EX$3:EX$500)+IF($C38="",0,SUMIF('DADOS BRUTOS'!$A$3:$A$500,$C38,'DADOS BRUTOS'!EX$3:EX$500)))</f>
        <v/>
      </c>
      <c r="HY38" s="56">
        <f>IF(OR(HY$4="",$B38=""),0,SUMIF('DADOS BRUTOS'!$A$3:$A$500,$B38,'DADOS BRUTOS'!EY$3:EY$500)+IF($C38="",0,SUMIF('DADOS BRUTOS'!$A$3:$A$500,$C38,'DADOS BRUTOS'!EY$3:EY$500)))</f>
        <v/>
      </c>
      <c r="HZ38" s="56">
        <f>IF(OR(HZ$4="",$B38=""),0,SUMIF('DADOS BRUTOS'!$A$3:$A$500,$B38,'DADOS BRUTOS'!EZ$3:EZ$500)+IF($C38="",0,SUMIF('DADOS BRUTOS'!$A$3:$A$500,$C38,'DADOS BRUTOS'!EZ$3:EZ$500)))</f>
        <v/>
      </c>
      <c r="IA38" s="56">
        <f>IF(OR(IA$4="",$B38=""),0,SUMIF('DADOS BRUTOS'!$A$3:$A$500,$B38,'DADOS BRUTOS'!FA$3:FA$500)+IF($C38="",0,SUMIF('DADOS BRUTOS'!$A$3:$A$500,$C38,'DADOS BRUTOS'!FA$3:FA$500)))</f>
        <v/>
      </c>
      <c r="IB38" s="56">
        <f>IF(OR(IB$4="",$B38=""),0,SUMIF('DADOS BRUTOS'!$A$3:$A$500,$B38,'DADOS BRUTOS'!FB$3:FB$500)+IF($C38="",0,SUMIF('DADOS BRUTOS'!$A$3:$A$500,$C38,'DADOS BRUTOS'!FB$3:FB$500)))</f>
        <v/>
      </c>
      <c r="IC38" s="56">
        <f>IF(OR(IC$4="",$B38=""),0,SUMIF('DADOS BRUTOS'!$A$3:$A$500,$B38,'DADOS BRUTOS'!FC$3:FC$500)+IF($C38="",0,SUMIF('DADOS BRUTOS'!$A$3:$A$500,$C38,'DADOS BRUTOS'!FC$3:FC$500)))</f>
        <v/>
      </c>
      <c r="ID38" s="56">
        <f>IF(OR(ID$4="",$B38=""),0,SUMIF('DADOS BRUTOS'!$A$3:$A$500,$B38,'DADOS BRUTOS'!FD$3:FD$500)+IF($C38="",0,SUMIF('DADOS BRUTOS'!$A$3:$A$500,$C38,'DADOS BRUTOS'!FD$3:FD$500)))</f>
        <v/>
      </c>
      <c r="IE38" s="56">
        <f>IF(OR(IE$4="",$B38=""),0,SUMIF('DADOS BRUTOS'!$A$3:$A$500,$B38,'DADOS BRUTOS'!FE$3:FE$500)+IF($C38="",0,SUMIF('DADOS BRUTOS'!$A$3:$A$500,$C38,'DADOS BRUTOS'!FE$3:FE$500)))</f>
        <v/>
      </c>
      <c r="IF38" s="56">
        <f>IF(OR(IF$4="",$B38=""),0,SUMIF('DADOS BRUTOS'!$A$3:$A$500,$B38,'DADOS BRUTOS'!FF$3:FF$500)+IF($C38="",0,SUMIF('DADOS BRUTOS'!$A$3:$A$500,$C38,'DADOS BRUTOS'!FF$3:FF$500)))</f>
        <v/>
      </c>
      <c r="IG38" s="56">
        <f>IF(OR(IG$4="",$B38=""),0,SUMIF('DADOS BRUTOS'!$A$3:$A$500,$B38,'DADOS BRUTOS'!FG$3:FG$500)+IF($C38="",0,SUMIF('DADOS BRUTOS'!$A$3:$A$500,$C38,'DADOS BRUTOS'!FG$3:FG$500)))</f>
        <v/>
      </c>
      <c r="IH38" s="56">
        <f>IF(OR(IH$4="",$B38=""),0,SUMIF('DADOS BRUTOS'!$A$3:$A$500,$B38,'DADOS BRUTOS'!FH$3:FH$500)+IF($C38="",0,SUMIF('DADOS BRUTOS'!$A$3:$A$500,$C38,'DADOS BRUTOS'!FH$3:FH$500)))</f>
        <v/>
      </c>
      <c r="II38" s="56">
        <f>IF(OR(II$4="",$B38=""),0,SUMIF('DADOS BRUTOS'!$A$3:$A$500,$B38,'DADOS BRUTOS'!FI$3:FI$500)+IF($C38="",0,SUMIF('DADOS BRUTOS'!$A$3:$A$500,$C38,'DADOS BRUTOS'!FI$3:FI$500)))</f>
        <v/>
      </c>
      <c r="IJ38" s="56">
        <f>IF(OR(IJ$4="",$B38=""),0,SUMIF('DADOS BRUTOS'!$A$3:$A$500,$B38,'DADOS BRUTOS'!FJ$3:FJ$500)+IF($C38="",0,SUMIF('DADOS BRUTOS'!$A$3:$A$500,$C38,'DADOS BRUTOS'!FJ$3:FJ$500)))</f>
        <v/>
      </c>
      <c r="IK38" s="56">
        <f>IF(OR(IK$4="",$B38=""),0,SUMIF('DADOS BRUTOS'!$A$3:$A$500,$B38,'DADOS BRUTOS'!FK$3:FK$500)+IF($C38="",0,SUMIF('DADOS BRUTOS'!$A$3:$A$500,$C38,'DADOS BRUTOS'!FK$3:FK$500)))</f>
        <v/>
      </c>
      <c r="IL38" s="56">
        <f>IF(OR(IL$4="",$B38=""),0,SUMIF('DADOS BRUTOS'!$A$3:$A$500,$B38,'DADOS BRUTOS'!FL$3:FL$500)+IF($C38="",0,SUMIF('DADOS BRUTOS'!$A$3:$A$500,$C38,'DADOS BRUTOS'!FL$3:FL$500)))</f>
        <v/>
      </c>
      <c r="IM38" s="56">
        <f>IF(OR(IM$4="",$B38=""),0,SUMIF('DADOS BRUTOS'!$A$3:$A$500,$B38,'DADOS BRUTOS'!FM$3:FM$500)+IF($C38="",0,SUMIF('DADOS BRUTOS'!$A$3:$A$500,$C38,'DADOS BRUTOS'!FM$3:FM$500)))</f>
        <v/>
      </c>
      <c r="IN38" s="56">
        <f>IF(OR(IN$4="",$B38=""),0,SUMIF('DADOS BRUTOS'!$A$3:$A$500,$B38,'DADOS BRUTOS'!FN$3:FN$500)+IF($C38="",0,SUMIF('DADOS BRUTOS'!$A$3:$A$500,$C38,'DADOS BRUTOS'!FN$3:FN$500)))</f>
        <v/>
      </c>
      <c r="IO38" s="56">
        <f>IF(OR(IO$4="",$B38=""),0,SUMIF('DADOS BRUTOS'!$A$3:$A$500,$B38,'DADOS BRUTOS'!FO$3:FO$500)+IF($C38="",0,SUMIF('DADOS BRUTOS'!$A$3:$A$500,$C38,'DADOS BRUTOS'!FO$3:FO$500)))</f>
        <v/>
      </c>
      <c r="IP38" s="56">
        <f>IF(OR(IP$4="",$B38=""),0,SUMIF('DADOS BRUTOS'!$A$3:$A$500,$B38,'DADOS BRUTOS'!FP$3:FP$500)+IF($C38="",0,SUMIF('DADOS BRUTOS'!$A$3:$A$500,$C38,'DADOS BRUTOS'!FP$3:FP$500)))</f>
        <v/>
      </c>
      <c r="IQ38" s="56">
        <f>IF(OR(IQ$4="",$B38=""),0,SUMIF('DADOS BRUTOS'!$A$3:$A$500,$B38,'DADOS BRUTOS'!FQ$3:FQ$500)+IF($C38="",0,SUMIF('DADOS BRUTOS'!$A$3:$A$500,$C38,'DADOS BRUTOS'!FQ$3:FQ$500)))</f>
        <v/>
      </c>
      <c r="IR38" s="56">
        <f>IF(OR(IR$4="",$B38=""),0,SUMIF('DADOS BRUTOS'!$A$3:$A$500,$B38,'DADOS BRUTOS'!FR$3:FR$500)+IF($C38="",0,SUMIF('DADOS BRUTOS'!$A$3:$A$500,$C38,'DADOS BRUTOS'!FR$3:FR$500)))</f>
        <v/>
      </c>
      <c r="IS38" s="56">
        <f>IF(OR(IS$4="",$B38=""),0,SUMIF('DADOS BRUTOS'!$A$3:$A$500,$B38,'DADOS BRUTOS'!FS$3:FS$500)+IF($C38="",0,SUMIF('DADOS BRUTOS'!$A$3:$A$500,$C38,'DADOS BRUTOS'!FS$3:FS$500)))</f>
        <v/>
      </c>
      <c r="IT38" s="56">
        <f>IF(OR(IT$4="",$B38=""),0,SUMIF('DADOS BRUTOS'!$A$3:$A$500,$B38,'DADOS BRUTOS'!FT$3:FT$500)+IF($C38="",0,SUMIF('DADOS BRUTOS'!$A$3:$A$500,$C38,'DADOS BRUTOS'!FT$3:FT$500)))</f>
        <v/>
      </c>
      <c r="IU38" s="56">
        <f>IF(OR(IU$4="",$B38=""),0,SUMIF('DADOS BRUTOS'!$A$3:$A$500,$B38,'DADOS BRUTOS'!FU$3:FU$500)+IF($C38="",0,SUMIF('DADOS BRUTOS'!$A$3:$A$500,$C38,'DADOS BRUTOS'!FU$3:FU$500)))</f>
        <v/>
      </c>
      <c r="IV38" s="56">
        <f>IF(OR(IV$4="",$B38=""),0,SUMIF('DADOS BRUTOS'!$A$3:$A$500,$B38,'DADOS BRUTOS'!FV$3:FV$500)+IF($C38="",0,SUMIF('DADOS BRUTOS'!$A$3:$A$500,$C38,'DADOS BRUTOS'!FV$3:FV$500)))</f>
        <v/>
      </c>
      <c r="IW38" s="56">
        <f>IF(OR(IW$4="",$B38=""),0,SUMIF('DADOS BRUTOS'!$A$3:$A$500,$B38,'DADOS BRUTOS'!FW$3:FW$500)+IF($C38="",0,SUMIF('DADOS BRUTOS'!$A$3:$A$500,$C38,'DADOS BRUTOS'!FW$3:FW$500)))</f>
        <v/>
      </c>
      <c r="IX38" s="56">
        <f>IF(OR(IX$4="",$B38=""),0,SUMIF('DADOS BRUTOS'!$A$3:$A$500,$B38,'DADOS BRUTOS'!FX$3:FX$500)+IF($C38="",0,SUMIF('DADOS BRUTOS'!$A$3:$A$500,$C38,'DADOS BRUTOS'!FX$3:FX$500)))</f>
        <v/>
      </c>
      <c r="IY38" s="56">
        <f>IF(OR(IY$4="",$B38=""),0,SUMIF('DADOS BRUTOS'!$A$3:$A$500,$B38,'DADOS BRUTOS'!FY$3:FY$500)+IF($C38="",0,SUMIF('DADOS BRUTOS'!$A$3:$A$500,$C38,'DADOS BRUTOS'!FY$3:FY$500)))</f>
        <v/>
      </c>
      <c r="IZ38" s="56">
        <f>IF(OR(IZ$4="",$B38=""),0,SUMIF('DADOS BRUTOS'!$A$3:$A$500,$B38,'DADOS BRUTOS'!FZ$3:FZ$500)+IF($C38="",0,SUMIF('DADOS BRUTOS'!$A$3:$A$500,$C38,'DADOS BRUTOS'!FZ$3:FZ$500)))</f>
        <v/>
      </c>
      <c r="JA38" s="56">
        <f>IF(OR(JA$4="",$B38=""),0,SUMIF('DADOS BRUTOS'!$A$3:$A$500,$B38,'DADOS BRUTOS'!GA$3:GA$500)+IF($C38="",0,SUMIF('DADOS BRUTOS'!$A$3:$A$500,$C38,'DADOS BRUTOS'!GA$3:GA$500)))</f>
        <v/>
      </c>
      <c r="JB38" s="56">
        <f>IF(OR(JB$4="",$B38=""),0,SUMIF('DADOS BRUTOS'!$A$3:$A$500,$B38,'DADOS BRUTOS'!GB$3:GB$500)+IF($C38="",0,SUMIF('DADOS BRUTOS'!$A$3:$A$500,$C38,'DADOS BRUTOS'!GB$3:GB$500)))</f>
        <v/>
      </c>
      <c r="JC38" s="56">
        <f>IF(OR(JC$4="",$B38=""),0,SUMIF('DADOS BRUTOS'!$A$3:$A$500,$B38,'DADOS BRUTOS'!GC$3:GC$500)+IF($C38="",0,SUMIF('DADOS BRUTOS'!$A$3:$A$500,$C38,'DADOS BRUTOS'!GC$3:GC$500)))</f>
        <v/>
      </c>
      <c r="JD38" s="56">
        <f>IF(OR(JD$4="",$B38=""),0,SUMIF('DADOS BRUTOS'!$A$3:$A$500,$B38,'DADOS BRUTOS'!GD$3:GD$500)+IF($C38="",0,SUMIF('DADOS BRUTOS'!$A$3:$A$500,$C38,'DADOS BRUTOS'!GD$3:GD$500)))</f>
        <v/>
      </c>
      <c r="JE38" s="56">
        <f>IF(OR(JE$4="",$B38=""),0,SUMIF('DADOS BRUTOS'!$A$3:$A$500,$B38,'DADOS BRUTOS'!GE$3:GE$500)+IF($C38="",0,SUMIF('DADOS BRUTOS'!$A$3:$A$500,$C38,'DADOS BRUTOS'!GE$3:GE$500)))</f>
        <v/>
      </c>
      <c r="JF38" s="56">
        <f>IF(OR(JF$4="",$B38=""),0,SUMIF('DADOS BRUTOS'!$A$3:$A$500,$B38,'DADOS BRUTOS'!GF$3:GF$500)+IF($C38="",0,SUMIF('DADOS BRUTOS'!$A$3:$A$500,$C38,'DADOS BRUTOS'!GF$3:GF$500)))</f>
        <v/>
      </c>
      <c r="JG38" s="56">
        <f>IF(OR(JG$4="",$B38=""),0,SUMIF('DADOS BRUTOS'!$A$3:$A$500,$B38,'DADOS BRUTOS'!GG$3:GG$500)+IF($C38="",0,SUMIF('DADOS BRUTOS'!$A$3:$A$500,$C38,'DADOS BRUTOS'!GG$3:GG$500)))</f>
        <v/>
      </c>
      <c r="JH38" s="56">
        <f>IF(OR(JH$4="",$B38=""),0,SUMIF('DADOS BRUTOS'!$A$3:$A$500,$B38,'DADOS BRUTOS'!GH$3:GH$500)+IF($C38="",0,SUMIF('DADOS BRUTOS'!$A$3:$A$500,$C38,'DADOS BRUTOS'!GH$3:GH$500)))</f>
        <v/>
      </c>
      <c r="JI38" s="56">
        <f>IF(OR(JI$4="",$B38=""),0,SUMIF('DADOS BRUTOS'!$A$3:$A$500,$B38,'DADOS BRUTOS'!GI$3:GI$500)+IF($C38="",0,SUMIF('DADOS BRUTOS'!$A$3:$A$500,$C38,'DADOS BRUTOS'!GI$3:GI$500)))</f>
        <v/>
      </c>
      <c r="JJ38" s="56">
        <f>IF(OR(JJ$4="",$B38=""),0,SUMIF('DADOS BRUTOS'!$A$3:$A$500,$B38,'DADOS BRUTOS'!GJ$3:GJ$500)+IF($C38="",0,SUMIF('DADOS BRUTOS'!$A$3:$A$500,$C38,'DADOS BRUTOS'!GJ$3:GJ$500)))</f>
        <v/>
      </c>
      <c r="JK38" s="56">
        <f>IF(OR(JK$4="",$B38=""),0,SUMIF('DADOS BRUTOS'!$A$3:$A$500,$B38,'DADOS BRUTOS'!GK$3:GK$500)+IF($C38="",0,SUMIF('DADOS BRUTOS'!$A$3:$A$500,$C38,'DADOS BRUTOS'!GK$3:GK$500)))</f>
        <v/>
      </c>
      <c r="JL38" s="56">
        <f>IF(OR(JL$4="",$B38=""),0,SUMIF('DADOS BRUTOS'!$A$3:$A$500,$B38,'DADOS BRUTOS'!GL$3:GL$500)+IF($C38="",0,SUMIF('DADOS BRUTOS'!$A$3:$A$500,$C38,'DADOS BRUTOS'!GL$3:GL$500)))</f>
        <v/>
      </c>
      <c r="JM38" s="56">
        <f>IF(OR(JM$4="",$B38=""),0,SUMIF('DADOS BRUTOS'!$A$3:$A$500,$B38,'DADOS BRUTOS'!GM$3:GM$500)+IF($C38="",0,SUMIF('DADOS BRUTOS'!$A$3:$A$500,$C38,'DADOS BRUTOS'!GM$3:GM$500)))</f>
        <v/>
      </c>
      <c r="JN38" s="56">
        <f>IF(OR(JN$4="",$B38=""),0,SUMIF('DADOS BRUTOS'!$A$3:$A$500,$B38,'DADOS BRUTOS'!GN$3:GN$500)+IF($C38="",0,SUMIF('DADOS BRUTOS'!$A$3:$A$500,$C38,'DADOS BRUTOS'!GN$3:GN$500)))</f>
        <v/>
      </c>
      <c r="JO38" s="56">
        <f>IF(OR(JO$4="",$B38=""),0,SUMIF('DADOS BRUTOS'!$A$3:$A$500,$B38,'DADOS BRUTOS'!GO$3:GO$500)+IF($C38="",0,SUMIF('DADOS BRUTOS'!$A$3:$A$500,$C38,'DADOS BRUTOS'!GO$3:GO$500)))</f>
        <v/>
      </c>
      <c r="JP38" s="56">
        <f>IF(OR(JP$4="",$B38=""),0,SUMIF('DADOS BRUTOS'!$A$3:$A$500,$B38,'DADOS BRUTOS'!GP$3:GP$500)+IF($C38="",0,SUMIF('DADOS BRUTOS'!$A$3:$A$500,$C38,'DADOS BRUTOS'!GP$3:GP$500)))</f>
        <v/>
      </c>
      <c r="JQ38" s="56">
        <f>IF(OR(JQ$4="",$B38=""),0,SUMIF('DADOS BRUTOS'!$A$3:$A$500,$B38,'DADOS BRUTOS'!GQ$3:GQ$500)+IF($C38="",0,SUMIF('DADOS BRUTOS'!$A$3:$A$500,$C38,'DADOS BRUTOS'!GQ$3:GQ$500)))</f>
        <v/>
      </c>
      <c r="JR38" s="56">
        <f>IF(OR(JR$4="",$B38=""),0,SUMIF('DADOS BRUTOS'!$A$3:$A$500,$B38,'DADOS BRUTOS'!GR$3:GR$500)+IF($C38="",0,SUMIF('DADOS BRUTOS'!$A$3:$A$500,$C38,'DADOS BRUTOS'!GR$3:GR$500)))</f>
        <v/>
      </c>
      <c r="JS38" s="56">
        <f>IF(OR(JS$4="",$B38=""),0,SUMIF('DADOS BRUTOS'!$A$3:$A$500,$B38,'DADOS BRUTOS'!GS$3:GS$500)+IF($C38="",0,SUMIF('DADOS BRUTOS'!$A$3:$A$500,$C38,'DADOS BRUTOS'!GS$3:GS$500)))</f>
        <v/>
      </c>
    </row>
    <row r="39">
      <c r="A39" s="34">
        <f>'VALOR POR PL'!D45</f>
        <v/>
      </c>
      <c r="B39" s="21" t="inlineStr">
        <is>
          <t>PINTURA</t>
        </is>
      </c>
      <c r="C39" s="21" t="n"/>
      <c r="D39" s="17">
        <f>SUMIF($CB$4:$JS$4,"&lt;="&amp;D$4,$CB39:$JS39)</f>
        <v/>
      </c>
      <c r="E39" s="17">
        <f>SUMIF($CB$4:$JS$4,E$4,$CB39:$JS39)</f>
        <v/>
      </c>
      <c r="F39" s="17">
        <f>SUMIF($CB$4:$JS$4,F$4,$CB39:$JS39)</f>
        <v/>
      </c>
      <c r="G39" s="17">
        <f>SUMIF($CB$4:$JS$4,G$4,$CB39:$JS39)</f>
        <v/>
      </c>
      <c r="H39" s="17">
        <f>SUMIF($CB$4:$JS$4,H$4,$CB39:$JS39)</f>
        <v/>
      </c>
      <c r="I39" s="17">
        <f>SUMIF($CB$4:$JS$4,I$4,$CB39:$JS39)</f>
        <v/>
      </c>
      <c r="J39" s="17">
        <f>SUMIF($CB$4:$JS$4,J$4,$CB39:$JS39)</f>
        <v/>
      </c>
      <c r="K39" s="17">
        <f>SUMIF($CB$4:$JS$4,K$4,$CB39:$JS39)</f>
        <v/>
      </c>
      <c r="L39" s="17">
        <f>SUMIF($CB$4:$JS$4,L$4,$CB39:$JS39)</f>
        <v/>
      </c>
      <c r="M39" s="17">
        <f>SUMIF($CB$4:$JS$4,M$4,$CB39:$JS39)</f>
        <v/>
      </c>
      <c r="N39" s="17">
        <f>SUMIF($CB$4:$JS$4,N$4,$CB39:$JS39)</f>
        <v/>
      </c>
      <c r="O39" s="17">
        <f>SUMIF($CB$4:$JS$4,O$4,$CB39:$JS39)</f>
        <v/>
      </c>
      <c r="P39" s="17">
        <f>SUMIF($CB$4:$JS$4,P$4,$CB39:$JS39)</f>
        <v/>
      </c>
      <c r="Q39" s="17">
        <f>SUMIF($CB$4:$JS$4,Q$4,$CB39:$JS39)</f>
        <v/>
      </c>
      <c r="R39" s="17">
        <f>SUMIF($CB$4:$JS$4,R$4,$CB39:$JS39)</f>
        <v/>
      </c>
      <c r="S39" s="17">
        <f>SUMIF($CB$4:$JS$4,S$4,$CB39:$JS39)</f>
        <v/>
      </c>
      <c r="T39" s="17">
        <f>SUMIF($CB$4:$JS$4,T$4,$CB39:$JS39)</f>
        <v/>
      </c>
      <c r="U39" s="17">
        <f>SUMIF($CB$4:$JS$4,U$4,$CB39:$JS39)</f>
        <v/>
      </c>
      <c r="V39" s="17">
        <f>SUMIF($CB$4:$JS$4,V$4,$CB39:$JS39)</f>
        <v/>
      </c>
      <c r="W39" s="17">
        <f>SUMIF($CB$4:$JS$4,W$4,$CB39:$JS39)</f>
        <v/>
      </c>
      <c r="X39" s="17">
        <f>SUMIF($CB$4:$JS$4,X$4,$CB39:$JS39)</f>
        <v/>
      </c>
      <c r="Y39" s="17">
        <f>SUMIF($CB$4:$JS$4,Y$4,$CB39:$JS39)</f>
        <v/>
      </c>
      <c r="Z39" s="17">
        <f>SUMIF($CB$4:$JS$4,Z$4,$CB39:$JS39)</f>
        <v/>
      </c>
      <c r="AA39" s="17">
        <f>SUMIF($CB$4:$JS$4,AA$4,$CB39:$JS39)</f>
        <v/>
      </c>
      <c r="AB39" s="17">
        <f>SUMIF($CB$4:$JS$4,AB$4,$CB39:$JS39)</f>
        <v/>
      </c>
      <c r="AC39" s="17">
        <f>SUMIF($CB$4:$JS$4,AC$4,$CB39:$JS39)</f>
        <v/>
      </c>
      <c r="AD39" s="17">
        <f>SUMIF($CB$4:$JS$4,AD$4,$CB39:$JS39)</f>
        <v/>
      </c>
      <c r="AE39" s="17">
        <f>SUMIF($CB$4:$JS$4,AE$4,$CB39:$JS39)</f>
        <v/>
      </c>
      <c r="AF39" s="17">
        <f>SUMIF($CB$4:$JS$4,AF$4,$CB39:$JS39)</f>
        <v/>
      </c>
      <c r="AG39" s="17">
        <f>SUMIF($CB$4:$JS$4,AG$4,$CB39:$JS39)</f>
        <v/>
      </c>
      <c r="AH39" s="17">
        <f>SUMIF($CB$4:$JS$4,AH$4,$CB39:$JS39)</f>
        <v/>
      </c>
      <c r="AI39" s="17">
        <f>SUMIF($CB$4:$JS$4,AI$4,$CB39:$JS39)</f>
        <v/>
      </c>
      <c r="AJ39" s="17">
        <f>SUMIF($CB$4:$JS$4,AJ$4,$CB39:$JS39)</f>
        <v/>
      </c>
      <c r="AK39" s="17">
        <f>SUMIF($CB$4:$JS$4,AK$4,$CB39:$JS39)</f>
        <v/>
      </c>
      <c r="AL39" s="17">
        <f>SUMIF($CB$4:$JS$4,AL$4,$CB39:$JS39)</f>
        <v/>
      </c>
      <c r="AM39" s="17">
        <f>SUMIF($CB$4:$JS$4,AM$4,$CB39:$JS39)</f>
        <v/>
      </c>
      <c r="AN39" s="17">
        <f>SUMIF($CB$4:$JS$4,AN$4,$CB39:$JS39)</f>
        <v/>
      </c>
      <c r="AO39" s="17">
        <f>SUMIF($CB$4:$JS$4,AO$4,$CB39:$JS39)</f>
        <v/>
      </c>
      <c r="AP39" s="17">
        <f>SUMIF($CB$4:$JS$4,AP$4,$CB39:$JS39)</f>
        <v/>
      </c>
      <c r="AQ39" s="17">
        <f>SUMIF($CB$4:$JS$4,AQ$4,$CB39:$JS39)</f>
        <v/>
      </c>
      <c r="AR39" s="17">
        <f>SUMIF($CB$4:$JS$4,AR$4,$CB39:$JS39)</f>
        <v/>
      </c>
      <c r="AS39" s="17">
        <f>SUMIF($CB$4:$JS$4,AS$4,$CB39:$JS39)</f>
        <v/>
      </c>
      <c r="AT39" s="17">
        <f>SUMIF($CB$4:$JS$4,AT$4,$CB39:$JS39)</f>
        <v/>
      </c>
      <c r="AU39" s="17">
        <f>SUMIF($CB$4:$JS$4,AU$4,$CB39:$JS39)</f>
        <v/>
      </c>
      <c r="AV39" s="17">
        <f>SUMIF($CB$4:$JS$4,AV$4,$CB39:$JS39)</f>
        <v/>
      </c>
      <c r="AW39" s="17">
        <f>SUMIF($CB$4:$JS$4,AW$4,$CB39:$JS39)</f>
        <v/>
      </c>
      <c r="AX39" s="17">
        <f>SUMIF($CB$4:$JS$4,AX$4,$CB39:$JS39)</f>
        <v/>
      </c>
      <c r="AY39" s="17">
        <f>SUMIF($CB$4:$JS$4,AY$4,$CB39:$JS39)</f>
        <v/>
      </c>
      <c r="AZ39" s="17">
        <f>SUMIF($CB$4:$JS$4,AZ$4,$CB39:$JS39)</f>
        <v/>
      </c>
      <c r="BA39" s="17">
        <f>SUMIF($CB$4:$JS$4,BA$4,$CB39:$JS39)</f>
        <v/>
      </c>
      <c r="BB39" s="17">
        <f>SUMIF($CB$4:$JS$4,BB$4,$CB39:$JS39)</f>
        <v/>
      </c>
      <c r="BC39" s="17">
        <f>SUMIF($CB$4:$JS$4,BC$4,$CB39:$JS39)</f>
        <v/>
      </c>
      <c r="BD39" s="17">
        <f>SUMIF($CB$4:$JS$4,BD$4,$CB39:$JS39)</f>
        <v/>
      </c>
      <c r="BE39" s="17">
        <f>SUMIF($CB$4:$JS$4,BE$4,$CB39:$JS39)</f>
        <v/>
      </c>
      <c r="BF39" s="17">
        <f>SUMIF($CB$4:$JS$4,BF$4,$CB39:$JS39)</f>
        <v/>
      </c>
      <c r="BG39" s="17">
        <f>SUMIF($CB$4:$JS$4,BG$4,$CB39:$JS39)</f>
        <v/>
      </c>
      <c r="BH39" s="17">
        <f>SUMIF($CB$4:$JS$4,BH$4,$CB39:$JS39)</f>
        <v/>
      </c>
      <c r="BI39" s="17">
        <f>SUMIF($CB$4:$JS$4,BI$4,$CB39:$JS39)</f>
        <v/>
      </c>
      <c r="BJ39" s="17">
        <f>SUMIF($CB$4:$JS$4,BJ$4,$CB39:$JS39)</f>
        <v/>
      </c>
      <c r="BK39" s="17">
        <f>SUMIF($CB$4:$JS$4,BK$4,$CB39:$JS39)</f>
        <v/>
      </c>
      <c r="BL39" s="17">
        <f>SUMIF($CB$4:$JS$4,BL$4,$CB39:$JS39)</f>
        <v/>
      </c>
      <c r="BM39" s="17">
        <f>SUMIF($CB$4:$JS$4,BM$4,$CB39:$JS39)</f>
        <v/>
      </c>
      <c r="BN39" s="17">
        <f>SUMIF($CB$4:$JS$4,BN$4,$CB39:$JS39)</f>
        <v/>
      </c>
      <c r="BO39" s="17">
        <f>SUMIF($CB$4:$JS$4,BO$4,$CB39:$JS39)</f>
        <v/>
      </c>
      <c r="BP39" s="17">
        <f>SUMIF($CB$4:$JS$4,BP$4,$CB39:$JS39)</f>
        <v/>
      </c>
      <c r="BQ39" s="17">
        <f>SUMIF($CB$4:$JS$4,BQ$4,$CB39:$JS39)</f>
        <v/>
      </c>
      <c r="BR39" s="17">
        <f>SUMIF($CB$4:$JS$4,BR$4,$CB39:$JS39)</f>
        <v/>
      </c>
      <c r="BS39" s="17">
        <f>SUMIF($CB$4:$JS$4,BS$4,$CB39:$JS39)</f>
        <v/>
      </c>
      <c r="BT39" s="17">
        <f>SUMIF($CB$4:$JS$4,BT$4,$CB39:$JS39)</f>
        <v/>
      </c>
      <c r="BU39" s="17">
        <f>SUMIF($CB$4:$JS$4,BU$4,$CB39:$JS39)</f>
        <v/>
      </c>
      <c r="BV39" s="17">
        <f>SUMIF($CB$4:$JS$4,BV$4,$CB39:$JS39)</f>
        <v/>
      </c>
      <c r="BW39" s="17">
        <f>SUMIF($CB$4:$JS$4,BW$4,$CB39:$JS39)</f>
        <v/>
      </c>
      <c r="BX39" s="17">
        <f>SUMIF($CB$4:$JS$4,"&gt;"&amp;'VALOR POR PL'!$P$8,$CB39:$JS39)</f>
        <v/>
      </c>
      <c r="BY39" s="17">
        <f>SUM($CB39:$JS39)</f>
        <v/>
      </c>
      <c r="CB39" s="56">
        <f>IF(OR(CB$4="",$B39=""),0,SUMIF('DADOS BRUTOS'!$A$3:$A$500,$B39,'DADOS BRUTOS'!B$3:B$500)+IF($C39="",0,SUMIF('DADOS BRUTOS'!$A$3:$A$500,$C39,'DADOS BRUTOS'!B$3:B$500)))</f>
        <v/>
      </c>
      <c r="CC39" s="56">
        <f>IF(OR(CC$4="",$B39=""),0,SUMIF('DADOS BRUTOS'!$A$3:$A$500,$B39,'DADOS BRUTOS'!C$3:C$500)+IF($C39="",0,SUMIF('DADOS BRUTOS'!$A$3:$A$500,$C39,'DADOS BRUTOS'!C$3:C$500)))</f>
        <v/>
      </c>
      <c r="CD39" s="56">
        <f>IF(OR(CD$4="",$B39=""),0,SUMIF('DADOS BRUTOS'!$A$3:$A$500,$B39,'DADOS BRUTOS'!D$3:D$500)+IF($C39="",0,SUMIF('DADOS BRUTOS'!$A$3:$A$500,$C39,'DADOS BRUTOS'!D$3:D$500)))</f>
        <v/>
      </c>
      <c r="CE39" s="56">
        <f>IF(OR(CE$4="",$B39=""),0,SUMIF('DADOS BRUTOS'!$A$3:$A$500,$B39,'DADOS BRUTOS'!E$3:E$500)+IF($C39="",0,SUMIF('DADOS BRUTOS'!$A$3:$A$500,$C39,'DADOS BRUTOS'!E$3:E$500)))</f>
        <v/>
      </c>
      <c r="CF39" s="56">
        <f>IF(OR(CF$4="",$B39=""),0,SUMIF('DADOS BRUTOS'!$A$3:$A$500,$B39,'DADOS BRUTOS'!F$3:F$500)+IF($C39="",0,SUMIF('DADOS BRUTOS'!$A$3:$A$500,$C39,'DADOS BRUTOS'!F$3:F$500)))</f>
        <v/>
      </c>
      <c r="CG39" s="56">
        <f>IF(OR(CG$4="",$B39=""),0,SUMIF('DADOS BRUTOS'!$A$3:$A$500,$B39,'DADOS BRUTOS'!G$3:G$500)+IF($C39="",0,SUMIF('DADOS BRUTOS'!$A$3:$A$500,$C39,'DADOS BRUTOS'!G$3:G$500)))</f>
        <v/>
      </c>
      <c r="CH39" s="56">
        <f>IF(OR(CH$4="",$B39=""),0,SUMIF('DADOS BRUTOS'!$A$3:$A$500,$B39,'DADOS BRUTOS'!H$3:H$500)+IF($C39="",0,SUMIF('DADOS BRUTOS'!$A$3:$A$500,$C39,'DADOS BRUTOS'!H$3:H$500)))</f>
        <v/>
      </c>
      <c r="CI39" s="56">
        <f>IF(OR(CI$4="",$B39=""),0,SUMIF('DADOS BRUTOS'!$A$3:$A$500,$B39,'DADOS BRUTOS'!I$3:I$500)+IF($C39="",0,SUMIF('DADOS BRUTOS'!$A$3:$A$500,$C39,'DADOS BRUTOS'!I$3:I$500)))</f>
        <v/>
      </c>
      <c r="CJ39" s="56">
        <f>IF(OR(CJ$4="",$B39=""),0,SUMIF('DADOS BRUTOS'!$A$3:$A$500,$B39,'DADOS BRUTOS'!J$3:J$500)+IF($C39="",0,SUMIF('DADOS BRUTOS'!$A$3:$A$500,$C39,'DADOS BRUTOS'!J$3:J$500)))</f>
        <v/>
      </c>
      <c r="CK39" s="56">
        <f>IF(OR(CK$4="",$B39=""),0,SUMIF('DADOS BRUTOS'!$A$3:$A$500,$B39,'DADOS BRUTOS'!K$3:K$500)+IF($C39="",0,SUMIF('DADOS BRUTOS'!$A$3:$A$500,$C39,'DADOS BRUTOS'!K$3:K$500)))</f>
        <v/>
      </c>
      <c r="CL39" s="56">
        <f>IF(OR(CL$4="",$B39=""),0,SUMIF('DADOS BRUTOS'!$A$3:$A$500,$B39,'DADOS BRUTOS'!L$3:L$500)+IF($C39="",0,SUMIF('DADOS BRUTOS'!$A$3:$A$500,$C39,'DADOS BRUTOS'!L$3:L$500)))</f>
        <v/>
      </c>
      <c r="CM39" s="56">
        <f>IF(OR(CM$4="",$B39=""),0,SUMIF('DADOS BRUTOS'!$A$3:$A$500,$B39,'DADOS BRUTOS'!M$3:M$500)+IF($C39="",0,SUMIF('DADOS BRUTOS'!$A$3:$A$500,$C39,'DADOS BRUTOS'!M$3:M$500)))</f>
        <v/>
      </c>
      <c r="CN39" s="56">
        <f>IF(OR(CN$4="",$B39=""),0,SUMIF('DADOS BRUTOS'!$A$3:$A$500,$B39,'DADOS BRUTOS'!N$3:N$500)+IF($C39="",0,SUMIF('DADOS BRUTOS'!$A$3:$A$500,$C39,'DADOS BRUTOS'!N$3:N$500)))</f>
        <v/>
      </c>
      <c r="CO39" s="56">
        <f>IF(OR(CO$4="",$B39=""),0,SUMIF('DADOS BRUTOS'!$A$3:$A$500,$B39,'DADOS BRUTOS'!O$3:O$500)+IF($C39="",0,SUMIF('DADOS BRUTOS'!$A$3:$A$500,$C39,'DADOS BRUTOS'!O$3:O$500)))</f>
        <v/>
      </c>
      <c r="CP39" s="56">
        <f>IF(OR(CP$4="",$B39=""),0,SUMIF('DADOS BRUTOS'!$A$3:$A$500,$B39,'DADOS BRUTOS'!P$3:P$500)+IF($C39="",0,SUMIF('DADOS BRUTOS'!$A$3:$A$500,$C39,'DADOS BRUTOS'!P$3:P$500)))</f>
        <v/>
      </c>
      <c r="CQ39" s="56">
        <f>IF(OR(CQ$4="",$B39=""),0,SUMIF('DADOS BRUTOS'!$A$3:$A$500,$B39,'DADOS BRUTOS'!Q$3:Q$500)+IF($C39="",0,SUMIF('DADOS BRUTOS'!$A$3:$A$500,$C39,'DADOS BRUTOS'!Q$3:Q$500)))</f>
        <v/>
      </c>
      <c r="CR39" s="56">
        <f>IF(OR(CR$4="",$B39=""),0,SUMIF('DADOS BRUTOS'!$A$3:$A$500,$B39,'DADOS BRUTOS'!R$3:R$500)+IF($C39="",0,SUMIF('DADOS BRUTOS'!$A$3:$A$500,$C39,'DADOS BRUTOS'!R$3:R$500)))</f>
        <v/>
      </c>
      <c r="CS39" s="56">
        <f>IF(OR(CS$4="",$B39=""),0,SUMIF('DADOS BRUTOS'!$A$3:$A$500,$B39,'DADOS BRUTOS'!S$3:S$500)+IF($C39="",0,SUMIF('DADOS BRUTOS'!$A$3:$A$500,$C39,'DADOS BRUTOS'!S$3:S$500)))</f>
        <v/>
      </c>
      <c r="CT39" s="56">
        <f>IF(OR(CT$4="",$B39=""),0,SUMIF('DADOS BRUTOS'!$A$3:$A$500,$B39,'DADOS BRUTOS'!T$3:T$500)+IF($C39="",0,SUMIF('DADOS BRUTOS'!$A$3:$A$500,$C39,'DADOS BRUTOS'!T$3:T$500)))</f>
        <v/>
      </c>
      <c r="CU39" s="56">
        <f>IF(OR(CU$4="",$B39=""),0,SUMIF('DADOS BRUTOS'!$A$3:$A$500,$B39,'DADOS BRUTOS'!U$3:U$500)+IF($C39="",0,SUMIF('DADOS BRUTOS'!$A$3:$A$500,$C39,'DADOS BRUTOS'!U$3:U$500)))</f>
        <v/>
      </c>
      <c r="CV39" s="56">
        <f>IF(OR(CV$4="",$B39=""),0,SUMIF('DADOS BRUTOS'!$A$3:$A$500,$B39,'DADOS BRUTOS'!V$3:V$500)+IF($C39="",0,SUMIF('DADOS BRUTOS'!$A$3:$A$500,$C39,'DADOS BRUTOS'!V$3:V$500)))</f>
        <v/>
      </c>
      <c r="CW39" s="56">
        <f>IF(OR(CW$4="",$B39=""),0,SUMIF('DADOS BRUTOS'!$A$3:$A$500,$B39,'DADOS BRUTOS'!W$3:W$500)+IF($C39="",0,SUMIF('DADOS BRUTOS'!$A$3:$A$500,$C39,'DADOS BRUTOS'!W$3:W$500)))</f>
        <v/>
      </c>
      <c r="CX39" s="56">
        <f>IF(OR(CX$4="",$B39=""),0,SUMIF('DADOS BRUTOS'!$A$3:$A$500,$B39,'DADOS BRUTOS'!X$3:X$500)+IF($C39="",0,SUMIF('DADOS BRUTOS'!$A$3:$A$500,$C39,'DADOS BRUTOS'!X$3:X$500)))</f>
        <v/>
      </c>
      <c r="CY39" s="56">
        <f>IF(OR(CY$4="",$B39=""),0,SUMIF('DADOS BRUTOS'!$A$3:$A$500,$B39,'DADOS BRUTOS'!Y$3:Y$500)+IF($C39="",0,SUMIF('DADOS BRUTOS'!$A$3:$A$500,$C39,'DADOS BRUTOS'!Y$3:Y$500)))</f>
        <v/>
      </c>
      <c r="CZ39" s="56">
        <f>IF(OR(CZ$4="",$B39=""),0,SUMIF('DADOS BRUTOS'!$A$3:$A$500,$B39,'DADOS BRUTOS'!Z$3:Z$500)+IF($C39="",0,SUMIF('DADOS BRUTOS'!$A$3:$A$500,$C39,'DADOS BRUTOS'!Z$3:Z$500)))</f>
        <v/>
      </c>
      <c r="DA39" s="56">
        <f>IF(OR(DA$4="",$B39=""),0,SUMIF('DADOS BRUTOS'!$A$3:$A$500,$B39,'DADOS BRUTOS'!AA$3:AA$500)+IF($C39="",0,SUMIF('DADOS BRUTOS'!$A$3:$A$500,$C39,'DADOS BRUTOS'!AA$3:AA$500)))</f>
        <v/>
      </c>
      <c r="DB39" s="56">
        <f>IF(OR(DB$4="",$B39=""),0,SUMIF('DADOS BRUTOS'!$A$3:$A$500,$B39,'DADOS BRUTOS'!AB$3:AB$500)+IF($C39="",0,SUMIF('DADOS BRUTOS'!$A$3:$A$500,$C39,'DADOS BRUTOS'!AB$3:AB$500)))</f>
        <v/>
      </c>
      <c r="DC39" s="56">
        <f>IF(OR(DC$4="",$B39=""),0,SUMIF('DADOS BRUTOS'!$A$3:$A$500,$B39,'DADOS BRUTOS'!AC$3:AC$500)+IF($C39="",0,SUMIF('DADOS BRUTOS'!$A$3:$A$500,$C39,'DADOS BRUTOS'!AC$3:AC$500)))</f>
        <v/>
      </c>
      <c r="DD39" s="56">
        <f>IF(OR(DD$4="",$B39=""),0,SUMIF('DADOS BRUTOS'!$A$3:$A$500,$B39,'DADOS BRUTOS'!AD$3:AD$500)+IF($C39="",0,SUMIF('DADOS BRUTOS'!$A$3:$A$500,$C39,'DADOS BRUTOS'!AD$3:AD$500)))</f>
        <v/>
      </c>
      <c r="DE39" s="56">
        <f>IF(OR(DE$4="",$B39=""),0,SUMIF('DADOS BRUTOS'!$A$3:$A$500,$B39,'DADOS BRUTOS'!AE$3:AE$500)+IF($C39="",0,SUMIF('DADOS BRUTOS'!$A$3:$A$500,$C39,'DADOS BRUTOS'!AE$3:AE$500)))</f>
        <v/>
      </c>
      <c r="DF39" s="56">
        <f>IF(OR(DF$4="",$B39=""),0,SUMIF('DADOS BRUTOS'!$A$3:$A$500,$B39,'DADOS BRUTOS'!AF$3:AF$500)+IF($C39="",0,SUMIF('DADOS BRUTOS'!$A$3:$A$500,$C39,'DADOS BRUTOS'!AF$3:AF$500)))</f>
        <v/>
      </c>
      <c r="DG39" s="56">
        <f>IF(OR(DG$4="",$B39=""),0,SUMIF('DADOS BRUTOS'!$A$3:$A$500,$B39,'DADOS BRUTOS'!AG$3:AG$500)+IF($C39="",0,SUMIF('DADOS BRUTOS'!$A$3:$A$500,$C39,'DADOS BRUTOS'!AG$3:AG$500)))</f>
        <v/>
      </c>
      <c r="DH39" s="56">
        <f>IF(OR(DH$4="",$B39=""),0,SUMIF('DADOS BRUTOS'!$A$3:$A$500,$B39,'DADOS BRUTOS'!AH$3:AH$500)+IF($C39="",0,SUMIF('DADOS BRUTOS'!$A$3:$A$500,$C39,'DADOS BRUTOS'!AH$3:AH$500)))</f>
        <v/>
      </c>
      <c r="DI39" s="56">
        <f>IF(OR(DI$4="",$B39=""),0,SUMIF('DADOS BRUTOS'!$A$3:$A$500,$B39,'DADOS BRUTOS'!AI$3:AI$500)+IF($C39="",0,SUMIF('DADOS BRUTOS'!$A$3:$A$500,$C39,'DADOS BRUTOS'!AI$3:AI$500)))</f>
        <v/>
      </c>
      <c r="DJ39" s="56">
        <f>IF(OR(DJ$4="",$B39=""),0,SUMIF('DADOS BRUTOS'!$A$3:$A$500,$B39,'DADOS BRUTOS'!AJ$3:AJ$500)+IF($C39="",0,SUMIF('DADOS BRUTOS'!$A$3:$A$500,$C39,'DADOS BRUTOS'!AJ$3:AJ$500)))</f>
        <v/>
      </c>
      <c r="DK39" s="56">
        <f>IF(OR(DK$4="",$B39=""),0,SUMIF('DADOS BRUTOS'!$A$3:$A$500,$B39,'DADOS BRUTOS'!AK$3:AK$500)+IF($C39="",0,SUMIF('DADOS BRUTOS'!$A$3:$A$500,$C39,'DADOS BRUTOS'!AK$3:AK$500)))</f>
        <v/>
      </c>
      <c r="DL39" s="56">
        <f>IF(OR(DL$4="",$B39=""),0,SUMIF('DADOS BRUTOS'!$A$3:$A$500,$B39,'DADOS BRUTOS'!AL$3:AL$500)+IF($C39="",0,SUMIF('DADOS BRUTOS'!$A$3:$A$500,$C39,'DADOS BRUTOS'!AL$3:AL$500)))</f>
        <v/>
      </c>
      <c r="DM39" s="56">
        <f>IF(OR(DM$4="",$B39=""),0,SUMIF('DADOS BRUTOS'!$A$3:$A$500,$B39,'DADOS BRUTOS'!AM$3:AM$500)+IF($C39="",0,SUMIF('DADOS BRUTOS'!$A$3:$A$500,$C39,'DADOS BRUTOS'!AM$3:AM$500)))</f>
        <v/>
      </c>
      <c r="DN39" s="56">
        <f>IF(OR(DN$4="",$B39=""),0,SUMIF('DADOS BRUTOS'!$A$3:$A$500,$B39,'DADOS BRUTOS'!AN$3:AN$500)+IF($C39="",0,SUMIF('DADOS BRUTOS'!$A$3:$A$500,$C39,'DADOS BRUTOS'!AN$3:AN$500)))</f>
        <v/>
      </c>
      <c r="DO39" s="56">
        <f>IF(OR(DO$4="",$B39=""),0,SUMIF('DADOS BRUTOS'!$A$3:$A$500,$B39,'DADOS BRUTOS'!AO$3:AO$500)+IF($C39="",0,SUMIF('DADOS BRUTOS'!$A$3:$A$500,$C39,'DADOS BRUTOS'!AO$3:AO$500)))</f>
        <v/>
      </c>
      <c r="DP39" s="56">
        <f>IF(OR(DP$4="",$B39=""),0,SUMIF('DADOS BRUTOS'!$A$3:$A$500,$B39,'DADOS BRUTOS'!AP$3:AP$500)+IF($C39="",0,SUMIF('DADOS BRUTOS'!$A$3:$A$500,$C39,'DADOS BRUTOS'!AP$3:AP$500)))</f>
        <v/>
      </c>
      <c r="DQ39" s="56">
        <f>IF(OR(DQ$4="",$B39=""),0,SUMIF('DADOS BRUTOS'!$A$3:$A$500,$B39,'DADOS BRUTOS'!AQ$3:AQ$500)+IF($C39="",0,SUMIF('DADOS BRUTOS'!$A$3:$A$500,$C39,'DADOS BRUTOS'!AQ$3:AQ$500)))</f>
        <v/>
      </c>
      <c r="DR39" s="56">
        <f>IF(OR(DR$4="",$B39=""),0,SUMIF('DADOS BRUTOS'!$A$3:$A$500,$B39,'DADOS BRUTOS'!AR$3:AR$500)+IF($C39="",0,SUMIF('DADOS BRUTOS'!$A$3:$A$500,$C39,'DADOS BRUTOS'!AR$3:AR$500)))</f>
        <v/>
      </c>
      <c r="DS39" s="56">
        <f>IF(OR(DS$4="",$B39=""),0,SUMIF('DADOS BRUTOS'!$A$3:$A$500,$B39,'DADOS BRUTOS'!AS$3:AS$500)+IF($C39="",0,SUMIF('DADOS BRUTOS'!$A$3:$A$500,$C39,'DADOS BRUTOS'!AS$3:AS$500)))</f>
        <v/>
      </c>
      <c r="DT39" s="56">
        <f>IF(OR(DT$4="",$B39=""),0,SUMIF('DADOS BRUTOS'!$A$3:$A$500,$B39,'DADOS BRUTOS'!AT$3:AT$500)+IF($C39="",0,SUMIF('DADOS BRUTOS'!$A$3:$A$500,$C39,'DADOS BRUTOS'!AT$3:AT$500)))</f>
        <v/>
      </c>
      <c r="DU39" s="56">
        <f>IF(OR(DU$4="",$B39=""),0,SUMIF('DADOS BRUTOS'!$A$3:$A$500,$B39,'DADOS BRUTOS'!AU$3:AU$500)+IF($C39="",0,SUMIF('DADOS BRUTOS'!$A$3:$A$500,$C39,'DADOS BRUTOS'!AU$3:AU$500)))</f>
        <v/>
      </c>
      <c r="DV39" s="56">
        <f>IF(OR(DV$4="",$B39=""),0,SUMIF('DADOS BRUTOS'!$A$3:$A$500,$B39,'DADOS BRUTOS'!AV$3:AV$500)+IF($C39="",0,SUMIF('DADOS BRUTOS'!$A$3:$A$500,$C39,'DADOS BRUTOS'!AV$3:AV$500)))</f>
        <v/>
      </c>
      <c r="DW39" s="56">
        <f>IF(OR(DW$4="",$B39=""),0,SUMIF('DADOS BRUTOS'!$A$3:$A$500,$B39,'DADOS BRUTOS'!AW$3:AW$500)+IF($C39="",0,SUMIF('DADOS BRUTOS'!$A$3:$A$500,$C39,'DADOS BRUTOS'!AW$3:AW$500)))</f>
        <v/>
      </c>
      <c r="DX39" s="56">
        <f>IF(OR(DX$4="",$B39=""),0,SUMIF('DADOS BRUTOS'!$A$3:$A$500,$B39,'DADOS BRUTOS'!AX$3:AX$500)+IF($C39="",0,SUMIF('DADOS BRUTOS'!$A$3:$A$500,$C39,'DADOS BRUTOS'!AX$3:AX$500)))</f>
        <v/>
      </c>
      <c r="DY39" s="56">
        <f>IF(OR(DY$4="",$B39=""),0,SUMIF('DADOS BRUTOS'!$A$3:$A$500,$B39,'DADOS BRUTOS'!AY$3:AY$500)+IF($C39="",0,SUMIF('DADOS BRUTOS'!$A$3:$A$500,$C39,'DADOS BRUTOS'!AY$3:AY$500)))</f>
        <v/>
      </c>
      <c r="DZ39" s="56">
        <f>IF(OR(DZ$4="",$B39=""),0,SUMIF('DADOS BRUTOS'!$A$3:$A$500,$B39,'DADOS BRUTOS'!AZ$3:AZ$500)+IF($C39="",0,SUMIF('DADOS BRUTOS'!$A$3:$A$500,$C39,'DADOS BRUTOS'!AZ$3:AZ$500)))</f>
        <v/>
      </c>
      <c r="EA39" s="56">
        <f>IF(OR(EA$4="",$B39=""),0,SUMIF('DADOS BRUTOS'!$A$3:$A$500,$B39,'DADOS BRUTOS'!BA$3:BA$500)+IF($C39="",0,SUMIF('DADOS BRUTOS'!$A$3:$A$500,$C39,'DADOS BRUTOS'!BA$3:BA$500)))</f>
        <v/>
      </c>
      <c r="EB39" s="56">
        <f>IF(OR(EB$4="",$B39=""),0,SUMIF('DADOS BRUTOS'!$A$3:$A$500,$B39,'DADOS BRUTOS'!BB$3:BB$500)+IF($C39="",0,SUMIF('DADOS BRUTOS'!$A$3:$A$500,$C39,'DADOS BRUTOS'!BB$3:BB$500)))</f>
        <v/>
      </c>
      <c r="EC39" s="56">
        <f>IF(OR(EC$4="",$B39=""),0,SUMIF('DADOS BRUTOS'!$A$3:$A$500,$B39,'DADOS BRUTOS'!BC$3:BC$500)+IF($C39="",0,SUMIF('DADOS BRUTOS'!$A$3:$A$500,$C39,'DADOS BRUTOS'!BC$3:BC$500)))</f>
        <v/>
      </c>
      <c r="ED39" s="56">
        <f>IF(OR(ED$4="",$B39=""),0,SUMIF('DADOS BRUTOS'!$A$3:$A$500,$B39,'DADOS BRUTOS'!BD$3:BD$500)+IF($C39="",0,SUMIF('DADOS BRUTOS'!$A$3:$A$500,$C39,'DADOS BRUTOS'!BD$3:BD$500)))</f>
        <v/>
      </c>
      <c r="EE39" s="56">
        <f>IF(OR(EE$4="",$B39=""),0,SUMIF('DADOS BRUTOS'!$A$3:$A$500,$B39,'DADOS BRUTOS'!BE$3:BE$500)+IF($C39="",0,SUMIF('DADOS BRUTOS'!$A$3:$A$500,$C39,'DADOS BRUTOS'!BE$3:BE$500)))</f>
        <v/>
      </c>
      <c r="EF39" s="56">
        <f>IF(OR(EF$4="",$B39=""),0,SUMIF('DADOS BRUTOS'!$A$3:$A$500,$B39,'DADOS BRUTOS'!BF$3:BF$500)+IF($C39="",0,SUMIF('DADOS BRUTOS'!$A$3:$A$500,$C39,'DADOS BRUTOS'!BF$3:BF$500)))</f>
        <v/>
      </c>
      <c r="EG39" s="56">
        <f>IF(OR(EG$4="",$B39=""),0,SUMIF('DADOS BRUTOS'!$A$3:$A$500,$B39,'DADOS BRUTOS'!BG$3:BG$500)+IF($C39="",0,SUMIF('DADOS BRUTOS'!$A$3:$A$500,$C39,'DADOS BRUTOS'!BG$3:BG$500)))</f>
        <v/>
      </c>
      <c r="EH39" s="56">
        <f>IF(OR(EH$4="",$B39=""),0,SUMIF('DADOS BRUTOS'!$A$3:$A$500,$B39,'DADOS BRUTOS'!BH$3:BH$500)+IF($C39="",0,SUMIF('DADOS BRUTOS'!$A$3:$A$500,$C39,'DADOS BRUTOS'!BH$3:BH$500)))</f>
        <v/>
      </c>
      <c r="EI39" s="56">
        <f>IF(OR(EI$4="",$B39=""),0,SUMIF('DADOS BRUTOS'!$A$3:$A$500,$B39,'DADOS BRUTOS'!BI$3:BI$500)+IF($C39="",0,SUMIF('DADOS BRUTOS'!$A$3:$A$500,$C39,'DADOS BRUTOS'!BI$3:BI$500)))</f>
        <v/>
      </c>
      <c r="EJ39" s="56">
        <f>IF(OR(EJ$4="",$B39=""),0,SUMIF('DADOS BRUTOS'!$A$3:$A$500,$B39,'DADOS BRUTOS'!BJ$3:BJ$500)+IF($C39="",0,SUMIF('DADOS BRUTOS'!$A$3:$A$500,$C39,'DADOS BRUTOS'!BJ$3:BJ$500)))</f>
        <v/>
      </c>
      <c r="EK39" s="56">
        <f>IF(OR(EK$4="",$B39=""),0,SUMIF('DADOS BRUTOS'!$A$3:$A$500,$B39,'DADOS BRUTOS'!BK$3:BK$500)+IF($C39="",0,SUMIF('DADOS BRUTOS'!$A$3:$A$500,$C39,'DADOS BRUTOS'!BK$3:BK$500)))</f>
        <v/>
      </c>
      <c r="EL39" s="56">
        <f>IF(OR(EL$4="",$B39=""),0,SUMIF('DADOS BRUTOS'!$A$3:$A$500,$B39,'DADOS BRUTOS'!BL$3:BL$500)+IF($C39="",0,SUMIF('DADOS BRUTOS'!$A$3:$A$500,$C39,'DADOS BRUTOS'!BL$3:BL$500)))</f>
        <v/>
      </c>
      <c r="EM39" s="56">
        <f>IF(OR(EM$4="",$B39=""),0,SUMIF('DADOS BRUTOS'!$A$3:$A$500,$B39,'DADOS BRUTOS'!BM$3:BM$500)+IF($C39="",0,SUMIF('DADOS BRUTOS'!$A$3:$A$500,$C39,'DADOS BRUTOS'!BM$3:BM$500)))</f>
        <v/>
      </c>
      <c r="EN39" s="56">
        <f>IF(OR(EN$4="",$B39=""),0,SUMIF('DADOS BRUTOS'!$A$3:$A$500,$B39,'DADOS BRUTOS'!BN$3:BN$500)+IF($C39="",0,SUMIF('DADOS BRUTOS'!$A$3:$A$500,$C39,'DADOS BRUTOS'!BN$3:BN$500)))</f>
        <v/>
      </c>
      <c r="EO39" s="56">
        <f>IF(OR(EO$4="",$B39=""),0,SUMIF('DADOS BRUTOS'!$A$3:$A$500,$B39,'DADOS BRUTOS'!BO$3:BO$500)+IF($C39="",0,SUMIF('DADOS BRUTOS'!$A$3:$A$500,$C39,'DADOS BRUTOS'!BO$3:BO$500)))</f>
        <v/>
      </c>
      <c r="EP39" s="56">
        <f>IF(OR(EP$4="",$B39=""),0,SUMIF('DADOS BRUTOS'!$A$3:$A$500,$B39,'DADOS BRUTOS'!BP$3:BP$500)+IF($C39="",0,SUMIF('DADOS BRUTOS'!$A$3:$A$500,$C39,'DADOS BRUTOS'!BP$3:BP$500)))</f>
        <v/>
      </c>
      <c r="EQ39" s="56">
        <f>IF(OR(EQ$4="",$B39=""),0,SUMIF('DADOS BRUTOS'!$A$3:$A$500,$B39,'DADOS BRUTOS'!BQ$3:BQ$500)+IF($C39="",0,SUMIF('DADOS BRUTOS'!$A$3:$A$500,$C39,'DADOS BRUTOS'!BQ$3:BQ$500)))</f>
        <v/>
      </c>
      <c r="ER39" s="56">
        <f>IF(OR(ER$4="",$B39=""),0,SUMIF('DADOS BRUTOS'!$A$3:$A$500,$B39,'DADOS BRUTOS'!BR$3:BR$500)+IF($C39="",0,SUMIF('DADOS BRUTOS'!$A$3:$A$500,$C39,'DADOS BRUTOS'!BR$3:BR$500)))</f>
        <v/>
      </c>
      <c r="ES39" s="56">
        <f>IF(OR(ES$4="",$B39=""),0,SUMIF('DADOS BRUTOS'!$A$3:$A$500,$B39,'DADOS BRUTOS'!BS$3:BS$500)+IF($C39="",0,SUMIF('DADOS BRUTOS'!$A$3:$A$500,$C39,'DADOS BRUTOS'!BS$3:BS$500)))</f>
        <v/>
      </c>
      <c r="ET39" s="56">
        <f>IF(OR(ET$4="",$B39=""),0,SUMIF('DADOS BRUTOS'!$A$3:$A$500,$B39,'DADOS BRUTOS'!BT$3:BT$500)+IF($C39="",0,SUMIF('DADOS BRUTOS'!$A$3:$A$500,$C39,'DADOS BRUTOS'!BT$3:BT$500)))</f>
        <v/>
      </c>
      <c r="EU39" s="56">
        <f>IF(OR(EU$4="",$B39=""),0,SUMIF('DADOS BRUTOS'!$A$3:$A$500,$B39,'DADOS BRUTOS'!BU$3:BU$500)+IF($C39="",0,SUMIF('DADOS BRUTOS'!$A$3:$A$500,$C39,'DADOS BRUTOS'!BU$3:BU$500)))</f>
        <v/>
      </c>
      <c r="EV39" s="56">
        <f>IF(OR(EV$4="",$B39=""),0,SUMIF('DADOS BRUTOS'!$A$3:$A$500,$B39,'DADOS BRUTOS'!BV$3:BV$500)+IF($C39="",0,SUMIF('DADOS BRUTOS'!$A$3:$A$500,$C39,'DADOS BRUTOS'!BV$3:BV$500)))</f>
        <v/>
      </c>
      <c r="EW39" s="56">
        <f>IF(OR(EW$4="",$B39=""),0,SUMIF('DADOS BRUTOS'!$A$3:$A$500,$B39,'DADOS BRUTOS'!BW$3:BW$500)+IF($C39="",0,SUMIF('DADOS BRUTOS'!$A$3:$A$500,$C39,'DADOS BRUTOS'!BW$3:BW$500)))</f>
        <v/>
      </c>
      <c r="EX39" s="56">
        <f>IF(OR(EX$4="",$B39=""),0,SUMIF('DADOS BRUTOS'!$A$3:$A$500,$B39,'DADOS BRUTOS'!BX$3:BX$500)+IF($C39="",0,SUMIF('DADOS BRUTOS'!$A$3:$A$500,$C39,'DADOS BRUTOS'!BX$3:BX$500)))</f>
        <v/>
      </c>
      <c r="EY39" s="56">
        <f>IF(OR(EY$4="",$B39=""),0,SUMIF('DADOS BRUTOS'!$A$3:$A$500,$B39,'DADOS BRUTOS'!BY$3:BY$500)+IF($C39="",0,SUMIF('DADOS BRUTOS'!$A$3:$A$500,$C39,'DADOS BRUTOS'!BY$3:BY$500)))</f>
        <v/>
      </c>
      <c r="EZ39" s="56">
        <f>IF(OR(EZ$4="",$B39=""),0,SUMIF('DADOS BRUTOS'!$A$3:$A$500,$B39,'DADOS BRUTOS'!BZ$3:BZ$500)+IF($C39="",0,SUMIF('DADOS BRUTOS'!$A$3:$A$500,$C39,'DADOS BRUTOS'!BZ$3:BZ$500)))</f>
        <v/>
      </c>
      <c r="FA39" s="56">
        <f>IF(OR(FA$4="",$B39=""),0,SUMIF('DADOS BRUTOS'!$A$3:$A$500,$B39,'DADOS BRUTOS'!CA$3:CA$500)+IF($C39="",0,SUMIF('DADOS BRUTOS'!$A$3:$A$500,$C39,'DADOS BRUTOS'!CA$3:CA$500)))</f>
        <v/>
      </c>
      <c r="FB39" s="56">
        <f>IF(OR(FB$4="",$B39=""),0,SUMIF('DADOS BRUTOS'!$A$3:$A$500,$B39,'DADOS BRUTOS'!CB$3:CB$500)+IF($C39="",0,SUMIF('DADOS BRUTOS'!$A$3:$A$500,$C39,'DADOS BRUTOS'!CB$3:CB$500)))</f>
        <v/>
      </c>
      <c r="FC39" s="56">
        <f>IF(OR(FC$4="",$B39=""),0,SUMIF('DADOS BRUTOS'!$A$3:$A$500,$B39,'DADOS BRUTOS'!CC$3:CC$500)+IF($C39="",0,SUMIF('DADOS BRUTOS'!$A$3:$A$500,$C39,'DADOS BRUTOS'!CC$3:CC$500)))</f>
        <v/>
      </c>
      <c r="FD39" s="56">
        <f>IF(OR(FD$4="",$B39=""),0,SUMIF('DADOS BRUTOS'!$A$3:$A$500,$B39,'DADOS BRUTOS'!CD$3:CD$500)+IF($C39="",0,SUMIF('DADOS BRUTOS'!$A$3:$A$500,$C39,'DADOS BRUTOS'!CD$3:CD$500)))</f>
        <v/>
      </c>
      <c r="FE39" s="56">
        <f>IF(OR(FE$4="",$B39=""),0,SUMIF('DADOS BRUTOS'!$A$3:$A$500,$B39,'DADOS BRUTOS'!CE$3:CE$500)+IF($C39="",0,SUMIF('DADOS BRUTOS'!$A$3:$A$500,$C39,'DADOS BRUTOS'!CE$3:CE$500)))</f>
        <v/>
      </c>
      <c r="FF39" s="56">
        <f>IF(OR(FF$4="",$B39=""),0,SUMIF('DADOS BRUTOS'!$A$3:$A$500,$B39,'DADOS BRUTOS'!CF$3:CF$500)+IF($C39="",0,SUMIF('DADOS BRUTOS'!$A$3:$A$500,$C39,'DADOS BRUTOS'!CF$3:CF$500)))</f>
        <v/>
      </c>
      <c r="FG39" s="56">
        <f>IF(OR(FG$4="",$B39=""),0,SUMIF('DADOS BRUTOS'!$A$3:$A$500,$B39,'DADOS BRUTOS'!CG$3:CG$500)+IF($C39="",0,SUMIF('DADOS BRUTOS'!$A$3:$A$500,$C39,'DADOS BRUTOS'!CG$3:CG$500)))</f>
        <v/>
      </c>
      <c r="FH39" s="56">
        <f>IF(OR(FH$4="",$B39=""),0,SUMIF('DADOS BRUTOS'!$A$3:$A$500,$B39,'DADOS BRUTOS'!CH$3:CH$500)+IF($C39="",0,SUMIF('DADOS BRUTOS'!$A$3:$A$500,$C39,'DADOS BRUTOS'!CH$3:CH$500)))</f>
        <v/>
      </c>
      <c r="FI39" s="56">
        <f>IF(OR(FI$4="",$B39=""),0,SUMIF('DADOS BRUTOS'!$A$3:$A$500,$B39,'DADOS BRUTOS'!CI$3:CI$500)+IF($C39="",0,SUMIF('DADOS BRUTOS'!$A$3:$A$500,$C39,'DADOS BRUTOS'!CI$3:CI$500)))</f>
        <v/>
      </c>
      <c r="FJ39" s="56">
        <f>IF(OR(FJ$4="",$B39=""),0,SUMIF('DADOS BRUTOS'!$A$3:$A$500,$B39,'DADOS BRUTOS'!CJ$3:CJ$500)+IF($C39="",0,SUMIF('DADOS BRUTOS'!$A$3:$A$500,$C39,'DADOS BRUTOS'!CJ$3:CJ$500)))</f>
        <v/>
      </c>
      <c r="FK39" s="56">
        <f>IF(OR(FK$4="",$B39=""),0,SUMIF('DADOS BRUTOS'!$A$3:$A$500,$B39,'DADOS BRUTOS'!CK$3:CK$500)+IF($C39="",0,SUMIF('DADOS BRUTOS'!$A$3:$A$500,$C39,'DADOS BRUTOS'!CK$3:CK$500)))</f>
        <v/>
      </c>
      <c r="FL39" s="56">
        <f>IF(OR(FL$4="",$B39=""),0,SUMIF('DADOS BRUTOS'!$A$3:$A$500,$B39,'DADOS BRUTOS'!CL$3:CL$500)+IF($C39="",0,SUMIF('DADOS BRUTOS'!$A$3:$A$500,$C39,'DADOS BRUTOS'!CL$3:CL$500)))</f>
        <v/>
      </c>
      <c r="FM39" s="56">
        <f>IF(OR(FM$4="",$B39=""),0,SUMIF('DADOS BRUTOS'!$A$3:$A$500,$B39,'DADOS BRUTOS'!CM$3:CM$500)+IF($C39="",0,SUMIF('DADOS BRUTOS'!$A$3:$A$500,$C39,'DADOS BRUTOS'!CM$3:CM$500)))</f>
        <v/>
      </c>
      <c r="FN39" s="56">
        <f>IF(OR(FN$4="",$B39=""),0,SUMIF('DADOS BRUTOS'!$A$3:$A$500,$B39,'DADOS BRUTOS'!CN$3:CN$500)+IF($C39="",0,SUMIF('DADOS BRUTOS'!$A$3:$A$500,$C39,'DADOS BRUTOS'!CN$3:CN$500)))</f>
        <v/>
      </c>
      <c r="FO39" s="56">
        <f>IF(OR(FO$4="",$B39=""),0,SUMIF('DADOS BRUTOS'!$A$3:$A$500,$B39,'DADOS BRUTOS'!CO$3:CO$500)+IF($C39="",0,SUMIF('DADOS BRUTOS'!$A$3:$A$500,$C39,'DADOS BRUTOS'!CO$3:CO$500)))</f>
        <v/>
      </c>
      <c r="FP39" s="56">
        <f>IF(OR(FP$4="",$B39=""),0,SUMIF('DADOS BRUTOS'!$A$3:$A$500,$B39,'DADOS BRUTOS'!CP$3:CP$500)+IF($C39="",0,SUMIF('DADOS BRUTOS'!$A$3:$A$500,$C39,'DADOS BRUTOS'!CP$3:CP$500)))</f>
        <v/>
      </c>
      <c r="FQ39" s="56">
        <f>IF(OR(FQ$4="",$B39=""),0,SUMIF('DADOS BRUTOS'!$A$3:$A$500,$B39,'DADOS BRUTOS'!CQ$3:CQ$500)+IF($C39="",0,SUMIF('DADOS BRUTOS'!$A$3:$A$500,$C39,'DADOS BRUTOS'!CQ$3:CQ$500)))</f>
        <v/>
      </c>
      <c r="FR39" s="56">
        <f>IF(OR(FR$4="",$B39=""),0,SUMIF('DADOS BRUTOS'!$A$3:$A$500,$B39,'DADOS BRUTOS'!CR$3:CR$500)+IF($C39="",0,SUMIF('DADOS BRUTOS'!$A$3:$A$500,$C39,'DADOS BRUTOS'!CR$3:CR$500)))</f>
        <v/>
      </c>
      <c r="FS39" s="56">
        <f>IF(OR(FS$4="",$B39=""),0,SUMIF('DADOS BRUTOS'!$A$3:$A$500,$B39,'DADOS BRUTOS'!CS$3:CS$500)+IF($C39="",0,SUMIF('DADOS BRUTOS'!$A$3:$A$500,$C39,'DADOS BRUTOS'!CS$3:CS$500)))</f>
        <v/>
      </c>
      <c r="FT39" s="56">
        <f>IF(OR(FT$4="",$B39=""),0,SUMIF('DADOS BRUTOS'!$A$3:$A$500,$B39,'DADOS BRUTOS'!CT$3:CT$500)+IF($C39="",0,SUMIF('DADOS BRUTOS'!$A$3:$A$500,$C39,'DADOS BRUTOS'!CT$3:CT$500)))</f>
        <v/>
      </c>
      <c r="FU39" s="56">
        <f>IF(OR(FU$4="",$B39=""),0,SUMIF('DADOS BRUTOS'!$A$3:$A$500,$B39,'DADOS BRUTOS'!CU$3:CU$500)+IF($C39="",0,SUMIF('DADOS BRUTOS'!$A$3:$A$500,$C39,'DADOS BRUTOS'!CU$3:CU$500)))</f>
        <v/>
      </c>
      <c r="FV39" s="56">
        <f>IF(OR(FV$4="",$B39=""),0,SUMIF('DADOS BRUTOS'!$A$3:$A$500,$B39,'DADOS BRUTOS'!CV$3:CV$500)+IF($C39="",0,SUMIF('DADOS BRUTOS'!$A$3:$A$500,$C39,'DADOS BRUTOS'!CV$3:CV$500)))</f>
        <v/>
      </c>
      <c r="FW39" s="56">
        <f>IF(OR(FW$4="",$B39=""),0,SUMIF('DADOS BRUTOS'!$A$3:$A$500,$B39,'DADOS BRUTOS'!CW$3:CW$500)+IF($C39="",0,SUMIF('DADOS BRUTOS'!$A$3:$A$500,$C39,'DADOS BRUTOS'!CW$3:CW$500)))</f>
        <v/>
      </c>
      <c r="FX39" s="56">
        <f>IF(OR(FX$4="",$B39=""),0,SUMIF('DADOS BRUTOS'!$A$3:$A$500,$B39,'DADOS BRUTOS'!CX$3:CX$500)+IF($C39="",0,SUMIF('DADOS BRUTOS'!$A$3:$A$500,$C39,'DADOS BRUTOS'!CX$3:CX$500)))</f>
        <v/>
      </c>
      <c r="FY39" s="56">
        <f>IF(OR(FY$4="",$B39=""),0,SUMIF('DADOS BRUTOS'!$A$3:$A$500,$B39,'DADOS BRUTOS'!CY$3:CY$500)+IF($C39="",0,SUMIF('DADOS BRUTOS'!$A$3:$A$500,$C39,'DADOS BRUTOS'!CY$3:CY$500)))</f>
        <v/>
      </c>
      <c r="FZ39" s="56">
        <f>IF(OR(FZ$4="",$B39=""),0,SUMIF('DADOS BRUTOS'!$A$3:$A$500,$B39,'DADOS BRUTOS'!CZ$3:CZ$500)+IF($C39="",0,SUMIF('DADOS BRUTOS'!$A$3:$A$500,$C39,'DADOS BRUTOS'!CZ$3:CZ$500)))</f>
        <v/>
      </c>
      <c r="GA39" s="56">
        <f>IF(OR(GA$4="",$B39=""),0,SUMIF('DADOS BRUTOS'!$A$3:$A$500,$B39,'DADOS BRUTOS'!DA$3:DA$500)+IF($C39="",0,SUMIF('DADOS BRUTOS'!$A$3:$A$500,$C39,'DADOS BRUTOS'!DA$3:DA$500)))</f>
        <v/>
      </c>
      <c r="GB39" s="56">
        <f>IF(OR(GB$4="",$B39=""),0,SUMIF('DADOS BRUTOS'!$A$3:$A$500,$B39,'DADOS BRUTOS'!DB$3:DB$500)+IF($C39="",0,SUMIF('DADOS BRUTOS'!$A$3:$A$500,$C39,'DADOS BRUTOS'!DB$3:DB$500)))</f>
        <v/>
      </c>
      <c r="GC39" s="56">
        <f>IF(OR(GC$4="",$B39=""),0,SUMIF('DADOS BRUTOS'!$A$3:$A$500,$B39,'DADOS BRUTOS'!DC$3:DC$500)+IF($C39="",0,SUMIF('DADOS BRUTOS'!$A$3:$A$500,$C39,'DADOS BRUTOS'!DC$3:DC$500)))</f>
        <v/>
      </c>
      <c r="GD39" s="56">
        <f>IF(OR(GD$4="",$B39=""),0,SUMIF('DADOS BRUTOS'!$A$3:$A$500,$B39,'DADOS BRUTOS'!DD$3:DD$500)+IF($C39="",0,SUMIF('DADOS BRUTOS'!$A$3:$A$500,$C39,'DADOS BRUTOS'!DD$3:DD$500)))</f>
        <v/>
      </c>
      <c r="GE39" s="56">
        <f>IF(OR(GE$4="",$B39=""),0,SUMIF('DADOS BRUTOS'!$A$3:$A$500,$B39,'DADOS BRUTOS'!DE$3:DE$500)+IF($C39="",0,SUMIF('DADOS BRUTOS'!$A$3:$A$500,$C39,'DADOS BRUTOS'!DE$3:DE$500)))</f>
        <v/>
      </c>
      <c r="GF39" s="56">
        <f>IF(OR(GF$4="",$B39=""),0,SUMIF('DADOS BRUTOS'!$A$3:$A$500,$B39,'DADOS BRUTOS'!DF$3:DF$500)+IF($C39="",0,SUMIF('DADOS BRUTOS'!$A$3:$A$500,$C39,'DADOS BRUTOS'!DF$3:DF$500)))</f>
        <v/>
      </c>
      <c r="GG39" s="56">
        <f>IF(OR(GG$4="",$B39=""),0,SUMIF('DADOS BRUTOS'!$A$3:$A$500,$B39,'DADOS BRUTOS'!DG$3:DG$500)+IF($C39="",0,SUMIF('DADOS BRUTOS'!$A$3:$A$500,$C39,'DADOS BRUTOS'!DG$3:DG$500)))</f>
        <v/>
      </c>
      <c r="GH39" s="56">
        <f>IF(OR(GH$4="",$B39=""),0,SUMIF('DADOS BRUTOS'!$A$3:$A$500,$B39,'DADOS BRUTOS'!DH$3:DH$500)+IF($C39="",0,SUMIF('DADOS BRUTOS'!$A$3:$A$500,$C39,'DADOS BRUTOS'!DH$3:DH$500)))</f>
        <v/>
      </c>
      <c r="GI39" s="56">
        <f>IF(OR(GI$4="",$B39=""),0,SUMIF('DADOS BRUTOS'!$A$3:$A$500,$B39,'DADOS BRUTOS'!DI$3:DI$500)+IF($C39="",0,SUMIF('DADOS BRUTOS'!$A$3:$A$500,$C39,'DADOS BRUTOS'!DI$3:DI$500)))</f>
        <v/>
      </c>
      <c r="GJ39" s="56">
        <f>IF(OR(GJ$4="",$B39=""),0,SUMIF('DADOS BRUTOS'!$A$3:$A$500,$B39,'DADOS BRUTOS'!DJ$3:DJ$500)+IF($C39="",0,SUMIF('DADOS BRUTOS'!$A$3:$A$500,$C39,'DADOS BRUTOS'!DJ$3:DJ$500)))</f>
        <v/>
      </c>
      <c r="GK39" s="56">
        <f>IF(OR(GK$4="",$B39=""),0,SUMIF('DADOS BRUTOS'!$A$3:$A$500,$B39,'DADOS BRUTOS'!DK$3:DK$500)+IF($C39="",0,SUMIF('DADOS BRUTOS'!$A$3:$A$500,$C39,'DADOS BRUTOS'!DK$3:DK$500)))</f>
        <v/>
      </c>
      <c r="GL39" s="56">
        <f>IF(OR(GL$4="",$B39=""),0,SUMIF('DADOS BRUTOS'!$A$3:$A$500,$B39,'DADOS BRUTOS'!DL$3:DL$500)+IF($C39="",0,SUMIF('DADOS BRUTOS'!$A$3:$A$500,$C39,'DADOS BRUTOS'!DL$3:DL$500)))</f>
        <v/>
      </c>
      <c r="GM39" s="56">
        <f>IF(OR(GM$4="",$B39=""),0,SUMIF('DADOS BRUTOS'!$A$3:$A$500,$B39,'DADOS BRUTOS'!DM$3:DM$500)+IF($C39="",0,SUMIF('DADOS BRUTOS'!$A$3:$A$500,$C39,'DADOS BRUTOS'!DM$3:DM$500)))</f>
        <v/>
      </c>
      <c r="GN39" s="56">
        <f>IF(OR(GN$4="",$B39=""),0,SUMIF('DADOS BRUTOS'!$A$3:$A$500,$B39,'DADOS BRUTOS'!DN$3:DN$500)+IF($C39="",0,SUMIF('DADOS BRUTOS'!$A$3:$A$500,$C39,'DADOS BRUTOS'!DN$3:DN$500)))</f>
        <v/>
      </c>
      <c r="GO39" s="56">
        <f>IF(OR(GO$4="",$B39=""),0,SUMIF('DADOS BRUTOS'!$A$3:$A$500,$B39,'DADOS BRUTOS'!DO$3:DO$500)+IF($C39="",0,SUMIF('DADOS BRUTOS'!$A$3:$A$500,$C39,'DADOS BRUTOS'!DO$3:DO$500)))</f>
        <v/>
      </c>
      <c r="GP39" s="56">
        <f>IF(OR(GP$4="",$B39=""),0,SUMIF('DADOS BRUTOS'!$A$3:$A$500,$B39,'DADOS BRUTOS'!DP$3:DP$500)+IF($C39="",0,SUMIF('DADOS BRUTOS'!$A$3:$A$500,$C39,'DADOS BRUTOS'!DP$3:DP$500)))</f>
        <v/>
      </c>
      <c r="GQ39" s="56">
        <f>IF(OR(GQ$4="",$B39=""),0,SUMIF('DADOS BRUTOS'!$A$3:$A$500,$B39,'DADOS BRUTOS'!DQ$3:DQ$500)+IF($C39="",0,SUMIF('DADOS BRUTOS'!$A$3:$A$500,$C39,'DADOS BRUTOS'!DQ$3:DQ$500)))</f>
        <v/>
      </c>
      <c r="GR39" s="56">
        <f>IF(OR(GR$4="",$B39=""),0,SUMIF('DADOS BRUTOS'!$A$3:$A$500,$B39,'DADOS BRUTOS'!DR$3:DR$500)+IF($C39="",0,SUMIF('DADOS BRUTOS'!$A$3:$A$500,$C39,'DADOS BRUTOS'!DR$3:DR$500)))</f>
        <v/>
      </c>
      <c r="GS39" s="56">
        <f>IF(OR(GS$4="",$B39=""),0,SUMIF('DADOS BRUTOS'!$A$3:$A$500,$B39,'DADOS BRUTOS'!DS$3:DS$500)+IF($C39="",0,SUMIF('DADOS BRUTOS'!$A$3:$A$500,$C39,'DADOS BRUTOS'!DS$3:DS$500)))</f>
        <v/>
      </c>
      <c r="GT39" s="56">
        <f>IF(OR(GT$4="",$B39=""),0,SUMIF('DADOS BRUTOS'!$A$3:$A$500,$B39,'DADOS BRUTOS'!DT$3:DT$500)+IF($C39="",0,SUMIF('DADOS BRUTOS'!$A$3:$A$500,$C39,'DADOS BRUTOS'!DT$3:DT$500)))</f>
        <v/>
      </c>
      <c r="GU39" s="56">
        <f>IF(OR(GU$4="",$B39=""),0,SUMIF('DADOS BRUTOS'!$A$3:$A$500,$B39,'DADOS BRUTOS'!DU$3:DU$500)+IF($C39="",0,SUMIF('DADOS BRUTOS'!$A$3:$A$500,$C39,'DADOS BRUTOS'!DU$3:DU$500)))</f>
        <v/>
      </c>
      <c r="GV39" s="56">
        <f>IF(OR(GV$4="",$B39=""),0,SUMIF('DADOS BRUTOS'!$A$3:$A$500,$B39,'DADOS BRUTOS'!DV$3:DV$500)+IF($C39="",0,SUMIF('DADOS BRUTOS'!$A$3:$A$500,$C39,'DADOS BRUTOS'!DV$3:DV$500)))</f>
        <v/>
      </c>
      <c r="GW39" s="56">
        <f>IF(OR(GW$4="",$B39=""),0,SUMIF('DADOS BRUTOS'!$A$3:$A$500,$B39,'DADOS BRUTOS'!DW$3:DW$500)+IF($C39="",0,SUMIF('DADOS BRUTOS'!$A$3:$A$500,$C39,'DADOS BRUTOS'!DW$3:DW$500)))</f>
        <v/>
      </c>
      <c r="GX39" s="56">
        <f>IF(OR(GX$4="",$B39=""),0,SUMIF('DADOS BRUTOS'!$A$3:$A$500,$B39,'DADOS BRUTOS'!DX$3:DX$500)+IF($C39="",0,SUMIF('DADOS BRUTOS'!$A$3:$A$500,$C39,'DADOS BRUTOS'!DX$3:DX$500)))</f>
        <v/>
      </c>
      <c r="GY39" s="56">
        <f>IF(OR(GY$4="",$B39=""),0,SUMIF('DADOS BRUTOS'!$A$3:$A$500,$B39,'DADOS BRUTOS'!DY$3:DY$500)+IF($C39="",0,SUMIF('DADOS BRUTOS'!$A$3:$A$500,$C39,'DADOS BRUTOS'!DY$3:DY$500)))</f>
        <v/>
      </c>
      <c r="GZ39" s="56">
        <f>IF(OR(GZ$4="",$B39=""),0,SUMIF('DADOS BRUTOS'!$A$3:$A$500,$B39,'DADOS BRUTOS'!DZ$3:DZ$500)+IF($C39="",0,SUMIF('DADOS BRUTOS'!$A$3:$A$500,$C39,'DADOS BRUTOS'!DZ$3:DZ$500)))</f>
        <v/>
      </c>
      <c r="HA39" s="56">
        <f>IF(OR(HA$4="",$B39=""),0,SUMIF('DADOS BRUTOS'!$A$3:$A$500,$B39,'DADOS BRUTOS'!EA$3:EA$500)+IF($C39="",0,SUMIF('DADOS BRUTOS'!$A$3:$A$500,$C39,'DADOS BRUTOS'!EA$3:EA$500)))</f>
        <v/>
      </c>
      <c r="HB39" s="56">
        <f>IF(OR(HB$4="",$B39=""),0,SUMIF('DADOS BRUTOS'!$A$3:$A$500,$B39,'DADOS BRUTOS'!EB$3:EB$500)+IF($C39="",0,SUMIF('DADOS BRUTOS'!$A$3:$A$500,$C39,'DADOS BRUTOS'!EB$3:EB$500)))</f>
        <v/>
      </c>
      <c r="HC39" s="56">
        <f>IF(OR(HC$4="",$B39=""),0,SUMIF('DADOS BRUTOS'!$A$3:$A$500,$B39,'DADOS BRUTOS'!EC$3:EC$500)+IF($C39="",0,SUMIF('DADOS BRUTOS'!$A$3:$A$500,$C39,'DADOS BRUTOS'!EC$3:EC$500)))</f>
        <v/>
      </c>
      <c r="HD39" s="56">
        <f>IF(OR(HD$4="",$B39=""),0,SUMIF('DADOS BRUTOS'!$A$3:$A$500,$B39,'DADOS BRUTOS'!ED$3:ED$500)+IF($C39="",0,SUMIF('DADOS BRUTOS'!$A$3:$A$500,$C39,'DADOS BRUTOS'!ED$3:ED$500)))</f>
        <v/>
      </c>
      <c r="HE39" s="56">
        <f>IF(OR(HE$4="",$B39=""),0,SUMIF('DADOS BRUTOS'!$A$3:$A$500,$B39,'DADOS BRUTOS'!EE$3:EE$500)+IF($C39="",0,SUMIF('DADOS BRUTOS'!$A$3:$A$500,$C39,'DADOS BRUTOS'!EE$3:EE$500)))</f>
        <v/>
      </c>
      <c r="HF39" s="56">
        <f>IF(OR(HF$4="",$B39=""),0,SUMIF('DADOS BRUTOS'!$A$3:$A$500,$B39,'DADOS BRUTOS'!EF$3:EF$500)+IF($C39="",0,SUMIF('DADOS BRUTOS'!$A$3:$A$500,$C39,'DADOS BRUTOS'!EF$3:EF$500)))</f>
        <v/>
      </c>
      <c r="HG39" s="56">
        <f>IF(OR(HG$4="",$B39=""),0,SUMIF('DADOS BRUTOS'!$A$3:$A$500,$B39,'DADOS BRUTOS'!EG$3:EG$500)+IF($C39="",0,SUMIF('DADOS BRUTOS'!$A$3:$A$500,$C39,'DADOS BRUTOS'!EG$3:EG$500)))</f>
        <v/>
      </c>
      <c r="HH39" s="56">
        <f>IF(OR(HH$4="",$B39=""),0,SUMIF('DADOS BRUTOS'!$A$3:$A$500,$B39,'DADOS BRUTOS'!EH$3:EH$500)+IF($C39="",0,SUMIF('DADOS BRUTOS'!$A$3:$A$500,$C39,'DADOS BRUTOS'!EH$3:EH$500)))</f>
        <v/>
      </c>
      <c r="HI39" s="56">
        <f>IF(OR(HI$4="",$B39=""),0,SUMIF('DADOS BRUTOS'!$A$3:$A$500,$B39,'DADOS BRUTOS'!EI$3:EI$500)+IF($C39="",0,SUMIF('DADOS BRUTOS'!$A$3:$A$500,$C39,'DADOS BRUTOS'!EI$3:EI$500)))</f>
        <v/>
      </c>
      <c r="HJ39" s="56">
        <f>IF(OR(HJ$4="",$B39=""),0,SUMIF('DADOS BRUTOS'!$A$3:$A$500,$B39,'DADOS BRUTOS'!EJ$3:EJ$500)+IF($C39="",0,SUMIF('DADOS BRUTOS'!$A$3:$A$500,$C39,'DADOS BRUTOS'!EJ$3:EJ$500)))</f>
        <v/>
      </c>
      <c r="HK39" s="56">
        <f>IF(OR(HK$4="",$B39=""),0,SUMIF('DADOS BRUTOS'!$A$3:$A$500,$B39,'DADOS BRUTOS'!EK$3:EK$500)+IF($C39="",0,SUMIF('DADOS BRUTOS'!$A$3:$A$500,$C39,'DADOS BRUTOS'!EK$3:EK$500)))</f>
        <v/>
      </c>
      <c r="HL39" s="56">
        <f>IF(OR(HL$4="",$B39=""),0,SUMIF('DADOS BRUTOS'!$A$3:$A$500,$B39,'DADOS BRUTOS'!EL$3:EL$500)+IF($C39="",0,SUMIF('DADOS BRUTOS'!$A$3:$A$500,$C39,'DADOS BRUTOS'!EL$3:EL$500)))</f>
        <v/>
      </c>
      <c r="HM39" s="56">
        <f>IF(OR(HM$4="",$B39=""),0,SUMIF('DADOS BRUTOS'!$A$3:$A$500,$B39,'DADOS BRUTOS'!EM$3:EM$500)+IF($C39="",0,SUMIF('DADOS BRUTOS'!$A$3:$A$500,$C39,'DADOS BRUTOS'!EM$3:EM$500)))</f>
        <v/>
      </c>
      <c r="HN39" s="56">
        <f>IF(OR(HN$4="",$B39=""),0,SUMIF('DADOS BRUTOS'!$A$3:$A$500,$B39,'DADOS BRUTOS'!EN$3:EN$500)+IF($C39="",0,SUMIF('DADOS BRUTOS'!$A$3:$A$500,$C39,'DADOS BRUTOS'!EN$3:EN$500)))</f>
        <v/>
      </c>
      <c r="HO39" s="56">
        <f>IF(OR(HO$4="",$B39=""),0,SUMIF('DADOS BRUTOS'!$A$3:$A$500,$B39,'DADOS BRUTOS'!EO$3:EO$500)+IF($C39="",0,SUMIF('DADOS BRUTOS'!$A$3:$A$500,$C39,'DADOS BRUTOS'!EO$3:EO$500)))</f>
        <v/>
      </c>
      <c r="HP39" s="56">
        <f>IF(OR(HP$4="",$B39=""),0,SUMIF('DADOS BRUTOS'!$A$3:$A$500,$B39,'DADOS BRUTOS'!EP$3:EP$500)+IF($C39="",0,SUMIF('DADOS BRUTOS'!$A$3:$A$500,$C39,'DADOS BRUTOS'!EP$3:EP$500)))</f>
        <v/>
      </c>
      <c r="HQ39" s="56">
        <f>IF(OR(HQ$4="",$B39=""),0,SUMIF('DADOS BRUTOS'!$A$3:$A$500,$B39,'DADOS BRUTOS'!EQ$3:EQ$500)+IF($C39="",0,SUMIF('DADOS BRUTOS'!$A$3:$A$500,$C39,'DADOS BRUTOS'!EQ$3:EQ$500)))</f>
        <v/>
      </c>
      <c r="HR39" s="56">
        <f>IF(OR(HR$4="",$B39=""),0,SUMIF('DADOS BRUTOS'!$A$3:$A$500,$B39,'DADOS BRUTOS'!ER$3:ER$500)+IF($C39="",0,SUMIF('DADOS BRUTOS'!$A$3:$A$500,$C39,'DADOS BRUTOS'!ER$3:ER$500)))</f>
        <v/>
      </c>
      <c r="HS39" s="56">
        <f>IF(OR(HS$4="",$B39=""),0,SUMIF('DADOS BRUTOS'!$A$3:$A$500,$B39,'DADOS BRUTOS'!ES$3:ES$500)+IF($C39="",0,SUMIF('DADOS BRUTOS'!$A$3:$A$500,$C39,'DADOS BRUTOS'!ES$3:ES$500)))</f>
        <v/>
      </c>
      <c r="HT39" s="56">
        <f>IF(OR(HT$4="",$B39=""),0,SUMIF('DADOS BRUTOS'!$A$3:$A$500,$B39,'DADOS BRUTOS'!ET$3:ET$500)+IF($C39="",0,SUMIF('DADOS BRUTOS'!$A$3:$A$500,$C39,'DADOS BRUTOS'!ET$3:ET$500)))</f>
        <v/>
      </c>
      <c r="HU39" s="56">
        <f>IF(OR(HU$4="",$B39=""),0,SUMIF('DADOS BRUTOS'!$A$3:$A$500,$B39,'DADOS BRUTOS'!EU$3:EU$500)+IF($C39="",0,SUMIF('DADOS BRUTOS'!$A$3:$A$500,$C39,'DADOS BRUTOS'!EU$3:EU$500)))</f>
        <v/>
      </c>
      <c r="HV39" s="56">
        <f>IF(OR(HV$4="",$B39=""),0,SUMIF('DADOS BRUTOS'!$A$3:$A$500,$B39,'DADOS BRUTOS'!EV$3:EV$500)+IF($C39="",0,SUMIF('DADOS BRUTOS'!$A$3:$A$500,$C39,'DADOS BRUTOS'!EV$3:EV$500)))</f>
        <v/>
      </c>
      <c r="HW39" s="56">
        <f>IF(OR(HW$4="",$B39=""),0,SUMIF('DADOS BRUTOS'!$A$3:$A$500,$B39,'DADOS BRUTOS'!EW$3:EW$500)+IF($C39="",0,SUMIF('DADOS BRUTOS'!$A$3:$A$500,$C39,'DADOS BRUTOS'!EW$3:EW$500)))</f>
        <v/>
      </c>
      <c r="HX39" s="56">
        <f>IF(OR(HX$4="",$B39=""),0,SUMIF('DADOS BRUTOS'!$A$3:$A$500,$B39,'DADOS BRUTOS'!EX$3:EX$500)+IF($C39="",0,SUMIF('DADOS BRUTOS'!$A$3:$A$500,$C39,'DADOS BRUTOS'!EX$3:EX$500)))</f>
        <v/>
      </c>
      <c r="HY39" s="56">
        <f>IF(OR(HY$4="",$B39=""),0,SUMIF('DADOS BRUTOS'!$A$3:$A$500,$B39,'DADOS BRUTOS'!EY$3:EY$500)+IF($C39="",0,SUMIF('DADOS BRUTOS'!$A$3:$A$500,$C39,'DADOS BRUTOS'!EY$3:EY$500)))</f>
        <v/>
      </c>
      <c r="HZ39" s="56">
        <f>IF(OR(HZ$4="",$B39=""),0,SUMIF('DADOS BRUTOS'!$A$3:$A$500,$B39,'DADOS BRUTOS'!EZ$3:EZ$500)+IF($C39="",0,SUMIF('DADOS BRUTOS'!$A$3:$A$500,$C39,'DADOS BRUTOS'!EZ$3:EZ$500)))</f>
        <v/>
      </c>
      <c r="IA39" s="56">
        <f>IF(OR(IA$4="",$B39=""),0,SUMIF('DADOS BRUTOS'!$A$3:$A$500,$B39,'DADOS BRUTOS'!FA$3:FA$500)+IF($C39="",0,SUMIF('DADOS BRUTOS'!$A$3:$A$500,$C39,'DADOS BRUTOS'!FA$3:FA$500)))</f>
        <v/>
      </c>
      <c r="IB39" s="56">
        <f>IF(OR(IB$4="",$B39=""),0,SUMIF('DADOS BRUTOS'!$A$3:$A$500,$B39,'DADOS BRUTOS'!FB$3:FB$500)+IF($C39="",0,SUMIF('DADOS BRUTOS'!$A$3:$A$500,$C39,'DADOS BRUTOS'!FB$3:FB$500)))</f>
        <v/>
      </c>
      <c r="IC39" s="56">
        <f>IF(OR(IC$4="",$B39=""),0,SUMIF('DADOS BRUTOS'!$A$3:$A$500,$B39,'DADOS BRUTOS'!FC$3:FC$500)+IF($C39="",0,SUMIF('DADOS BRUTOS'!$A$3:$A$500,$C39,'DADOS BRUTOS'!FC$3:FC$500)))</f>
        <v/>
      </c>
      <c r="ID39" s="56">
        <f>IF(OR(ID$4="",$B39=""),0,SUMIF('DADOS BRUTOS'!$A$3:$A$500,$B39,'DADOS BRUTOS'!FD$3:FD$500)+IF($C39="",0,SUMIF('DADOS BRUTOS'!$A$3:$A$500,$C39,'DADOS BRUTOS'!FD$3:FD$500)))</f>
        <v/>
      </c>
      <c r="IE39" s="56">
        <f>IF(OR(IE$4="",$B39=""),0,SUMIF('DADOS BRUTOS'!$A$3:$A$500,$B39,'DADOS BRUTOS'!FE$3:FE$500)+IF($C39="",0,SUMIF('DADOS BRUTOS'!$A$3:$A$500,$C39,'DADOS BRUTOS'!FE$3:FE$500)))</f>
        <v/>
      </c>
      <c r="IF39" s="56">
        <f>IF(OR(IF$4="",$B39=""),0,SUMIF('DADOS BRUTOS'!$A$3:$A$500,$B39,'DADOS BRUTOS'!FF$3:FF$500)+IF($C39="",0,SUMIF('DADOS BRUTOS'!$A$3:$A$500,$C39,'DADOS BRUTOS'!FF$3:FF$500)))</f>
        <v/>
      </c>
      <c r="IG39" s="56">
        <f>IF(OR(IG$4="",$B39=""),0,SUMIF('DADOS BRUTOS'!$A$3:$A$500,$B39,'DADOS BRUTOS'!FG$3:FG$500)+IF($C39="",0,SUMIF('DADOS BRUTOS'!$A$3:$A$500,$C39,'DADOS BRUTOS'!FG$3:FG$500)))</f>
        <v/>
      </c>
      <c r="IH39" s="56">
        <f>IF(OR(IH$4="",$B39=""),0,SUMIF('DADOS BRUTOS'!$A$3:$A$500,$B39,'DADOS BRUTOS'!FH$3:FH$500)+IF($C39="",0,SUMIF('DADOS BRUTOS'!$A$3:$A$500,$C39,'DADOS BRUTOS'!FH$3:FH$500)))</f>
        <v/>
      </c>
      <c r="II39" s="56">
        <f>IF(OR(II$4="",$B39=""),0,SUMIF('DADOS BRUTOS'!$A$3:$A$500,$B39,'DADOS BRUTOS'!FI$3:FI$500)+IF($C39="",0,SUMIF('DADOS BRUTOS'!$A$3:$A$500,$C39,'DADOS BRUTOS'!FI$3:FI$500)))</f>
        <v/>
      </c>
      <c r="IJ39" s="56">
        <f>IF(OR(IJ$4="",$B39=""),0,SUMIF('DADOS BRUTOS'!$A$3:$A$500,$B39,'DADOS BRUTOS'!FJ$3:FJ$500)+IF($C39="",0,SUMIF('DADOS BRUTOS'!$A$3:$A$500,$C39,'DADOS BRUTOS'!FJ$3:FJ$500)))</f>
        <v/>
      </c>
      <c r="IK39" s="56">
        <f>IF(OR(IK$4="",$B39=""),0,SUMIF('DADOS BRUTOS'!$A$3:$A$500,$B39,'DADOS BRUTOS'!FK$3:FK$500)+IF($C39="",0,SUMIF('DADOS BRUTOS'!$A$3:$A$500,$C39,'DADOS BRUTOS'!FK$3:FK$500)))</f>
        <v/>
      </c>
      <c r="IL39" s="56">
        <f>IF(OR(IL$4="",$B39=""),0,SUMIF('DADOS BRUTOS'!$A$3:$A$500,$B39,'DADOS BRUTOS'!FL$3:FL$500)+IF($C39="",0,SUMIF('DADOS BRUTOS'!$A$3:$A$500,$C39,'DADOS BRUTOS'!FL$3:FL$500)))</f>
        <v/>
      </c>
      <c r="IM39" s="56">
        <f>IF(OR(IM$4="",$B39=""),0,SUMIF('DADOS BRUTOS'!$A$3:$A$500,$B39,'DADOS BRUTOS'!FM$3:FM$500)+IF($C39="",0,SUMIF('DADOS BRUTOS'!$A$3:$A$500,$C39,'DADOS BRUTOS'!FM$3:FM$500)))</f>
        <v/>
      </c>
      <c r="IN39" s="56">
        <f>IF(OR(IN$4="",$B39=""),0,SUMIF('DADOS BRUTOS'!$A$3:$A$500,$B39,'DADOS BRUTOS'!FN$3:FN$500)+IF($C39="",0,SUMIF('DADOS BRUTOS'!$A$3:$A$500,$C39,'DADOS BRUTOS'!FN$3:FN$500)))</f>
        <v/>
      </c>
      <c r="IO39" s="56">
        <f>IF(OR(IO$4="",$B39=""),0,SUMIF('DADOS BRUTOS'!$A$3:$A$500,$B39,'DADOS BRUTOS'!FO$3:FO$500)+IF($C39="",0,SUMIF('DADOS BRUTOS'!$A$3:$A$500,$C39,'DADOS BRUTOS'!FO$3:FO$500)))</f>
        <v/>
      </c>
      <c r="IP39" s="56">
        <f>IF(OR(IP$4="",$B39=""),0,SUMIF('DADOS BRUTOS'!$A$3:$A$500,$B39,'DADOS BRUTOS'!FP$3:FP$500)+IF($C39="",0,SUMIF('DADOS BRUTOS'!$A$3:$A$500,$C39,'DADOS BRUTOS'!FP$3:FP$500)))</f>
        <v/>
      </c>
      <c r="IQ39" s="56">
        <f>IF(OR(IQ$4="",$B39=""),0,SUMIF('DADOS BRUTOS'!$A$3:$A$500,$B39,'DADOS BRUTOS'!FQ$3:FQ$500)+IF($C39="",0,SUMIF('DADOS BRUTOS'!$A$3:$A$500,$C39,'DADOS BRUTOS'!FQ$3:FQ$500)))</f>
        <v/>
      </c>
      <c r="IR39" s="56">
        <f>IF(OR(IR$4="",$B39=""),0,SUMIF('DADOS BRUTOS'!$A$3:$A$500,$B39,'DADOS BRUTOS'!FR$3:FR$500)+IF($C39="",0,SUMIF('DADOS BRUTOS'!$A$3:$A$500,$C39,'DADOS BRUTOS'!FR$3:FR$500)))</f>
        <v/>
      </c>
      <c r="IS39" s="56">
        <f>IF(OR(IS$4="",$B39=""),0,SUMIF('DADOS BRUTOS'!$A$3:$A$500,$B39,'DADOS BRUTOS'!FS$3:FS$500)+IF($C39="",0,SUMIF('DADOS BRUTOS'!$A$3:$A$500,$C39,'DADOS BRUTOS'!FS$3:FS$500)))</f>
        <v/>
      </c>
      <c r="IT39" s="56">
        <f>IF(OR(IT$4="",$B39=""),0,SUMIF('DADOS BRUTOS'!$A$3:$A$500,$B39,'DADOS BRUTOS'!FT$3:FT$500)+IF($C39="",0,SUMIF('DADOS BRUTOS'!$A$3:$A$500,$C39,'DADOS BRUTOS'!FT$3:FT$500)))</f>
        <v/>
      </c>
      <c r="IU39" s="56">
        <f>IF(OR(IU$4="",$B39=""),0,SUMIF('DADOS BRUTOS'!$A$3:$A$500,$B39,'DADOS BRUTOS'!FU$3:FU$500)+IF($C39="",0,SUMIF('DADOS BRUTOS'!$A$3:$A$500,$C39,'DADOS BRUTOS'!FU$3:FU$500)))</f>
        <v/>
      </c>
      <c r="IV39" s="56">
        <f>IF(OR(IV$4="",$B39=""),0,SUMIF('DADOS BRUTOS'!$A$3:$A$500,$B39,'DADOS BRUTOS'!FV$3:FV$500)+IF($C39="",0,SUMIF('DADOS BRUTOS'!$A$3:$A$500,$C39,'DADOS BRUTOS'!FV$3:FV$500)))</f>
        <v/>
      </c>
      <c r="IW39" s="56">
        <f>IF(OR(IW$4="",$B39=""),0,SUMIF('DADOS BRUTOS'!$A$3:$A$500,$B39,'DADOS BRUTOS'!FW$3:FW$500)+IF($C39="",0,SUMIF('DADOS BRUTOS'!$A$3:$A$500,$C39,'DADOS BRUTOS'!FW$3:FW$500)))</f>
        <v/>
      </c>
      <c r="IX39" s="56">
        <f>IF(OR(IX$4="",$B39=""),0,SUMIF('DADOS BRUTOS'!$A$3:$A$500,$B39,'DADOS BRUTOS'!FX$3:FX$500)+IF($C39="",0,SUMIF('DADOS BRUTOS'!$A$3:$A$500,$C39,'DADOS BRUTOS'!FX$3:FX$500)))</f>
        <v/>
      </c>
      <c r="IY39" s="56">
        <f>IF(OR(IY$4="",$B39=""),0,SUMIF('DADOS BRUTOS'!$A$3:$A$500,$B39,'DADOS BRUTOS'!FY$3:FY$500)+IF($C39="",0,SUMIF('DADOS BRUTOS'!$A$3:$A$500,$C39,'DADOS BRUTOS'!FY$3:FY$500)))</f>
        <v/>
      </c>
      <c r="IZ39" s="56">
        <f>IF(OR(IZ$4="",$B39=""),0,SUMIF('DADOS BRUTOS'!$A$3:$A$500,$B39,'DADOS BRUTOS'!FZ$3:FZ$500)+IF($C39="",0,SUMIF('DADOS BRUTOS'!$A$3:$A$500,$C39,'DADOS BRUTOS'!FZ$3:FZ$500)))</f>
        <v/>
      </c>
      <c r="JA39" s="56">
        <f>IF(OR(JA$4="",$B39=""),0,SUMIF('DADOS BRUTOS'!$A$3:$A$500,$B39,'DADOS BRUTOS'!GA$3:GA$500)+IF($C39="",0,SUMIF('DADOS BRUTOS'!$A$3:$A$500,$C39,'DADOS BRUTOS'!GA$3:GA$500)))</f>
        <v/>
      </c>
      <c r="JB39" s="56">
        <f>IF(OR(JB$4="",$B39=""),0,SUMIF('DADOS BRUTOS'!$A$3:$A$500,$B39,'DADOS BRUTOS'!GB$3:GB$500)+IF($C39="",0,SUMIF('DADOS BRUTOS'!$A$3:$A$500,$C39,'DADOS BRUTOS'!GB$3:GB$500)))</f>
        <v/>
      </c>
      <c r="JC39" s="56">
        <f>IF(OR(JC$4="",$B39=""),0,SUMIF('DADOS BRUTOS'!$A$3:$A$500,$B39,'DADOS BRUTOS'!GC$3:GC$500)+IF($C39="",0,SUMIF('DADOS BRUTOS'!$A$3:$A$500,$C39,'DADOS BRUTOS'!GC$3:GC$500)))</f>
        <v/>
      </c>
      <c r="JD39" s="56">
        <f>IF(OR(JD$4="",$B39=""),0,SUMIF('DADOS BRUTOS'!$A$3:$A$500,$B39,'DADOS BRUTOS'!GD$3:GD$500)+IF($C39="",0,SUMIF('DADOS BRUTOS'!$A$3:$A$500,$C39,'DADOS BRUTOS'!GD$3:GD$500)))</f>
        <v/>
      </c>
      <c r="JE39" s="56">
        <f>IF(OR(JE$4="",$B39=""),0,SUMIF('DADOS BRUTOS'!$A$3:$A$500,$B39,'DADOS BRUTOS'!GE$3:GE$500)+IF($C39="",0,SUMIF('DADOS BRUTOS'!$A$3:$A$500,$C39,'DADOS BRUTOS'!GE$3:GE$500)))</f>
        <v/>
      </c>
      <c r="JF39" s="56">
        <f>IF(OR(JF$4="",$B39=""),0,SUMIF('DADOS BRUTOS'!$A$3:$A$500,$B39,'DADOS BRUTOS'!GF$3:GF$500)+IF($C39="",0,SUMIF('DADOS BRUTOS'!$A$3:$A$500,$C39,'DADOS BRUTOS'!GF$3:GF$500)))</f>
        <v/>
      </c>
      <c r="JG39" s="56">
        <f>IF(OR(JG$4="",$B39=""),0,SUMIF('DADOS BRUTOS'!$A$3:$A$500,$B39,'DADOS BRUTOS'!GG$3:GG$500)+IF($C39="",0,SUMIF('DADOS BRUTOS'!$A$3:$A$500,$C39,'DADOS BRUTOS'!GG$3:GG$500)))</f>
        <v/>
      </c>
      <c r="JH39" s="56">
        <f>IF(OR(JH$4="",$B39=""),0,SUMIF('DADOS BRUTOS'!$A$3:$A$500,$B39,'DADOS BRUTOS'!GH$3:GH$500)+IF($C39="",0,SUMIF('DADOS BRUTOS'!$A$3:$A$500,$C39,'DADOS BRUTOS'!GH$3:GH$500)))</f>
        <v/>
      </c>
      <c r="JI39" s="56">
        <f>IF(OR(JI$4="",$B39=""),0,SUMIF('DADOS BRUTOS'!$A$3:$A$500,$B39,'DADOS BRUTOS'!GI$3:GI$500)+IF($C39="",0,SUMIF('DADOS BRUTOS'!$A$3:$A$500,$C39,'DADOS BRUTOS'!GI$3:GI$500)))</f>
        <v/>
      </c>
      <c r="JJ39" s="56">
        <f>IF(OR(JJ$4="",$B39=""),0,SUMIF('DADOS BRUTOS'!$A$3:$A$500,$B39,'DADOS BRUTOS'!GJ$3:GJ$500)+IF($C39="",0,SUMIF('DADOS BRUTOS'!$A$3:$A$500,$C39,'DADOS BRUTOS'!GJ$3:GJ$500)))</f>
        <v/>
      </c>
      <c r="JK39" s="56">
        <f>IF(OR(JK$4="",$B39=""),0,SUMIF('DADOS BRUTOS'!$A$3:$A$500,$B39,'DADOS BRUTOS'!GK$3:GK$500)+IF($C39="",0,SUMIF('DADOS BRUTOS'!$A$3:$A$500,$C39,'DADOS BRUTOS'!GK$3:GK$500)))</f>
        <v/>
      </c>
      <c r="JL39" s="56">
        <f>IF(OR(JL$4="",$B39=""),0,SUMIF('DADOS BRUTOS'!$A$3:$A$500,$B39,'DADOS BRUTOS'!GL$3:GL$500)+IF($C39="",0,SUMIF('DADOS BRUTOS'!$A$3:$A$500,$C39,'DADOS BRUTOS'!GL$3:GL$500)))</f>
        <v/>
      </c>
      <c r="JM39" s="56">
        <f>IF(OR(JM$4="",$B39=""),0,SUMIF('DADOS BRUTOS'!$A$3:$A$500,$B39,'DADOS BRUTOS'!GM$3:GM$500)+IF($C39="",0,SUMIF('DADOS BRUTOS'!$A$3:$A$500,$C39,'DADOS BRUTOS'!GM$3:GM$500)))</f>
        <v/>
      </c>
      <c r="JN39" s="56">
        <f>IF(OR(JN$4="",$B39=""),0,SUMIF('DADOS BRUTOS'!$A$3:$A$500,$B39,'DADOS BRUTOS'!GN$3:GN$500)+IF($C39="",0,SUMIF('DADOS BRUTOS'!$A$3:$A$500,$C39,'DADOS BRUTOS'!GN$3:GN$500)))</f>
        <v/>
      </c>
      <c r="JO39" s="56">
        <f>IF(OR(JO$4="",$B39=""),0,SUMIF('DADOS BRUTOS'!$A$3:$A$500,$B39,'DADOS BRUTOS'!GO$3:GO$500)+IF($C39="",0,SUMIF('DADOS BRUTOS'!$A$3:$A$500,$C39,'DADOS BRUTOS'!GO$3:GO$500)))</f>
        <v/>
      </c>
      <c r="JP39" s="56">
        <f>IF(OR(JP$4="",$B39=""),0,SUMIF('DADOS BRUTOS'!$A$3:$A$500,$B39,'DADOS BRUTOS'!GP$3:GP$500)+IF($C39="",0,SUMIF('DADOS BRUTOS'!$A$3:$A$500,$C39,'DADOS BRUTOS'!GP$3:GP$500)))</f>
        <v/>
      </c>
      <c r="JQ39" s="56">
        <f>IF(OR(JQ$4="",$B39=""),0,SUMIF('DADOS BRUTOS'!$A$3:$A$500,$B39,'DADOS BRUTOS'!GQ$3:GQ$500)+IF($C39="",0,SUMIF('DADOS BRUTOS'!$A$3:$A$500,$C39,'DADOS BRUTOS'!GQ$3:GQ$500)))</f>
        <v/>
      </c>
      <c r="JR39" s="56">
        <f>IF(OR(JR$4="",$B39=""),0,SUMIF('DADOS BRUTOS'!$A$3:$A$500,$B39,'DADOS BRUTOS'!GR$3:GR$500)+IF($C39="",0,SUMIF('DADOS BRUTOS'!$A$3:$A$500,$C39,'DADOS BRUTOS'!GR$3:GR$500)))</f>
        <v/>
      </c>
      <c r="JS39" s="56">
        <f>IF(OR(JS$4="",$B39=""),0,SUMIF('DADOS BRUTOS'!$A$3:$A$500,$B39,'DADOS BRUTOS'!GS$3:GS$500)+IF($C39="",0,SUMIF('DADOS BRUTOS'!$A$3:$A$500,$C39,'DADOS BRUTOS'!GS$3:GS$500)))</f>
        <v/>
      </c>
    </row>
    <row r="40">
      <c r="A40" s="34">
        <f>'VALOR POR PL'!D46</f>
        <v/>
      </c>
      <c r="B40" s="21" t="inlineStr">
        <is>
          <t>PAISAGISMO</t>
        </is>
      </c>
      <c r="C40" s="21" t="n"/>
      <c r="D40" s="17">
        <f>SUMIF($CB$4:$JS$4,"&lt;="&amp;D$4,$CB40:$JS40)</f>
        <v/>
      </c>
      <c r="E40" s="17">
        <f>SUMIF($CB$4:$JS$4,E$4,$CB40:$JS40)</f>
        <v/>
      </c>
      <c r="F40" s="17">
        <f>SUMIF($CB$4:$JS$4,F$4,$CB40:$JS40)</f>
        <v/>
      </c>
      <c r="G40" s="17">
        <f>SUMIF($CB$4:$JS$4,G$4,$CB40:$JS40)</f>
        <v/>
      </c>
      <c r="H40" s="17">
        <f>SUMIF($CB$4:$JS$4,H$4,$CB40:$JS40)</f>
        <v/>
      </c>
      <c r="I40" s="17">
        <f>SUMIF($CB$4:$JS$4,I$4,$CB40:$JS40)</f>
        <v/>
      </c>
      <c r="J40" s="17">
        <f>SUMIF($CB$4:$JS$4,J$4,$CB40:$JS40)</f>
        <v/>
      </c>
      <c r="K40" s="17">
        <f>SUMIF($CB$4:$JS$4,K$4,$CB40:$JS40)</f>
        <v/>
      </c>
      <c r="L40" s="17">
        <f>SUMIF($CB$4:$JS$4,L$4,$CB40:$JS40)</f>
        <v/>
      </c>
      <c r="M40" s="17">
        <f>SUMIF($CB$4:$JS$4,M$4,$CB40:$JS40)</f>
        <v/>
      </c>
      <c r="N40" s="17">
        <f>SUMIF($CB$4:$JS$4,N$4,$CB40:$JS40)</f>
        <v/>
      </c>
      <c r="O40" s="17">
        <f>SUMIF($CB$4:$JS$4,O$4,$CB40:$JS40)</f>
        <v/>
      </c>
      <c r="P40" s="17">
        <f>SUMIF($CB$4:$JS$4,P$4,$CB40:$JS40)</f>
        <v/>
      </c>
      <c r="Q40" s="17">
        <f>SUMIF($CB$4:$JS$4,Q$4,$CB40:$JS40)</f>
        <v/>
      </c>
      <c r="R40" s="17">
        <f>SUMIF($CB$4:$JS$4,R$4,$CB40:$JS40)</f>
        <v/>
      </c>
      <c r="S40" s="17">
        <f>SUMIF($CB$4:$JS$4,S$4,$CB40:$JS40)</f>
        <v/>
      </c>
      <c r="T40" s="17">
        <f>SUMIF($CB$4:$JS$4,T$4,$CB40:$JS40)</f>
        <v/>
      </c>
      <c r="U40" s="17">
        <f>SUMIF($CB$4:$JS$4,U$4,$CB40:$JS40)</f>
        <v/>
      </c>
      <c r="V40" s="17">
        <f>SUMIF($CB$4:$JS$4,V$4,$CB40:$JS40)</f>
        <v/>
      </c>
      <c r="W40" s="17">
        <f>SUMIF($CB$4:$JS$4,W$4,$CB40:$JS40)</f>
        <v/>
      </c>
      <c r="X40" s="17">
        <f>SUMIF($CB$4:$JS$4,X$4,$CB40:$JS40)</f>
        <v/>
      </c>
      <c r="Y40" s="17">
        <f>SUMIF($CB$4:$JS$4,Y$4,$CB40:$JS40)</f>
        <v/>
      </c>
      <c r="Z40" s="17">
        <f>SUMIF($CB$4:$JS$4,Z$4,$CB40:$JS40)</f>
        <v/>
      </c>
      <c r="AA40" s="17">
        <f>SUMIF($CB$4:$JS$4,AA$4,$CB40:$JS40)</f>
        <v/>
      </c>
      <c r="AB40" s="17">
        <f>SUMIF($CB$4:$JS$4,AB$4,$CB40:$JS40)</f>
        <v/>
      </c>
      <c r="AC40" s="17">
        <f>SUMIF($CB$4:$JS$4,AC$4,$CB40:$JS40)</f>
        <v/>
      </c>
      <c r="AD40" s="17">
        <f>SUMIF($CB$4:$JS$4,AD$4,$CB40:$JS40)</f>
        <v/>
      </c>
      <c r="AE40" s="17">
        <f>SUMIF($CB$4:$JS$4,AE$4,$CB40:$JS40)</f>
        <v/>
      </c>
      <c r="AF40" s="17">
        <f>SUMIF($CB$4:$JS$4,AF$4,$CB40:$JS40)</f>
        <v/>
      </c>
      <c r="AG40" s="17">
        <f>SUMIF($CB$4:$JS$4,AG$4,$CB40:$JS40)</f>
        <v/>
      </c>
      <c r="AH40" s="17">
        <f>SUMIF($CB$4:$JS$4,AH$4,$CB40:$JS40)</f>
        <v/>
      </c>
      <c r="AI40" s="17">
        <f>SUMIF($CB$4:$JS$4,AI$4,$CB40:$JS40)</f>
        <v/>
      </c>
      <c r="AJ40" s="17">
        <f>SUMIF($CB$4:$JS$4,AJ$4,$CB40:$JS40)</f>
        <v/>
      </c>
      <c r="AK40" s="17">
        <f>SUMIF($CB$4:$JS$4,AK$4,$CB40:$JS40)</f>
        <v/>
      </c>
      <c r="AL40" s="17">
        <f>SUMIF($CB$4:$JS$4,AL$4,$CB40:$JS40)</f>
        <v/>
      </c>
      <c r="AM40" s="17">
        <f>SUMIF($CB$4:$JS$4,AM$4,$CB40:$JS40)</f>
        <v/>
      </c>
      <c r="AN40" s="17">
        <f>SUMIF($CB$4:$JS$4,AN$4,$CB40:$JS40)</f>
        <v/>
      </c>
      <c r="AO40" s="17">
        <f>SUMIF($CB$4:$JS$4,AO$4,$CB40:$JS40)</f>
        <v/>
      </c>
      <c r="AP40" s="17">
        <f>SUMIF($CB$4:$JS$4,AP$4,$CB40:$JS40)</f>
        <v/>
      </c>
      <c r="AQ40" s="17">
        <f>SUMIF($CB$4:$JS$4,AQ$4,$CB40:$JS40)</f>
        <v/>
      </c>
      <c r="AR40" s="17">
        <f>SUMIF($CB$4:$JS$4,AR$4,$CB40:$JS40)</f>
        <v/>
      </c>
      <c r="AS40" s="17">
        <f>SUMIF($CB$4:$JS$4,AS$4,$CB40:$JS40)</f>
        <v/>
      </c>
      <c r="AT40" s="17">
        <f>SUMIF($CB$4:$JS$4,AT$4,$CB40:$JS40)</f>
        <v/>
      </c>
      <c r="AU40" s="17">
        <f>SUMIF($CB$4:$JS$4,AU$4,$CB40:$JS40)</f>
        <v/>
      </c>
      <c r="AV40" s="17">
        <f>SUMIF($CB$4:$JS$4,AV$4,$CB40:$JS40)</f>
        <v/>
      </c>
      <c r="AW40" s="17">
        <f>SUMIF($CB$4:$JS$4,AW$4,$CB40:$JS40)</f>
        <v/>
      </c>
      <c r="AX40" s="17">
        <f>SUMIF($CB$4:$JS$4,AX$4,$CB40:$JS40)</f>
        <v/>
      </c>
      <c r="AY40" s="17">
        <f>SUMIF($CB$4:$JS$4,AY$4,$CB40:$JS40)</f>
        <v/>
      </c>
      <c r="AZ40" s="17">
        <f>SUMIF($CB$4:$JS$4,AZ$4,$CB40:$JS40)</f>
        <v/>
      </c>
      <c r="BA40" s="17">
        <f>SUMIF($CB$4:$JS$4,BA$4,$CB40:$JS40)</f>
        <v/>
      </c>
      <c r="BB40" s="17">
        <f>SUMIF($CB$4:$JS$4,BB$4,$CB40:$JS40)</f>
        <v/>
      </c>
      <c r="BC40" s="17">
        <f>SUMIF($CB$4:$JS$4,BC$4,$CB40:$JS40)</f>
        <v/>
      </c>
      <c r="BD40" s="17">
        <f>SUMIF($CB$4:$JS$4,BD$4,$CB40:$JS40)</f>
        <v/>
      </c>
      <c r="BE40" s="17">
        <f>SUMIF($CB$4:$JS$4,BE$4,$CB40:$JS40)</f>
        <v/>
      </c>
      <c r="BF40" s="17">
        <f>SUMIF($CB$4:$JS$4,BF$4,$CB40:$JS40)</f>
        <v/>
      </c>
      <c r="BG40" s="17">
        <f>SUMIF($CB$4:$JS$4,BG$4,$CB40:$JS40)</f>
        <v/>
      </c>
      <c r="BH40" s="17">
        <f>SUMIF($CB$4:$JS$4,BH$4,$CB40:$JS40)</f>
        <v/>
      </c>
      <c r="BI40" s="17">
        <f>SUMIF($CB$4:$JS$4,BI$4,$CB40:$JS40)</f>
        <v/>
      </c>
      <c r="BJ40" s="17">
        <f>SUMIF($CB$4:$JS$4,BJ$4,$CB40:$JS40)</f>
        <v/>
      </c>
      <c r="BK40" s="17">
        <f>SUMIF($CB$4:$JS$4,BK$4,$CB40:$JS40)</f>
        <v/>
      </c>
      <c r="BL40" s="17">
        <f>SUMIF($CB$4:$JS$4,BL$4,$CB40:$JS40)</f>
        <v/>
      </c>
      <c r="BM40" s="17">
        <f>SUMIF($CB$4:$JS$4,BM$4,$CB40:$JS40)</f>
        <v/>
      </c>
      <c r="BN40" s="17">
        <f>SUMIF($CB$4:$JS$4,BN$4,$CB40:$JS40)</f>
        <v/>
      </c>
      <c r="BO40" s="17">
        <f>SUMIF($CB$4:$JS$4,BO$4,$CB40:$JS40)</f>
        <v/>
      </c>
      <c r="BP40" s="17">
        <f>SUMIF($CB$4:$JS$4,BP$4,$CB40:$JS40)</f>
        <v/>
      </c>
      <c r="BQ40" s="17">
        <f>SUMIF($CB$4:$JS$4,BQ$4,$CB40:$JS40)</f>
        <v/>
      </c>
      <c r="BR40" s="17">
        <f>SUMIF($CB$4:$JS$4,BR$4,$CB40:$JS40)</f>
        <v/>
      </c>
      <c r="BS40" s="17">
        <f>SUMIF($CB$4:$JS$4,BS$4,$CB40:$JS40)</f>
        <v/>
      </c>
      <c r="BT40" s="17">
        <f>SUMIF($CB$4:$JS$4,BT$4,$CB40:$JS40)</f>
        <v/>
      </c>
      <c r="BU40" s="17">
        <f>SUMIF($CB$4:$JS$4,BU$4,$CB40:$JS40)</f>
        <v/>
      </c>
      <c r="BV40" s="17">
        <f>SUMIF($CB$4:$JS$4,BV$4,$CB40:$JS40)</f>
        <v/>
      </c>
      <c r="BW40" s="17">
        <f>SUMIF($CB$4:$JS$4,BW$4,$CB40:$JS40)</f>
        <v/>
      </c>
      <c r="BX40" s="17">
        <f>SUMIF($CB$4:$JS$4,"&gt;"&amp;'VALOR POR PL'!$P$8,$CB40:$JS40)</f>
        <v/>
      </c>
      <c r="BY40" s="17">
        <f>SUM($CB40:$JS40)</f>
        <v/>
      </c>
      <c r="CB40" s="56">
        <f>IF(OR(CB$4="",$B40=""),0,SUMIF('DADOS BRUTOS'!$A$3:$A$500,$B40,'DADOS BRUTOS'!B$3:B$500)+IF($C40="",0,SUMIF('DADOS BRUTOS'!$A$3:$A$500,$C40,'DADOS BRUTOS'!B$3:B$500)))</f>
        <v/>
      </c>
      <c r="CC40" s="56">
        <f>IF(OR(CC$4="",$B40=""),0,SUMIF('DADOS BRUTOS'!$A$3:$A$500,$B40,'DADOS BRUTOS'!C$3:C$500)+IF($C40="",0,SUMIF('DADOS BRUTOS'!$A$3:$A$500,$C40,'DADOS BRUTOS'!C$3:C$500)))</f>
        <v/>
      </c>
      <c r="CD40" s="56">
        <f>IF(OR(CD$4="",$B40=""),0,SUMIF('DADOS BRUTOS'!$A$3:$A$500,$B40,'DADOS BRUTOS'!D$3:D$500)+IF($C40="",0,SUMIF('DADOS BRUTOS'!$A$3:$A$500,$C40,'DADOS BRUTOS'!D$3:D$500)))</f>
        <v/>
      </c>
      <c r="CE40" s="56">
        <f>IF(OR(CE$4="",$B40=""),0,SUMIF('DADOS BRUTOS'!$A$3:$A$500,$B40,'DADOS BRUTOS'!E$3:E$500)+IF($C40="",0,SUMIF('DADOS BRUTOS'!$A$3:$A$500,$C40,'DADOS BRUTOS'!E$3:E$500)))</f>
        <v/>
      </c>
      <c r="CF40" s="56">
        <f>IF(OR(CF$4="",$B40=""),0,SUMIF('DADOS BRUTOS'!$A$3:$A$500,$B40,'DADOS BRUTOS'!F$3:F$500)+IF($C40="",0,SUMIF('DADOS BRUTOS'!$A$3:$A$500,$C40,'DADOS BRUTOS'!F$3:F$500)))</f>
        <v/>
      </c>
      <c r="CG40" s="56">
        <f>IF(OR(CG$4="",$B40=""),0,SUMIF('DADOS BRUTOS'!$A$3:$A$500,$B40,'DADOS BRUTOS'!G$3:G$500)+IF($C40="",0,SUMIF('DADOS BRUTOS'!$A$3:$A$500,$C40,'DADOS BRUTOS'!G$3:G$500)))</f>
        <v/>
      </c>
      <c r="CH40" s="56">
        <f>IF(OR(CH$4="",$B40=""),0,SUMIF('DADOS BRUTOS'!$A$3:$A$500,$B40,'DADOS BRUTOS'!H$3:H$500)+IF($C40="",0,SUMIF('DADOS BRUTOS'!$A$3:$A$500,$C40,'DADOS BRUTOS'!H$3:H$500)))</f>
        <v/>
      </c>
      <c r="CI40" s="56">
        <f>IF(OR(CI$4="",$B40=""),0,SUMIF('DADOS BRUTOS'!$A$3:$A$500,$B40,'DADOS BRUTOS'!I$3:I$500)+IF($C40="",0,SUMIF('DADOS BRUTOS'!$A$3:$A$500,$C40,'DADOS BRUTOS'!I$3:I$500)))</f>
        <v/>
      </c>
      <c r="CJ40" s="56">
        <f>IF(OR(CJ$4="",$B40=""),0,SUMIF('DADOS BRUTOS'!$A$3:$A$500,$B40,'DADOS BRUTOS'!J$3:J$500)+IF($C40="",0,SUMIF('DADOS BRUTOS'!$A$3:$A$500,$C40,'DADOS BRUTOS'!J$3:J$500)))</f>
        <v/>
      </c>
      <c r="CK40" s="56">
        <f>IF(OR(CK$4="",$B40=""),0,SUMIF('DADOS BRUTOS'!$A$3:$A$500,$B40,'DADOS BRUTOS'!K$3:K$500)+IF($C40="",0,SUMIF('DADOS BRUTOS'!$A$3:$A$500,$C40,'DADOS BRUTOS'!K$3:K$500)))</f>
        <v/>
      </c>
      <c r="CL40" s="56">
        <f>IF(OR(CL$4="",$B40=""),0,SUMIF('DADOS BRUTOS'!$A$3:$A$500,$B40,'DADOS BRUTOS'!L$3:L$500)+IF($C40="",0,SUMIF('DADOS BRUTOS'!$A$3:$A$500,$C40,'DADOS BRUTOS'!L$3:L$500)))</f>
        <v/>
      </c>
      <c r="CM40" s="56">
        <f>IF(OR(CM$4="",$B40=""),0,SUMIF('DADOS BRUTOS'!$A$3:$A$500,$B40,'DADOS BRUTOS'!M$3:M$500)+IF($C40="",0,SUMIF('DADOS BRUTOS'!$A$3:$A$500,$C40,'DADOS BRUTOS'!M$3:M$500)))</f>
        <v/>
      </c>
      <c r="CN40" s="56">
        <f>IF(OR(CN$4="",$B40=""),0,SUMIF('DADOS BRUTOS'!$A$3:$A$500,$B40,'DADOS BRUTOS'!N$3:N$500)+IF($C40="",0,SUMIF('DADOS BRUTOS'!$A$3:$A$500,$C40,'DADOS BRUTOS'!N$3:N$500)))</f>
        <v/>
      </c>
      <c r="CO40" s="56">
        <f>IF(OR(CO$4="",$B40=""),0,SUMIF('DADOS BRUTOS'!$A$3:$A$500,$B40,'DADOS BRUTOS'!O$3:O$500)+IF($C40="",0,SUMIF('DADOS BRUTOS'!$A$3:$A$500,$C40,'DADOS BRUTOS'!O$3:O$500)))</f>
        <v/>
      </c>
      <c r="CP40" s="56">
        <f>IF(OR(CP$4="",$B40=""),0,SUMIF('DADOS BRUTOS'!$A$3:$A$500,$B40,'DADOS BRUTOS'!P$3:P$500)+IF($C40="",0,SUMIF('DADOS BRUTOS'!$A$3:$A$500,$C40,'DADOS BRUTOS'!P$3:P$500)))</f>
        <v/>
      </c>
      <c r="CQ40" s="56">
        <f>IF(OR(CQ$4="",$B40=""),0,SUMIF('DADOS BRUTOS'!$A$3:$A$500,$B40,'DADOS BRUTOS'!Q$3:Q$500)+IF($C40="",0,SUMIF('DADOS BRUTOS'!$A$3:$A$500,$C40,'DADOS BRUTOS'!Q$3:Q$500)))</f>
        <v/>
      </c>
      <c r="CR40" s="56">
        <f>IF(OR(CR$4="",$B40=""),0,SUMIF('DADOS BRUTOS'!$A$3:$A$500,$B40,'DADOS BRUTOS'!R$3:R$500)+IF($C40="",0,SUMIF('DADOS BRUTOS'!$A$3:$A$500,$C40,'DADOS BRUTOS'!R$3:R$500)))</f>
        <v/>
      </c>
      <c r="CS40" s="56">
        <f>IF(OR(CS$4="",$B40=""),0,SUMIF('DADOS BRUTOS'!$A$3:$A$500,$B40,'DADOS BRUTOS'!S$3:S$500)+IF($C40="",0,SUMIF('DADOS BRUTOS'!$A$3:$A$500,$C40,'DADOS BRUTOS'!S$3:S$500)))</f>
        <v/>
      </c>
      <c r="CT40" s="56">
        <f>IF(OR(CT$4="",$B40=""),0,SUMIF('DADOS BRUTOS'!$A$3:$A$500,$B40,'DADOS BRUTOS'!T$3:T$500)+IF($C40="",0,SUMIF('DADOS BRUTOS'!$A$3:$A$500,$C40,'DADOS BRUTOS'!T$3:T$500)))</f>
        <v/>
      </c>
      <c r="CU40" s="56">
        <f>IF(OR(CU$4="",$B40=""),0,SUMIF('DADOS BRUTOS'!$A$3:$A$500,$B40,'DADOS BRUTOS'!U$3:U$500)+IF($C40="",0,SUMIF('DADOS BRUTOS'!$A$3:$A$500,$C40,'DADOS BRUTOS'!U$3:U$500)))</f>
        <v/>
      </c>
      <c r="CV40" s="56">
        <f>IF(OR(CV$4="",$B40=""),0,SUMIF('DADOS BRUTOS'!$A$3:$A$500,$B40,'DADOS BRUTOS'!V$3:V$500)+IF($C40="",0,SUMIF('DADOS BRUTOS'!$A$3:$A$500,$C40,'DADOS BRUTOS'!V$3:V$500)))</f>
        <v/>
      </c>
      <c r="CW40" s="56">
        <f>IF(OR(CW$4="",$B40=""),0,SUMIF('DADOS BRUTOS'!$A$3:$A$500,$B40,'DADOS BRUTOS'!W$3:W$500)+IF($C40="",0,SUMIF('DADOS BRUTOS'!$A$3:$A$500,$C40,'DADOS BRUTOS'!W$3:W$500)))</f>
        <v/>
      </c>
      <c r="CX40" s="56">
        <f>IF(OR(CX$4="",$B40=""),0,SUMIF('DADOS BRUTOS'!$A$3:$A$500,$B40,'DADOS BRUTOS'!X$3:X$500)+IF($C40="",0,SUMIF('DADOS BRUTOS'!$A$3:$A$500,$C40,'DADOS BRUTOS'!X$3:X$500)))</f>
        <v/>
      </c>
      <c r="CY40" s="56">
        <f>IF(OR(CY$4="",$B40=""),0,SUMIF('DADOS BRUTOS'!$A$3:$A$500,$B40,'DADOS BRUTOS'!Y$3:Y$500)+IF($C40="",0,SUMIF('DADOS BRUTOS'!$A$3:$A$500,$C40,'DADOS BRUTOS'!Y$3:Y$500)))</f>
        <v/>
      </c>
      <c r="CZ40" s="56">
        <f>IF(OR(CZ$4="",$B40=""),0,SUMIF('DADOS BRUTOS'!$A$3:$A$500,$B40,'DADOS BRUTOS'!Z$3:Z$500)+IF($C40="",0,SUMIF('DADOS BRUTOS'!$A$3:$A$500,$C40,'DADOS BRUTOS'!Z$3:Z$500)))</f>
        <v/>
      </c>
      <c r="DA40" s="56">
        <f>IF(OR(DA$4="",$B40=""),0,SUMIF('DADOS BRUTOS'!$A$3:$A$500,$B40,'DADOS BRUTOS'!AA$3:AA$500)+IF($C40="",0,SUMIF('DADOS BRUTOS'!$A$3:$A$500,$C40,'DADOS BRUTOS'!AA$3:AA$500)))</f>
        <v/>
      </c>
      <c r="DB40" s="56">
        <f>IF(OR(DB$4="",$B40=""),0,SUMIF('DADOS BRUTOS'!$A$3:$A$500,$B40,'DADOS BRUTOS'!AB$3:AB$500)+IF($C40="",0,SUMIF('DADOS BRUTOS'!$A$3:$A$500,$C40,'DADOS BRUTOS'!AB$3:AB$500)))</f>
        <v/>
      </c>
      <c r="DC40" s="56">
        <f>IF(OR(DC$4="",$B40=""),0,SUMIF('DADOS BRUTOS'!$A$3:$A$500,$B40,'DADOS BRUTOS'!AC$3:AC$500)+IF($C40="",0,SUMIF('DADOS BRUTOS'!$A$3:$A$500,$C40,'DADOS BRUTOS'!AC$3:AC$500)))</f>
        <v/>
      </c>
      <c r="DD40" s="56">
        <f>IF(OR(DD$4="",$B40=""),0,SUMIF('DADOS BRUTOS'!$A$3:$A$500,$B40,'DADOS BRUTOS'!AD$3:AD$500)+IF($C40="",0,SUMIF('DADOS BRUTOS'!$A$3:$A$500,$C40,'DADOS BRUTOS'!AD$3:AD$500)))</f>
        <v/>
      </c>
      <c r="DE40" s="56">
        <f>IF(OR(DE$4="",$B40=""),0,SUMIF('DADOS BRUTOS'!$A$3:$A$500,$B40,'DADOS BRUTOS'!AE$3:AE$500)+IF($C40="",0,SUMIF('DADOS BRUTOS'!$A$3:$A$500,$C40,'DADOS BRUTOS'!AE$3:AE$500)))</f>
        <v/>
      </c>
      <c r="DF40" s="56">
        <f>IF(OR(DF$4="",$B40=""),0,SUMIF('DADOS BRUTOS'!$A$3:$A$500,$B40,'DADOS BRUTOS'!AF$3:AF$500)+IF($C40="",0,SUMIF('DADOS BRUTOS'!$A$3:$A$500,$C40,'DADOS BRUTOS'!AF$3:AF$500)))</f>
        <v/>
      </c>
      <c r="DG40" s="56">
        <f>IF(OR(DG$4="",$B40=""),0,SUMIF('DADOS BRUTOS'!$A$3:$A$500,$B40,'DADOS BRUTOS'!AG$3:AG$500)+IF($C40="",0,SUMIF('DADOS BRUTOS'!$A$3:$A$500,$C40,'DADOS BRUTOS'!AG$3:AG$500)))</f>
        <v/>
      </c>
      <c r="DH40" s="56">
        <f>IF(OR(DH$4="",$B40=""),0,SUMIF('DADOS BRUTOS'!$A$3:$A$500,$B40,'DADOS BRUTOS'!AH$3:AH$500)+IF($C40="",0,SUMIF('DADOS BRUTOS'!$A$3:$A$500,$C40,'DADOS BRUTOS'!AH$3:AH$500)))</f>
        <v/>
      </c>
      <c r="DI40" s="56">
        <f>IF(OR(DI$4="",$B40=""),0,SUMIF('DADOS BRUTOS'!$A$3:$A$500,$B40,'DADOS BRUTOS'!AI$3:AI$500)+IF($C40="",0,SUMIF('DADOS BRUTOS'!$A$3:$A$500,$C40,'DADOS BRUTOS'!AI$3:AI$500)))</f>
        <v/>
      </c>
      <c r="DJ40" s="56">
        <f>IF(OR(DJ$4="",$B40=""),0,SUMIF('DADOS BRUTOS'!$A$3:$A$500,$B40,'DADOS BRUTOS'!AJ$3:AJ$500)+IF($C40="",0,SUMIF('DADOS BRUTOS'!$A$3:$A$500,$C40,'DADOS BRUTOS'!AJ$3:AJ$500)))</f>
        <v/>
      </c>
      <c r="DK40" s="56">
        <f>IF(OR(DK$4="",$B40=""),0,SUMIF('DADOS BRUTOS'!$A$3:$A$500,$B40,'DADOS BRUTOS'!AK$3:AK$500)+IF($C40="",0,SUMIF('DADOS BRUTOS'!$A$3:$A$500,$C40,'DADOS BRUTOS'!AK$3:AK$500)))</f>
        <v/>
      </c>
      <c r="DL40" s="56">
        <f>IF(OR(DL$4="",$B40=""),0,SUMIF('DADOS BRUTOS'!$A$3:$A$500,$B40,'DADOS BRUTOS'!AL$3:AL$500)+IF($C40="",0,SUMIF('DADOS BRUTOS'!$A$3:$A$500,$C40,'DADOS BRUTOS'!AL$3:AL$500)))</f>
        <v/>
      </c>
      <c r="DM40" s="56">
        <f>IF(OR(DM$4="",$B40=""),0,SUMIF('DADOS BRUTOS'!$A$3:$A$500,$B40,'DADOS BRUTOS'!AM$3:AM$500)+IF($C40="",0,SUMIF('DADOS BRUTOS'!$A$3:$A$500,$C40,'DADOS BRUTOS'!AM$3:AM$500)))</f>
        <v/>
      </c>
      <c r="DN40" s="56">
        <f>IF(OR(DN$4="",$B40=""),0,SUMIF('DADOS BRUTOS'!$A$3:$A$500,$B40,'DADOS BRUTOS'!AN$3:AN$500)+IF($C40="",0,SUMIF('DADOS BRUTOS'!$A$3:$A$500,$C40,'DADOS BRUTOS'!AN$3:AN$500)))</f>
        <v/>
      </c>
      <c r="DO40" s="56">
        <f>IF(OR(DO$4="",$B40=""),0,SUMIF('DADOS BRUTOS'!$A$3:$A$500,$B40,'DADOS BRUTOS'!AO$3:AO$500)+IF($C40="",0,SUMIF('DADOS BRUTOS'!$A$3:$A$500,$C40,'DADOS BRUTOS'!AO$3:AO$500)))</f>
        <v/>
      </c>
      <c r="DP40" s="56">
        <f>IF(OR(DP$4="",$B40=""),0,SUMIF('DADOS BRUTOS'!$A$3:$A$500,$B40,'DADOS BRUTOS'!AP$3:AP$500)+IF($C40="",0,SUMIF('DADOS BRUTOS'!$A$3:$A$500,$C40,'DADOS BRUTOS'!AP$3:AP$500)))</f>
        <v/>
      </c>
      <c r="DQ40" s="56">
        <f>IF(OR(DQ$4="",$B40=""),0,SUMIF('DADOS BRUTOS'!$A$3:$A$500,$B40,'DADOS BRUTOS'!AQ$3:AQ$500)+IF($C40="",0,SUMIF('DADOS BRUTOS'!$A$3:$A$500,$C40,'DADOS BRUTOS'!AQ$3:AQ$500)))</f>
        <v/>
      </c>
      <c r="DR40" s="56">
        <f>IF(OR(DR$4="",$B40=""),0,SUMIF('DADOS BRUTOS'!$A$3:$A$500,$B40,'DADOS BRUTOS'!AR$3:AR$500)+IF($C40="",0,SUMIF('DADOS BRUTOS'!$A$3:$A$500,$C40,'DADOS BRUTOS'!AR$3:AR$500)))</f>
        <v/>
      </c>
      <c r="DS40" s="56">
        <f>IF(OR(DS$4="",$B40=""),0,SUMIF('DADOS BRUTOS'!$A$3:$A$500,$B40,'DADOS BRUTOS'!AS$3:AS$500)+IF($C40="",0,SUMIF('DADOS BRUTOS'!$A$3:$A$500,$C40,'DADOS BRUTOS'!AS$3:AS$500)))</f>
        <v/>
      </c>
      <c r="DT40" s="56">
        <f>IF(OR(DT$4="",$B40=""),0,SUMIF('DADOS BRUTOS'!$A$3:$A$500,$B40,'DADOS BRUTOS'!AT$3:AT$500)+IF($C40="",0,SUMIF('DADOS BRUTOS'!$A$3:$A$500,$C40,'DADOS BRUTOS'!AT$3:AT$500)))</f>
        <v/>
      </c>
      <c r="DU40" s="56">
        <f>IF(OR(DU$4="",$B40=""),0,SUMIF('DADOS BRUTOS'!$A$3:$A$500,$B40,'DADOS BRUTOS'!AU$3:AU$500)+IF($C40="",0,SUMIF('DADOS BRUTOS'!$A$3:$A$500,$C40,'DADOS BRUTOS'!AU$3:AU$500)))</f>
        <v/>
      </c>
      <c r="DV40" s="56">
        <f>IF(OR(DV$4="",$B40=""),0,SUMIF('DADOS BRUTOS'!$A$3:$A$500,$B40,'DADOS BRUTOS'!AV$3:AV$500)+IF($C40="",0,SUMIF('DADOS BRUTOS'!$A$3:$A$500,$C40,'DADOS BRUTOS'!AV$3:AV$500)))</f>
        <v/>
      </c>
      <c r="DW40" s="56">
        <f>IF(OR(DW$4="",$B40=""),0,SUMIF('DADOS BRUTOS'!$A$3:$A$500,$B40,'DADOS BRUTOS'!AW$3:AW$500)+IF($C40="",0,SUMIF('DADOS BRUTOS'!$A$3:$A$500,$C40,'DADOS BRUTOS'!AW$3:AW$500)))</f>
        <v/>
      </c>
      <c r="DX40" s="56">
        <f>IF(OR(DX$4="",$B40=""),0,SUMIF('DADOS BRUTOS'!$A$3:$A$500,$B40,'DADOS BRUTOS'!AX$3:AX$500)+IF($C40="",0,SUMIF('DADOS BRUTOS'!$A$3:$A$500,$C40,'DADOS BRUTOS'!AX$3:AX$500)))</f>
        <v/>
      </c>
      <c r="DY40" s="56">
        <f>IF(OR(DY$4="",$B40=""),0,SUMIF('DADOS BRUTOS'!$A$3:$A$500,$B40,'DADOS BRUTOS'!AY$3:AY$500)+IF($C40="",0,SUMIF('DADOS BRUTOS'!$A$3:$A$500,$C40,'DADOS BRUTOS'!AY$3:AY$500)))</f>
        <v/>
      </c>
      <c r="DZ40" s="56">
        <f>IF(OR(DZ$4="",$B40=""),0,SUMIF('DADOS BRUTOS'!$A$3:$A$500,$B40,'DADOS BRUTOS'!AZ$3:AZ$500)+IF($C40="",0,SUMIF('DADOS BRUTOS'!$A$3:$A$500,$C40,'DADOS BRUTOS'!AZ$3:AZ$500)))</f>
        <v/>
      </c>
      <c r="EA40" s="56">
        <f>IF(OR(EA$4="",$B40=""),0,SUMIF('DADOS BRUTOS'!$A$3:$A$500,$B40,'DADOS BRUTOS'!BA$3:BA$500)+IF($C40="",0,SUMIF('DADOS BRUTOS'!$A$3:$A$500,$C40,'DADOS BRUTOS'!BA$3:BA$500)))</f>
        <v/>
      </c>
      <c r="EB40" s="56">
        <f>IF(OR(EB$4="",$B40=""),0,SUMIF('DADOS BRUTOS'!$A$3:$A$500,$B40,'DADOS BRUTOS'!BB$3:BB$500)+IF($C40="",0,SUMIF('DADOS BRUTOS'!$A$3:$A$500,$C40,'DADOS BRUTOS'!BB$3:BB$500)))</f>
        <v/>
      </c>
      <c r="EC40" s="56">
        <f>IF(OR(EC$4="",$B40=""),0,SUMIF('DADOS BRUTOS'!$A$3:$A$500,$B40,'DADOS BRUTOS'!BC$3:BC$500)+IF($C40="",0,SUMIF('DADOS BRUTOS'!$A$3:$A$500,$C40,'DADOS BRUTOS'!BC$3:BC$500)))</f>
        <v/>
      </c>
      <c r="ED40" s="56">
        <f>IF(OR(ED$4="",$B40=""),0,SUMIF('DADOS BRUTOS'!$A$3:$A$500,$B40,'DADOS BRUTOS'!BD$3:BD$500)+IF($C40="",0,SUMIF('DADOS BRUTOS'!$A$3:$A$500,$C40,'DADOS BRUTOS'!BD$3:BD$500)))</f>
        <v/>
      </c>
      <c r="EE40" s="56">
        <f>IF(OR(EE$4="",$B40=""),0,SUMIF('DADOS BRUTOS'!$A$3:$A$500,$B40,'DADOS BRUTOS'!BE$3:BE$500)+IF($C40="",0,SUMIF('DADOS BRUTOS'!$A$3:$A$500,$C40,'DADOS BRUTOS'!BE$3:BE$500)))</f>
        <v/>
      </c>
      <c r="EF40" s="56">
        <f>IF(OR(EF$4="",$B40=""),0,SUMIF('DADOS BRUTOS'!$A$3:$A$500,$B40,'DADOS BRUTOS'!BF$3:BF$500)+IF($C40="",0,SUMIF('DADOS BRUTOS'!$A$3:$A$500,$C40,'DADOS BRUTOS'!BF$3:BF$500)))</f>
        <v/>
      </c>
      <c r="EG40" s="56">
        <f>IF(OR(EG$4="",$B40=""),0,SUMIF('DADOS BRUTOS'!$A$3:$A$500,$B40,'DADOS BRUTOS'!BG$3:BG$500)+IF($C40="",0,SUMIF('DADOS BRUTOS'!$A$3:$A$500,$C40,'DADOS BRUTOS'!BG$3:BG$500)))</f>
        <v/>
      </c>
      <c r="EH40" s="56">
        <f>IF(OR(EH$4="",$B40=""),0,SUMIF('DADOS BRUTOS'!$A$3:$A$500,$B40,'DADOS BRUTOS'!BH$3:BH$500)+IF($C40="",0,SUMIF('DADOS BRUTOS'!$A$3:$A$500,$C40,'DADOS BRUTOS'!BH$3:BH$500)))</f>
        <v/>
      </c>
      <c r="EI40" s="56">
        <f>IF(OR(EI$4="",$B40=""),0,SUMIF('DADOS BRUTOS'!$A$3:$A$500,$B40,'DADOS BRUTOS'!BI$3:BI$500)+IF($C40="",0,SUMIF('DADOS BRUTOS'!$A$3:$A$500,$C40,'DADOS BRUTOS'!BI$3:BI$500)))</f>
        <v/>
      </c>
      <c r="EJ40" s="56">
        <f>IF(OR(EJ$4="",$B40=""),0,SUMIF('DADOS BRUTOS'!$A$3:$A$500,$B40,'DADOS BRUTOS'!BJ$3:BJ$500)+IF($C40="",0,SUMIF('DADOS BRUTOS'!$A$3:$A$500,$C40,'DADOS BRUTOS'!BJ$3:BJ$500)))</f>
        <v/>
      </c>
      <c r="EK40" s="56">
        <f>IF(OR(EK$4="",$B40=""),0,SUMIF('DADOS BRUTOS'!$A$3:$A$500,$B40,'DADOS BRUTOS'!BK$3:BK$500)+IF($C40="",0,SUMIF('DADOS BRUTOS'!$A$3:$A$500,$C40,'DADOS BRUTOS'!BK$3:BK$500)))</f>
        <v/>
      </c>
      <c r="EL40" s="56">
        <f>IF(OR(EL$4="",$B40=""),0,SUMIF('DADOS BRUTOS'!$A$3:$A$500,$B40,'DADOS BRUTOS'!BL$3:BL$500)+IF($C40="",0,SUMIF('DADOS BRUTOS'!$A$3:$A$500,$C40,'DADOS BRUTOS'!BL$3:BL$500)))</f>
        <v/>
      </c>
      <c r="EM40" s="56">
        <f>IF(OR(EM$4="",$B40=""),0,SUMIF('DADOS BRUTOS'!$A$3:$A$500,$B40,'DADOS BRUTOS'!BM$3:BM$500)+IF($C40="",0,SUMIF('DADOS BRUTOS'!$A$3:$A$500,$C40,'DADOS BRUTOS'!BM$3:BM$500)))</f>
        <v/>
      </c>
      <c r="EN40" s="56">
        <f>IF(OR(EN$4="",$B40=""),0,SUMIF('DADOS BRUTOS'!$A$3:$A$500,$B40,'DADOS BRUTOS'!BN$3:BN$500)+IF($C40="",0,SUMIF('DADOS BRUTOS'!$A$3:$A$500,$C40,'DADOS BRUTOS'!BN$3:BN$500)))</f>
        <v/>
      </c>
      <c r="EO40" s="56">
        <f>IF(OR(EO$4="",$B40=""),0,SUMIF('DADOS BRUTOS'!$A$3:$A$500,$B40,'DADOS BRUTOS'!BO$3:BO$500)+IF($C40="",0,SUMIF('DADOS BRUTOS'!$A$3:$A$500,$C40,'DADOS BRUTOS'!BO$3:BO$500)))</f>
        <v/>
      </c>
      <c r="EP40" s="56">
        <f>IF(OR(EP$4="",$B40=""),0,SUMIF('DADOS BRUTOS'!$A$3:$A$500,$B40,'DADOS BRUTOS'!BP$3:BP$500)+IF($C40="",0,SUMIF('DADOS BRUTOS'!$A$3:$A$500,$C40,'DADOS BRUTOS'!BP$3:BP$500)))</f>
        <v/>
      </c>
      <c r="EQ40" s="56">
        <f>IF(OR(EQ$4="",$B40=""),0,SUMIF('DADOS BRUTOS'!$A$3:$A$500,$B40,'DADOS BRUTOS'!BQ$3:BQ$500)+IF($C40="",0,SUMIF('DADOS BRUTOS'!$A$3:$A$500,$C40,'DADOS BRUTOS'!BQ$3:BQ$500)))</f>
        <v/>
      </c>
      <c r="ER40" s="56">
        <f>IF(OR(ER$4="",$B40=""),0,SUMIF('DADOS BRUTOS'!$A$3:$A$500,$B40,'DADOS BRUTOS'!BR$3:BR$500)+IF($C40="",0,SUMIF('DADOS BRUTOS'!$A$3:$A$500,$C40,'DADOS BRUTOS'!BR$3:BR$500)))</f>
        <v/>
      </c>
      <c r="ES40" s="56">
        <f>IF(OR(ES$4="",$B40=""),0,SUMIF('DADOS BRUTOS'!$A$3:$A$500,$B40,'DADOS BRUTOS'!BS$3:BS$500)+IF($C40="",0,SUMIF('DADOS BRUTOS'!$A$3:$A$500,$C40,'DADOS BRUTOS'!BS$3:BS$500)))</f>
        <v/>
      </c>
      <c r="ET40" s="56">
        <f>IF(OR(ET$4="",$B40=""),0,SUMIF('DADOS BRUTOS'!$A$3:$A$500,$B40,'DADOS BRUTOS'!BT$3:BT$500)+IF($C40="",0,SUMIF('DADOS BRUTOS'!$A$3:$A$500,$C40,'DADOS BRUTOS'!BT$3:BT$500)))</f>
        <v/>
      </c>
      <c r="EU40" s="56">
        <f>IF(OR(EU$4="",$B40=""),0,SUMIF('DADOS BRUTOS'!$A$3:$A$500,$B40,'DADOS BRUTOS'!BU$3:BU$500)+IF($C40="",0,SUMIF('DADOS BRUTOS'!$A$3:$A$500,$C40,'DADOS BRUTOS'!BU$3:BU$500)))</f>
        <v/>
      </c>
      <c r="EV40" s="56">
        <f>IF(OR(EV$4="",$B40=""),0,SUMIF('DADOS BRUTOS'!$A$3:$A$500,$B40,'DADOS BRUTOS'!BV$3:BV$500)+IF($C40="",0,SUMIF('DADOS BRUTOS'!$A$3:$A$500,$C40,'DADOS BRUTOS'!BV$3:BV$500)))</f>
        <v/>
      </c>
      <c r="EW40" s="56">
        <f>IF(OR(EW$4="",$B40=""),0,SUMIF('DADOS BRUTOS'!$A$3:$A$500,$B40,'DADOS BRUTOS'!BW$3:BW$500)+IF($C40="",0,SUMIF('DADOS BRUTOS'!$A$3:$A$500,$C40,'DADOS BRUTOS'!BW$3:BW$500)))</f>
        <v/>
      </c>
      <c r="EX40" s="56">
        <f>IF(OR(EX$4="",$B40=""),0,SUMIF('DADOS BRUTOS'!$A$3:$A$500,$B40,'DADOS BRUTOS'!BX$3:BX$500)+IF($C40="",0,SUMIF('DADOS BRUTOS'!$A$3:$A$500,$C40,'DADOS BRUTOS'!BX$3:BX$500)))</f>
        <v/>
      </c>
      <c r="EY40" s="56">
        <f>IF(OR(EY$4="",$B40=""),0,SUMIF('DADOS BRUTOS'!$A$3:$A$500,$B40,'DADOS BRUTOS'!BY$3:BY$500)+IF($C40="",0,SUMIF('DADOS BRUTOS'!$A$3:$A$500,$C40,'DADOS BRUTOS'!BY$3:BY$500)))</f>
        <v/>
      </c>
      <c r="EZ40" s="56">
        <f>IF(OR(EZ$4="",$B40=""),0,SUMIF('DADOS BRUTOS'!$A$3:$A$500,$B40,'DADOS BRUTOS'!BZ$3:BZ$500)+IF($C40="",0,SUMIF('DADOS BRUTOS'!$A$3:$A$500,$C40,'DADOS BRUTOS'!BZ$3:BZ$500)))</f>
        <v/>
      </c>
      <c r="FA40" s="56">
        <f>IF(OR(FA$4="",$B40=""),0,SUMIF('DADOS BRUTOS'!$A$3:$A$500,$B40,'DADOS BRUTOS'!CA$3:CA$500)+IF($C40="",0,SUMIF('DADOS BRUTOS'!$A$3:$A$500,$C40,'DADOS BRUTOS'!CA$3:CA$500)))</f>
        <v/>
      </c>
      <c r="FB40" s="56">
        <f>IF(OR(FB$4="",$B40=""),0,SUMIF('DADOS BRUTOS'!$A$3:$A$500,$B40,'DADOS BRUTOS'!CB$3:CB$500)+IF($C40="",0,SUMIF('DADOS BRUTOS'!$A$3:$A$500,$C40,'DADOS BRUTOS'!CB$3:CB$500)))</f>
        <v/>
      </c>
      <c r="FC40" s="56">
        <f>IF(OR(FC$4="",$B40=""),0,SUMIF('DADOS BRUTOS'!$A$3:$A$500,$B40,'DADOS BRUTOS'!CC$3:CC$500)+IF($C40="",0,SUMIF('DADOS BRUTOS'!$A$3:$A$500,$C40,'DADOS BRUTOS'!CC$3:CC$500)))</f>
        <v/>
      </c>
      <c r="FD40" s="56">
        <f>IF(OR(FD$4="",$B40=""),0,SUMIF('DADOS BRUTOS'!$A$3:$A$500,$B40,'DADOS BRUTOS'!CD$3:CD$500)+IF($C40="",0,SUMIF('DADOS BRUTOS'!$A$3:$A$500,$C40,'DADOS BRUTOS'!CD$3:CD$500)))</f>
        <v/>
      </c>
      <c r="FE40" s="56">
        <f>IF(OR(FE$4="",$B40=""),0,SUMIF('DADOS BRUTOS'!$A$3:$A$500,$B40,'DADOS BRUTOS'!CE$3:CE$500)+IF($C40="",0,SUMIF('DADOS BRUTOS'!$A$3:$A$500,$C40,'DADOS BRUTOS'!CE$3:CE$500)))</f>
        <v/>
      </c>
      <c r="FF40" s="56">
        <f>IF(OR(FF$4="",$B40=""),0,SUMIF('DADOS BRUTOS'!$A$3:$A$500,$B40,'DADOS BRUTOS'!CF$3:CF$500)+IF($C40="",0,SUMIF('DADOS BRUTOS'!$A$3:$A$500,$C40,'DADOS BRUTOS'!CF$3:CF$500)))</f>
        <v/>
      </c>
      <c r="FG40" s="56">
        <f>IF(OR(FG$4="",$B40=""),0,SUMIF('DADOS BRUTOS'!$A$3:$A$500,$B40,'DADOS BRUTOS'!CG$3:CG$500)+IF($C40="",0,SUMIF('DADOS BRUTOS'!$A$3:$A$500,$C40,'DADOS BRUTOS'!CG$3:CG$500)))</f>
        <v/>
      </c>
      <c r="FH40" s="56">
        <f>IF(OR(FH$4="",$B40=""),0,SUMIF('DADOS BRUTOS'!$A$3:$A$500,$B40,'DADOS BRUTOS'!CH$3:CH$500)+IF($C40="",0,SUMIF('DADOS BRUTOS'!$A$3:$A$500,$C40,'DADOS BRUTOS'!CH$3:CH$500)))</f>
        <v/>
      </c>
      <c r="FI40" s="56">
        <f>IF(OR(FI$4="",$B40=""),0,SUMIF('DADOS BRUTOS'!$A$3:$A$500,$B40,'DADOS BRUTOS'!CI$3:CI$500)+IF($C40="",0,SUMIF('DADOS BRUTOS'!$A$3:$A$500,$C40,'DADOS BRUTOS'!CI$3:CI$500)))</f>
        <v/>
      </c>
      <c r="FJ40" s="56">
        <f>IF(OR(FJ$4="",$B40=""),0,SUMIF('DADOS BRUTOS'!$A$3:$A$500,$B40,'DADOS BRUTOS'!CJ$3:CJ$500)+IF($C40="",0,SUMIF('DADOS BRUTOS'!$A$3:$A$500,$C40,'DADOS BRUTOS'!CJ$3:CJ$500)))</f>
        <v/>
      </c>
      <c r="FK40" s="56">
        <f>IF(OR(FK$4="",$B40=""),0,SUMIF('DADOS BRUTOS'!$A$3:$A$500,$B40,'DADOS BRUTOS'!CK$3:CK$500)+IF($C40="",0,SUMIF('DADOS BRUTOS'!$A$3:$A$500,$C40,'DADOS BRUTOS'!CK$3:CK$500)))</f>
        <v/>
      </c>
      <c r="FL40" s="56">
        <f>IF(OR(FL$4="",$B40=""),0,SUMIF('DADOS BRUTOS'!$A$3:$A$500,$B40,'DADOS BRUTOS'!CL$3:CL$500)+IF($C40="",0,SUMIF('DADOS BRUTOS'!$A$3:$A$500,$C40,'DADOS BRUTOS'!CL$3:CL$500)))</f>
        <v/>
      </c>
      <c r="FM40" s="56">
        <f>IF(OR(FM$4="",$B40=""),0,SUMIF('DADOS BRUTOS'!$A$3:$A$500,$B40,'DADOS BRUTOS'!CM$3:CM$500)+IF($C40="",0,SUMIF('DADOS BRUTOS'!$A$3:$A$500,$C40,'DADOS BRUTOS'!CM$3:CM$500)))</f>
        <v/>
      </c>
      <c r="FN40" s="56">
        <f>IF(OR(FN$4="",$B40=""),0,SUMIF('DADOS BRUTOS'!$A$3:$A$500,$B40,'DADOS BRUTOS'!CN$3:CN$500)+IF($C40="",0,SUMIF('DADOS BRUTOS'!$A$3:$A$500,$C40,'DADOS BRUTOS'!CN$3:CN$500)))</f>
        <v/>
      </c>
      <c r="FO40" s="56">
        <f>IF(OR(FO$4="",$B40=""),0,SUMIF('DADOS BRUTOS'!$A$3:$A$500,$B40,'DADOS BRUTOS'!CO$3:CO$500)+IF($C40="",0,SUMIF('DADOS BRUTOS'!$A$3:$A$500,$C40,'DADOS BRUTOS'!CO$3:CO$500)))</f>
        <v/>
      </c>
      <c r="FP40" s="56">
        <f>IF(OR(FP$4="",$B40=""),0,SUMIF('DADOS BRUTOS'!$A$3:$A$500,$B40,'DADOS BRUTOS'!CP$3:CP$500)+IF($C40="",0,SUMIF('DADOS BRUTOS'!$A$3:$A$500,$C40,'DADOS BRUTOS'!CP$3:CP$500)))</f>
        <v/>
      </c>
      <c r="FQ40" s="56">
        <f>IF(OR(FQ$4="",$B40=""),0,SUMIF('DADOS BRUTOS'!$A$3:$A$500,$B40,'DADOS BRUTOS'!CQ$3:CQ$500)+IF($C40="",0,SUMIF('DADOS BRUTOS'!$A$3:$A$500,$C40,'DADOS BRUTOS'!CQ$3:CQ$500)))</f>
        <v/>
      </c>
      <c r="FR40" s="56">
        <f>IF(OR(FR$4="",$B40=""),0,SUMIF('DADOS BRUTOS'!$A$3:$A$500,$B40,'DADOS BRUTOS'!CR$3:CR$500)+IF($C40="",0,SUMIF('DADOS BRUTOS'!$A$3:$A$500,$C40,'DADOS BRUTOS'!CR$3:CR$500)))</f>
        <v/>
      </c>
      <c r="FS40" s="56">
        <f>IF(OR(FS$4="",$B40=""),0,SUMIF('DADOS BRUTOS'!$A$3:$A$500,$B40,'DADOS BRUTOS'!CS$3:CS$500)+IF($C40="",0,SUMIF('DADOS BRUTOS'!$A$3:$A$500,$C40,'DADOS BRUTOS'!CS$3:CS$500)))</f>
        <v/>
      </c>
      <c r="FT40" s="56">
        <f>IF(OR(FT$4="",$B40=""),0,SUMIF('DADOS BRUTOS'!$A$3:$A$500,$B40,'DADOS BRUTOS'!CT$3:CT$500)+IF($C40="",0,SUMIF('DADOS BRUTOS'!$A$3:$A$500,$C40,'DADOS BRUTOS'!CT$3:CT$500)))</f>
        <v/>
      </c>
      <c r="FU40" s="56">
        <f>IF(OR(FU$4="",$B40=""),0,SUMIF('DADOS BRUTOS'!$A$3:$A$500,$B40,'DADOS BRUTOS'!CU$3:CU$500)+IF($C40="",0,SUMIF('DADOS BRUTOS'!$A$3:$A$500,$C40,'DADOS BRUTOS'!CU$3:CU$500)))</f>
        <v/>
      </c>
      <c r="FV40" s="56">
        <f>IF(OR(FV$4="",$B40=""),0,SUMIF('DADOS BRUTOS'!$A$3:$A$500,$B40,'DADOS BRUTOS'!CV$3:CV$500)+IF($C40="",0,SUMIF('DADOS BRUTOS'!$A$3:$A$500,$C40,'DADOS BRUTOS'!CV$3:CV$500)))</f>
        <v/>
      </c>
      <c r="FW40" s="56">
        <f>IF(OR(FW$4="",$B40=""),0,SUMIF('DADOS BRUTOS'!$A$3:$A$500,$B40,'DADOS BRUTOS'!CW$3:CW$500)+IF($C40="",0,SUMIF('DADOS BRUTOS'!$A$3:$A$500,$C40,'DADOS BRUTOS'!CW$3:CW$500)))</f>
        <v/>
      </c>
      <c r="FX40" s="56">
        <f>IF(OR(FX$4="",$B40=""),0,SUMIF('DADOS BRUTOS'!$A$3:$A$500,$B40,'DADOS BRUTOS'!CX$3:CX$500)+IF($C40="",0,SUMIF('DADOS BRUTOS'!$A$3:$A$500,$C40,'DADOS BRUTOS'!CX$3:CX$500)))</f>
        <v/>
      </c>
      <c r="FY40" s="56">
        <f>IF(OR(FY$4="",$B40=""),0,SUMIF('DADOS BRUTOS'!$A$3:$A$500,$B40,'DADOS BRUTOS'!CY$3:CY$500)+IF($C40="",0,SUMIF('DADOS BRUTOS'!$A$3:$A$500,$C40,'DADOS BRUTOS'!CY$3:CY$500)))</f>
        <v/>
      </c>
      <c r="FZ40" s="56">
        <f>IF(OR(FZ$4="",$B40=""),0,SUMIF('DADOS BRUTOS'!$A$3:$A$500,$B40,'DADOS BRUTOS'!CZ$3:CZ$500)+IF($C40="",0,SUMIF('DADOS BRUTOS'!$A$3:$A$500,$C40,'DADOS BRUTOS'!CZ$3:CZ$500)))</f>
        <v/>
      </c>
      <c r="GA40" s="56">
        <f>IF(OR(GA$4="",$B40=""),0,SUMIF('DADOS BRUTOS'!$A$3:$A$500,$B40,'DADOS BRUTOS'!DA$3:DA$500)+IF($C40="",0,SUMIF('DADOS BRUTOS'!$A$3:$A$500,$C40,'DADOS BRUTOS'!DA$3:DA$500)))</f>
        <v/>
      </c>
      <c r="GB40" s="56">
        <f>IF(OR(GB$4="",$B40=""),0,SUMIF('DADOS BRUTOS'!$A$3:$A$500,$B40,'DADOS BRUTOS'!DB$3:DB$500)+IF($C40="",0,SUMIF('DADOS BRUTOS'!$A$3:$A$500,$C40,'DADOS BRUTOS'!DB$3:DB$500)))</f>
        <v/>
      </c>
      <c r="GC40" s="56">
        <f>IF(OR(GC$4="",$B40=""),0,SUMIF('DADOS BRUTOS'!$A$3:$A$500,$B40,'DADOS BRUTOS'!DC$3:DC$500)+IF($C40="",0,SUMIF('DADOS BRUTOS'!$A$3:$A$500,$C40,'DADOS BRUTOS'!DC$3:DC$500)))</f>
        <v/>
      </c>
      <c r="GD40" s="56">
        <f>IF(OR(GD$4="",$B40=""),0,SUMIF('DADOS BRUTOS'!$A$3:$A$500,$B40,'DADOS BRUTOS'!DD$3:DD$500)+IF($C40="",0,SUMIF('DADOS BRUTOS'!$A$3:$A$500,$C40,'DADOS BRUTOS'!DD$3:DD$500)))</f>
        <v/>
      </c>
      <c r="GE40" s="56">
        <f>IF(OR(GE$4="",$B40=""),0,SUMIF('DADOS BRUTOS'!$A$3:$A$500,$B40,'DADOS BRUTOS'!DE$3:DE$500)+IF($C40="",0,SUMIF('DADOS BRUTOS'!$A$3:$A$500,$C40,'DADOS BRUTOS'!DE$3:DE$500)))</f>
        <v/>
      </c>
      <c r="GF40" s="56">
        <f>IF(OR(GF$4="",$B40=""),0,SUMIF('DADOS BRUTOS'!$A$3:$A$500,$B40,'DADOS BRUTOS'!DF$3:DF$500)+IF($C40="",0,SUMIF('DADOS BRUTOS'!$A$3:$A$500,$C40,'DADOS BRUTOS'!DF$3:DF$500)))</f>
        <v/>
      </c>
      <c r="GG40" s="56">
        <f>IF(OR(GG$4="",$B40=""),0,SUMIF('DADOS BRUTOS'!$A$3:$A$500,$B40,'DADOS BRUTOS'!DG$3:DG$500)+IF($C40="",0,SUMIF('DADOS BRUTOS'!$A$3:$A$500,$C40,'DADOS BRUTOS'!DG$3:DG$500)))</f>
        <v/>
      </c>
      <c r="GH40" s="56">
        <f>IF(OR(GH$4="",$B40=""),0,SUMIF('DADOS BRUTOS'!$A$3:$A$500,$B40,'DADOS BRUTOS'!DH$3:DH$500)+IF($C40="",0,SUMIF('DADOS BRUTOS'!$A$3:$A$500,$C40,'DADOS BRUTOS'!DH$3:DH$500)))</f>
        <v/>
      </c>
      <c r="GI40" s="56">
        <f>IF(OR(GI$4="",$B40=""),0,SUMIF('DADOS BRUTOS'!$A$3:$A$500,$B40,'DADOS BRUTOS'!DI$3:DI$500)+IF($C40="",0,SUMIF('DADOS BRUTOS'!$A$3:$A$500,$C40,'DADOS BRUTOS'!DI$3:DI$500)))</f>
        <v/>
      </c>
      <c r="GJ40" s="56">
        <f>IF(OR(GJ$4="",$B40=""),0,SUMIF('DADOS BRUTOS'!$A$3:$A$500,$B40,'DADOS BRUTOS'!DJ$3:DJ$500)+IF($C40="",0,SUMIF('DADOS BRUTOS'!$A$3:$A$500,$C40,'DADOS BRUTOS'!DJ$3:DJ$500)))</f>
        <v/>
      </c>
      <c r="GK40" s="56">
        <f>IF(OR(GK$4="",$B40=""),0,SUMIF('DADOS BRUTOS'!$A$3:$A$500,$B40,'DADOS BRUTOS'!DK$3:DK$500)+IF($C40="",0,SUMIF('DADOS BRUTOS'!$A$3:$A$500,$C40,'DADOS BRUTOS'!DK$3:DK$500)))</f>
        <v/>
      </c>
      <c r="GL40" s="56">
        <f>IF(OR(GL$4="",$B40=""),0,SUMIF('DADOS BRUTOS'!$A$3:$A$500,$B40,'DADOS BRUTOS'!DL$3:DL$500)+IF($C40="",0,SUMIF('DADOS BRUTOS'!$A$3:$A$500,$C40,'DADOS BRUTOS'!DL$3:DL$500)))</f>
        <v/>
      </c>
      <c r="GM40" s="56">
        <f>IF(OR(GM$4="",$B40=""),0,SUMIF('DADOS BRUTOS'!$A$3:$A$500,$B40,'DADOS BRUTOS'!DM$3:DM$500)+IF($C40="",0,SUMIF('DADOS BRUTOS'!$A$3:$A$500,$C40,'DADOS BRUTOS'!DM$3:DM$500)))</f>
        <v/>
      </c>
      <c r="GN40" s="56">
        <f>IF(OR(GN$4="",$B40=""),0,SUMIF('DADOS BRUTOS'!$A$3:$A$500,$B40,'DADOS BRUTOS'!DN$3:DN$500)+IF($C40="",0,SUMIF('DADOS BRUTOS'!$A$3:$A$500,$C40,'DADOS BRUTOS'!DN$3:DN$500)))</f>
        <v/>
      </c>
      <c r="GO40" s="56">
        <f>IF(OR(GO$4="",$B40=""),0,SUMIF('DADOS BRUTOS'!$A$3:$A$500,$B40,'DADOS BRUTOS'!DO$3:DO$500)+IF($C40="",0,SUMIF('DADOS BRUTOS'!$A$3:$A$500,$C40,'DADOS BRUTOS'!DO$3:DO$500)))</f>
        <v/>
      </c>
      <c r="GP40" s="56">
        <f>IF(OR(GP$4="",$B40=""),0,SUMIF('DADOS BRUTOS'!$A$3:$A$500,$B40,'DADOS BRUTOS'!DP$3:DP$500)+IF($C40="",0,SUMIF('DADOS BRUTOS'!$A$3:$A$500,$C40,'DADOS BRUTOS'!DP$3:DP$500)))</f>
        <v/>
      </c>
      <c r="GQ40" s="56">
        <f>IF(OR(GQ$4="",$B40=""),0,SUMIF('DADOS BRUTOS'!$A$3:$A$500,$B40,'DADOS BRUTOS'!DQ$3:DQ$500)+IF($C40="",0,SUMIF('DADOS BRUTOS'!$A$3:$A$500,$C40,'DADOS BRUTOS'!DQ$3:DQ$500)))</f>
        <v/>
      </c>
      <c r="GR40" s="56">
        <f>IF(OR(GR$4="",$B40=""),0,SUMIF('DADOS BRUTOS'!$A$3:$A$500,$B40,'DADOS BRUTOS'!DR$3:DR$500)+IF($C40="",0,SUMIF('DADOS BRUTOS'!$A$3:$A$500,$C40,'DADOS BRUTOS'!DR$3:DR$500)))</f>
        <v/>
      </c>
      <c r="GS40" s="56">
        <f>IF(OR(GS$4="",$B40=""),0,SUMIF('DADOS BRUTOS'!$A$3:$A$500,$B40,'DADOS BRUTOS'!DS$3:DS$500)+IF($C40="",0,SUMIF('DADOS BRUTOS'!$A$3:$A$500,$C40,'DADOS BRUTOS'!DS$3:DS$500)))</f>
        <v/>
      </c>
      <c r="GT40" s="56">
        <f>IF(OR(GT$4="",$B40=""),0,SUMIF('DADOS BRUTOS'!$A$3:$A$500,$B40,'DADOS BRUTOS'!DT$3:DT$500)+IF($C40="",0,SUMIF('DADOS BRUTOS'!$A$3:$A$500,$C40,'DADOS BRUTOS'!DT$3:DT$500)))</f>
        <v/>
      </c>
      <c r="GU40" s="56">
        <f>IF(OR(GU$4="",$B40=""),0,SUMIF('DADOS BRUTOS'!$A$3:$A$500,$B40,'DADOS BRUTOS'!DU$3:DU$500)+IF($C40="",0,SUMIF('DADOS BRUTOS'!$A$3:$A$500,$C40,'DADOS BRUTOS'!DU$3:DU$500)))</f>
        <v/>
      </c>
      <c r="GV40" s="56">
        <f>IF(OR(GV$4="",$B40=""),0,SUMIF('DADOS BRUTOS'!$A$3:$A$500,$B40,'DADOS BRUTOS'!DV$3:DV$500)+IF($C40="",0,SUMIF('DADOS BRUTOS'!$A$3:$A$500,$C40,'DADOS BRUTOS'!DV$3:DV$500)))</f>
        <v/>
      </c>
      <c r="GW40" s="56">
        <f>IF(OR(GW$4="",$B40=""),0,SUMIF('DADOS BRUTOS'!$A$3:$A$500,$B40,'DADOS BRUTOS'!DW$3:DW$500)+IF($C40="",0,SUMIF('DADOS BRUTOS'!$A$3:$A$500,$C40,'DADOS BRUTOS'!DW$3:DW$500)))</f>
        <v/>
      </c>
      <c r="GX40" s="56">
        <f>IF(OR(GX$4="",$B40=""),0,SUMIF('DADOS BRUTOS'!$A$3:$A$500,$B40,'DADOS BRUTOS'!DX$3:DX$500)+IF($C40="",0,SUMIF('DADOS BRUTOS'!$A$3:$A$500,$C40,'DADOS BRUTOS'!DX$3:DX$500)))</f>
        <v/>
      </c>
      <c r="GY40" s="56">
        <f>IF(OR(GY$4="",$B40=""),0,SUMIF('DADOS BRUTOS'!$A$3:$A$500,$B40,'DADOS BRUTOS'!DY$3:DY$500)+IF($C40="",0,SUMIF('DADOS BRUTOS'!$A$3:$A$500,$C40,'DADOS BRUTOS'!DY$3:DY$500)))</f>
        <v/>
      </c>
      <c r="GZ40" s="56">
        <f>IF(OR(GZ$4="",$B40=""),0,SUMIF('DADOS BRUTOS'!$A$3:$A$500,$B40,'DADOS BRUTOS'!DZ$3:DZ$500)+IF($C40="",0,SUMIF('DADOS BRUTOS'!$A$3:$A$500,$C40,'DADOS BRUTOS'!DZ$3:DZ$500)))</f>
        <v/>
      </c>
      <c r="HA40" s="56">
        <f>IF(OR(HA$4="",$B40=""),0,SUMIF('DADOS BRUTOS'!$A$3:$A$500,$B40,'DADOS BRUTOS'!EA$3:EA$500)+IF($C40="",0,SUMIF('DADOS BRUTOS'!$A$3:$A$500,$C40,'DADOS BRUTOS'!EA$3:EA$500)))</f>
        <v/>
      </c>
      <c r="HB40" s="56">
        <f>IF(OR(HB$4="",$B40=""),0,SUMIF('DADOS BRUTOS'!$A$3:$A$500,$B40,'DADOS BRUTOS'!EB$3:EB$500)+IF($C40="",0,SUMIF('DADOS BRUTOS'!$A$3:$A$500,$C40,'DADOS BRUTOS'!EB$3:EB$500)))</f>
        <v/>
      </c>
      <c r="HC40" s="56">
        <f>IF(OR(HC$4="",$B40=""),0,SUMIF('DADOS BRUTOS'!$A$3:$A$500,$B40,'DADOS BRUTOS'!EC$3:EC$500)+IF($C40="",0,SUMIF('DADOS BRUTOS'!$A$3:$A$500,$C40,'DADOS BRUTOS'!EC$3:EC$500)))</f>
        <v/>
      </c>
      <c r="HD40" s="56">
        <f>IF(OR(HD$4="",$B40=""),0,SUMIF('DADOS BRUTOS'!$A$3:$A$500,$B40,'DADOS BRUTOS'!ED$3:ED$500)+IF($C40="",0,SUMIF('DADOS BRUTOS'!$A$3:$A$500,$C40,'DADOS BRUTOS'!ED$3:ED$500)))</f>
        <v/>
      </c>
      <c r="HE40" s="56">
        <f>IF(OR(HE$4="",$B40=""),0,SUMIF('DADOS BRUTOS'!$A$3:$A$500,$B40,'DADOS BRUTOS'!EE$3:EE$500)+IF($C40="",0,SUMIF('DADOS BRUTOS'!$A$3:$A$500,$C40,'DADOS BRUTOS'!EE$3:EE$500)))</f>
        <v/>
      </c>
      <c r="HF40" s="56">
        <f>IF(OR(HF$4="",$B40=""),0,SUMIF('DADOS BRUTOS'!$A$3:$A$500,$B40,'DADOS BRUTOS'!EF$3:EF$500)+IF($C40="",0,SUMIF('DADOS BRUTOS'!$A$3:$A$500,$C40,'DADOS BRUTOS'!EF$3:EF$500)))</f>
        <v/>
      </c>
      <c r="HG40" s="56">
        <f>IF(OR(HG$4="",$B40=""),0,SUMIF('DADOS BRUTOS'!$A$3:$A$500,$B40,'DADOS BRUTOS'!EG$3:EG$500)+IF($C40="",0,SUMIF('DADOS BRUTOS'!$A$3:$A$500,$C40,'DADOS BRUTOS'!EG$3:EG$500)))</f>
        <v/>
      </c>
      <c r="HH40" s="56">
        <f>IF(OR(HH$4="",$B40=""),0,SUMIF('DADOS BRUTOS'!$A$3:$A$500,$B40,'DADOS BRUTOS'!EH$3:EH$500)+IF($C40="",0,SUMIF('DADOS BRUTOS'!$A$3:$A$500,$C40,'DADOS BRUTOS'!EH$3:EH$500)))</f>
        <v/>
      </c>
      <c r="HI40" s="56">
        <f>IF(OR(HI$4="",$B40=""),0,SUMIF('DADOS BRUTOS'!$A$3:$A$500,$B40,'DADOS BRUTOS'!EI$3:EI$500)+IF($C40="",0,SUMIF('DADOS BRUTOS'!$A$3:$A$500,$C40,'DADOS BRUTOS'!EI$3:EI$500)))</f>
        <v/>
      </c>
      <c r="HJ40" s="56">
        <f>IF(OR(HJ$4="",$B40=""),0,SUMIF('DADOS BRUTOS'!$A$3:$A$500,$B40,'DADOS BRUTOS'!EJ$3:EJ$500)+IF($C40="",0,SUMIF('DADOS BRUTOS'!$A$3:$A$500,$C40,'DADOS BRUTOS'!EJ$3:EJ$500)))</f>
        <v/>
      </c>
      <c r="HK40" s="56">
        <f>IF(OR(HK$4="",$B40=""),0,SUMIF('DADOS BRUTOS'!$A$3:$A$500,$B40,'DADOS BRUTOS'!EK$3:EK$500)+IF($C40="",0,SUMIF('DADOS BRUTOS'!$A$3:$A$500,$C40,'DADOS BRUTOS'!EK$3:EK$500)))</f>
        <v/>
      </c>
      <c r="HL40" s="56">
        <f>IF(OR(HL$4="",$B40=""),0,SUMIF('DADOS BRUTOS'!$A$3:$A$500,$B40,'DADOS BRUTOS'!EL$3:EL$500)+IF($C40="",0,SUMIF('DADOS BRUTOS'!$A$3:$A$500,$C40,'DADOS BRUTOS'!EL$3:EL$500)))</f>
        <v/>
      </c>
      <c r="HM40" s="56">
        <f>IF(OR(HM$4="",$B40=""),0,SUMIF('DADOS BRUTOS'!$A$3:$A$500,$B40,'DADOS BRUTOS'!EM$3:EM$500)+IF($C40="",0,SUMIF('DADOS BRUTOS'!$A$3:$A$500,$C40,'DADOS BRUTOS'!EM$3:EM$500)))</f>
        <v/>
      </c>
      <c r="HN40" s="56">
        <f>IF(OR(HN$4="",$B40=""),0,SUMIF('DADOS BRUTOS'!$A$3:$A$500,$B40,'DADOS BRUTOS'!EN$3:EN$500)+IF($C40="",0,SUMIF('DADOS BRUTOS'!$A$3:$A$500,$C40,'DADOS BRUTOS'!EN$3:EN$500)))</f>
        <v/>
      </c>
      <c r="HO40" s="56">
        <f>IF(OR(HO$4="",$B40=""),0,SUMIF('DADOS BRUTOS'!$A$3:$A$500,$B40,'DADOS BRUTOS'!EO$3:EO$500)+IF($C40="",0,SUMIF('DADOS BRUTOS'!$A$3:$A$500,$C40,'DADOS BRUTOS'!EO$3:EO$500)))</f>
        <v/>
      </c>
      <c r="HP40" s="56">
        <f>IF(OR(HP$4="",$B40=""),0,SUMIF('DADOS BRUTOS'!$A$3:$A$500,$B40,'DADOS BRUTOS'!EP$3:EP$500)+IF($C40="",0,SUMIF('DADOS BRUTOS'!$A$3:$A$500,$C40,'DADOS BRUTOS'!EP$3:EP$500)))</f>
        <v/>
      </c>
      <c r="HQ40" s="56">
        <f>IF(OR(HQ$4="",$B40=""),0,SUMIF('DADOS BRUTOS'!$A$3:$A$500,$B40,'DADOS BRUTOS'!EQ$3:EQ$500)+IF($C40="",0,SUMIF('DADOS BRUTOS'!$A$3:$A$500,$C40,'DADOS BRUTOS'!EQ$3:EQ$500)))</f>
        <v/>
      </c>
      <c r="HR40" s="56">
        <f>IF(OR(HR$4="",$B40=""),0,SUMIF('DADOS BRUTOS'!$A$3:$A$500,$B40,'DADOS BRUTOS'!ER$3:ER$500)+IF($C40="",0,SUMIF('DADOS BRUTOS'!$A$3:$A$500,$C40,'DADOS BRUTOS'!ER$3:ER$500)))</f>
        <v/>
      </c>
      <c r="HS40" s="56">
        <f>IF(OR(HS$4="",$B40=""),0,SUMIF('DADOS BRUTOS'!$A$3:$A$500,$B40,'DADOS BRUTOS'!ES$3:ES$500)+IF($C40="",0,SUMIF('DADOS BRUTOS'!$A$3:$A$500,$C40,'DADOS BRUTOS'!ES$3:ES$500)))</f>
        <v/>
      </c>
      <c r="HT40" s="56">
        <f>IF(OR(HT$4="",$B40=""),0,SUMIF('DADOS BRUTOS'!$A$3:$A$500,$B40,'DADOS BRUTOS'!ET$3:ET$500)+IF($C40="",0,SUMIF('DADOS BRUTOS'!$A$3:$A$500,$C40,'DADOS BRUTOS'!ET$3:ET$500)))</f>
        <v/>
      </c>
      <c r="HU40" s="56">
        <f>IF(OR(HU$4="",$B40=""),0,SUMIF('DADOS BRUTOS'!$A$3:$A$500,$B40,'DADOS BRUTOS'!EU$3:EU$500)+IF($C40="",0,SUMIF('DADOS BRUTOS'!$A$3:$A$500,$C40,'DADOS BRUTOS'!EU$3:EU$500)))</f>
        <v/>
      </c>
      <c r="HV40" s="56">
        <f>IF(OR(HV$4="",$B40=""),0,SUMIF('DADOS BRUTOS'!$A$3:$A$500,$B40,'DADOS BRUTOS'!EV$3:EV$500)+IF($C40="",0,SUMIF('DADOS BRUTOS'!$A$3:$A$500,$C40,'DADOS BRUTOS'!EV$3:EV$500)))</f>
        <v/>
      </c>
      <c r="HW40" s="56">
        <f>IF(OR(HW$4="",$B40=""),0,SUMIF('DADOS BRUTOS'!$A$3:$A$500,$B40,'DADOS BRUTOS'!EW$3:EW$500)+IF($C40="",0,SUMIF('DADOS BRUTOS'!$A$3:$A$500,$C40,'DADOS BRUTOS'!EW$3:EW$500)))</f>
        <v/>
      </c>
      <c r="HX40" s="56">
        <f>IF(OR(HX$4="",$B40=""),0,SUMIF('DADOS BRUTOS'!$A$3:$A$500,$B40,'DADOS BRUTOS'!EX$3:EX$500)+IF($C40="",0,SUMIF('DADOS BRUTOS'!$A$3:$A$500,$C40,'DADOS BRUTOS'!EX$3:EX$500)))</f>
        <v/>
      </c>
      <c r="HY40" s="56">
        <f>IF(OR(HY$4="",$B40=""),0,SUMIF('DADOS BRUTOS'!$A$3:$A$500,$B40,'DADOS BRUTOS'!EY$3:EY$500)+IF($C40="",0,SUMIF('DADOS BRUTOS'!$A$3:$A$500,$C40,'DADOS BRUTOS'!EY$3:EY$500)))</f>
        <v/>
      </c>
      <c r="HZ40" s="56">
        <f>IF(OR(HZ$4="",$B40=""),0,SUMIF('DADOS BRUTOS'!$A$3:$A$500,$B40,'DADOS BRUTOS'!EZ$3:EZ$500)+IF($C40="",0,SUMIF('DADOS BRUTOS'!$A$3:$A$500,$C40,'DADOS BRUTOS'!EZ$3:EZ$500)))</f>
        <v/>
      </c>
      <c r="IA40" s="56">
        <f>IF(OR(IA$4="",$B40=""),0,SUMIF('DADOS BRUTOS'!$A$3:$A$500,$B40,'DADOS BRUTOS'!FA$3:FA$500)+IF($C40="",0,SUMIF('DADOS BRUTOS'!$A$3:$A$500,$C40,'DADOS BRUTOS'!FA$3:FA$500)))</f>
        <v/>
      </c>
      <c r="IB40" s="56">
        <f>IF(OR(IB$4="",$B40=""),0,SUMIF('DADOS BRUTOS'!$A$3:$A$500,$B40,'DADOS BRUTOS'!FB$3:FB$500)+IF($C40="",0,SUMIF('DADOS BRUTOS'!$A$3:$A$500,$C40,'DADOS BRUTOS'!FB$3:FB$500)))</f>
        <v/>
      </c>
      <c r="IC40" s="56">
        <f>IF(OR(IC$4="",$B40=""),0,SUMIF('DADOS BRUTOS'!$A$3:$A$500,$B40,'DADOS BRUTOS'!FC$3:FC$500)+IF($C40="",0,SUMIF('DADOS BRUTOS'!$A$3:$A$500,$C40,'DADOS BRUTOS'!FC$3:FC$500)))</f>
        <v/>
      </c>
      <c r="ID40" s="56">
        <f>IF(OR(ID$4="",$B40=""),0,SUMIF('DADOS BRUTOS'!$A$3:$A$500,$B40,'DADOS BRUTOS'!FD$3:FD$500)+IF($C40="",0,SUMIF('DADOS BRUTOS'!$A$3:$A$500,$C40,'DADOS BRUTOS'!FD$3:FD$500)))</f>
        <v/>
      </c>
      <c r="IE40" s="56">
        <f>IF(OR(IE$4="",$B40=""),0,SUMIF('DADOS BRUTOS'!$A$3:$A$500,$B40,'DADOS BRUTOS'!FE$3:FE$500)+IF($C40="",0,SUMIF('DADOS BRUTOS'!$A$3:$A$500,$C40,'DADOS BRUTOS'!FE$3:FE$500)))</f>
        <v/>
      </c>
      <c r="IF40" s="56">
        <f>IF(OR(IF$4="",$B40=""),0,SUMIF('DADOS BRUTOS'!$A$3:$A$500,$B40,'DADOS BRUTOS'!FF$3:FF$500)+IF($C40="",0,SUMIF('DADOS BRUTOS'!$A$3:$A$500,$C40,'DADOS BRUTOS'!FF$3:FF$500)))</f>
        <v/>
      </c>
      <c r="IG40" s="56">
        <f>IF(OR(IG$4="",$B40=""),0,SUMIF('DADOS BRUTOS'!$A$3:$A$500,$B40,'DADOS BRUTOS'!FG$3:FG$500)+IF($C40="",0,SUMIF('DADOS BRUTOS'!$A$3:$A$500,$C40,'DADOS BRUTOS'!FG$3:FG$500)))</f>
        <v/>
      </c>
      <c r="IH40" s="56">
        <f>IF(OR(IH$4="",$B40=""),0,SUMIF('DADOS BRUTOS'!$A$3:$A$500,$B40,'DADOS BRUTOS'!FH$3:FH$500)+IF($C40="",0,SUMIF('DADOS BRUTOS'!$A$3:$A$500,$C40,'DADOS BRUTOS'!FH$3:FH$500)))</f>
        <v/>
      </c>
      <c r="II40" s="56">
        <f>IF(OR(II$4="",$B40=""),0,SUMIF('DADOS BRUTOS'!$A$3:$A$500,$B40,'DADOS BRUTOS'!FI$3:FI$500)+IF($C40="",0,SUMIF('DADOS BRUTOS'!$A$3:$A$500,$C40,'DADOS BRUTOS'!FI$3:FI$500)))</f>
        <v/>
      </c>
      <c r="IJ40" s="56">
        <f>IF(OR(IJ$4="",$B40=""),0,SUMIF('DADOS BRUTOS'!$A$3:$A$500,$B40,'DADOS BRUTOS'!FJ$3:FJ$500)+IF($C40="",0,SUMIF('DADOS BRUTOS'!$A$3:$A$500,$C40,'DADOS BRUTOS'!FJ$3:FJ$500)))</f>
        <v/>
      </c>
      <c r="IK40" s="56">
        <f>IF(OR(IK$4="",$B40=""),0,SUMIF('DADOS BRUTOS'!$A$3:$A$500,$B40,'DADOS BRUTOS'!FK$3:FK$500)+IF($C40="",0,SUMIF('DADOS BRUTOS'!$A$3:$A$500,$C40,'DADOS BRUTOS'!FK$3:FK$500)))</f>
        <v/>
      </c>
      <c r="IL40" s="56">
        <f>IF(OR(IL$4="",$B40=""),0,SUMIF('DADOS BRUTOS'!$A$3:$A$500,$B40,'DADOS BRUTOS'!FL$3:FL$500)+IF($C40="",0,SUMIF('DADOS BRUTOS'!$A$3:$A$500,$C40,'DADOS BRUTOS'!FL$3:FL$500)))</f>
        <v/>
      </c>
      <c r="IM40" s="56">
        <f>IF(OR(IM$4="",$B40=""),0,SUMIF('DADOS BRUTOS'!$A$3:$A$500,$B40,'DADOS BRUTOS'!FM$3:FM$500)+IF($C40="",0,SUMIF('DADOS BRUTOS'!$A$3:$A$500,$C40,'DADOS BRUTOS'!FM$3:FM$500)))</f>
        <v/>
      </c>
      <c r="IN40" s="56">
        <f>IF(OR(IN$4="",$B40=""),0,SUMIF('DADOS BRUTOS'!$A$3:$A$500,$B40,'DADOS BRUTOS'!FN$3:FN$500)+IF($C40="",0,SUMIF('DADOS BRUTOS'!$A$3:$A$500,$C40,'DADOS BRUTOS'!FN$3:FN$500)))</f>
        <v/>
      </c>
      <c r="IO40" s="56">
        <f>IF(OR(IO$4="",$B40=""),0,SUMIF('DADOS BRUTOS'!$A$3:$A$500,$B40,'DADOS BRUTOS'!FO$3:FO$500)+IF($C40="",0,SUMIF('DADOS BRUTOS'!$A$3:$A$500,$C40,'DADOS BRUTOS'!FO$3:FO$500)))</f>
        <v/>
      </c>
      <c r="IP40" s="56">
        <f>IF(OR(IP$4="",$B40=""),0,SUMIF('DADOS BRUTOS'!$A$3:$A$500,$B40,'DADOS BRUTOS'!FP$3:FP$500)+IF($C40="",0,SUMIF('DADOS BRUTOS'!$A$3:$A$500,$C40,'DADOS BRUTOS'!FP$3:FP$500)))</f>
        <v/>
      </c>
      <c r="IQ40" s="56">
        <f>IF(OR(IQ$4="",$B40=""),0,SUMIF('DADOS BRUTOS'!$A$3:$A$500,$B40,'DADOS BRUTOS'!FQ$3:FQ$500)+IF($C40="",0,SUMIF('DADOS BRUTOS'!$A$3:$A$500,$C40,'DADOS BRUTOS'!FQ$3:FQ$500)))</f>
        <v/>
      </c>
      <c r="IR40" s="56">
        <f>IF(OR(IR$4="",$B40=""),0,SUMIF('DADOS BRUTOS'!$A$3:$A$500,$B40,'DADOS BRUTOS'!FR$3:FR$500)+IF($C40="",0,SUMIF('DADOS BRUTOS'!$A$3:$A$500,$C40,'DADOS BRUTOS'!FR$3:FR$500)))</f>
        <v/>
      </c>
      <c r="IS40" s="56">
        <f>IF(OR(IS$4="",$B40=""),0,SUMIF('DADOS BRUTOS'!$A$3:$A$500,$B40,'DADOS BRUTOS'!FS$3:FS$500)+IF($C40="",0,SUMIF('DADOS BRUTOS'!$A$3:$A$500,$C40,'DADOS BRUTOS'!FS$3:FS$500)))</f>
        <v/>
      </c>
      <c r="IT40" s="56">
        <f>IF(OR(IT$4="",$B40=""),0,SUMIF('DADOS BRUTOS'!$A$3:$A$500,$B40,'DADOS BRUTOS'!FT$3:FT$500)+IF($C40="",0,SUMIF('DADOS BRUTOS'!$A$3:$A$500,$C40,'DADOS BRUTOS'!FT$3:FT$500)))</f>
        <v/>
      </c>
      <c r="IU40" s="56">
        <f>IF(OR(IU$4="",$B40=""),0,SUMIF('DADOS BRUTOS'!$A$3:$A$500,$B40,'DADOS BRUTOS'!FU$3:FU$500)+IF($C40="",0,SUMIF('DADOS BRUTOS'!$A$3:$A$500,$C40,'DADOS BRUTOS'!FU$3:FU$500)))</f>
        <v/>
      </c>
      <c r="IV40" s="56">
        <f>IF(OR(IV$4="",$B40=""),0,SUMIF('DADOS BRUTOS'!$A$3:$A$500,$B40,'DADOS BRUTOS'!FV$3:FV$500)+IF($C40="",0,SUMIF('DADOS BRUTOS'!$A$3:$A$500,$C40,'DADOS BRUTOS'!FV$3:FV$500)))</f>
        <v/>
      </c>
      <c r="IW40" s="56">
        <f>IF(OR(IW$4="",$B40=""),0,SUMIF('DADOS BRUTOS'!$A$3:$A$500,$B40,'DADOS BRUTOS'!FW$3:FW$500)+IF($C40="",0,SUMIF('DADOS BRUTOS'!$A$3:$A$500,$C40,'DADOS BRUTOS'!FW$3:FW$500)))</f>
        <v/>
      </c>
      <c r="IX40" s="56">
        <f>IF(OR(IX$4="",$B40=""),0,SUMIF('DADOS BRUTOS'!$A$3:$A$500,$B40,'DADOS BRUTOS'!FX$3:FX$500)+IF($C40="",0,SUMIF('DADOS BRUTOS'!$A$3:$A$500,$C40,'DADOS BRUTOS'!FX$3:FX$500)))</f>
        <v/>
      </c>
      <c r="IY40" s="56">
        <f>IF(OR(IY$4="",$B40=""),0,SUMIF('DADOS BRUTOS'!$A$3:$A$500,$B40,'DADOS BRUTOS'!FY$3:FY$500)+IF($C40="",0,SUMIF('DADOS BRUTOS'!$A$3:$A$500,$C40,'DADOS BRUTOS'!FY$3:FY$500)))</f>
        <v/>
      </c>
      <c r="IZ40" s="56">
        <f>IF(OR(IZ$4="",$B40=""),0,SUMIF('DADOS BRUTOS'!$A$3:$A$500,$B40,'DADOS BRUTOS'!FZ$3:FZ$500)+IF($C40="",0,SUMIF('DADOS BRUTOS'!$A$3:$A$500,$C40,'DADOS BRUTOS'!FZ$3:FZ$500)))</f>
        <v/>
      </c>
      <c r="JA40" s="56">
        <f>IF(OR(JA$4="",$B40=""),0,SUMIF('DADOS BRUTOS'!$A$3:$A$500,$B40,'DADOS BRUTOS'!GA$3:GA$500)+IF($C40="",0,SUMIF('DADOS BRUTOS'!$A$3:$A$500,$C40,'DADOS BRUTOS'!GA$3:GA$500)))</f>
        <v/>
      </c>
      <c r="JB40" s="56">
        <f>IF(OR(JB$4="",$B40=""),0,SUMIF('DADOS BRUTOS'!$A$3:$A$500,$B40,'DADOS BRUTOS'!GB$3:GB$500)+IF($C40="",0,SUMIF('DADOS BRUTOS'!$A$3:$A$500,$C40,'DADOS BRUTOS'!GB$3:GB$500)))</f>
        <v/>
      </c>
      <c r="JC40" s="56">
        <f>IF(OR(JC$4="",$B40=""),0,SUMIF('DADOS BRUTOS'!$A$3:$A$500,$B40,'DADOS BRUTOS'!GC$3:GC$500)+IF($C40="",0,SUMIF('DADOS BRUTOS'!$A$3:$A$500,$C40,'DADOS BRUTOS'!GC$3:GC$500)))</f>
        <v/>
      </c>
      <c r="JD40" s="56">
        <f>IF(OR(JD$4="",$B40=""),0,SUMIF('DADOS BRUTOS'!$A$3:$A$500,$B40,'DADOS BRUTOS'!GD$3:GD$500)+IF($C40="",0,SUMIF('DADOS BRUTOS'!$A$3:$A$500,$C40,'DADOS BRUTOS'!GD$3:GD$500)))</f>
        <v/>
      </c>
      <c r="JE40" s="56">
        <f>IF(OR(JE$4="",$B40=""),0,SUMIF('DADOS BRUTOS'!$A$3:$A$500,$B40,'DADOS BRUTOS'!GE$3:GE$500)+IF($C40="",0,SUMIF('DADOS BRUTOS'!$A$3:$A$500,$C40,'DADOS BRUTOS'!GE$3:GE$500)))</f>
        <v/>
      </c>
      <c r="JF40" s="56">
        <f>IF(OR(JF$4="",$B40=""),0,SUMIF('DADOS BRUTOS'!$A$3:$A$500,$B40,'DADOS BRUTOS'!GF$3:GF$500)+IF($C40="",0,SUMIF('DADOS BRUTOS'!$A$3:$A$500,$C40,'DADOS BRUTOS'!GF$3:GF$500)))</f>
        <v/>
      </c>
      <c r="JG40" s="56">
        <f>IF(OR(JG$4="",$B40=""),0,SUMIF('DADOS BRUTOS'!$A$3:$A$500,$B40,'DADOS BRUTOS'!GG$3:GG$500)+IF($C40="",0,SUMIF('DADOS BRUTOS'!$A$3:$A$500,$C40,'DADOS BRUTOS'!GG$3:GG$500)))</f>
        <v/>
      </c>
      <c r="JH40" s="56">
        <f>IF(OR(JH$4="",$B40=""),0,SUMIF('DADOS BRUTOS'!$A$3:$A$500,$B40,'DADOS BRUTOS'!GH$3:GH$500)+IF($C40="",0,SUMIF('DADOS BRUTOS'!$A$3:$A$500,$C40,'DADOS BRUTOS'!GH$3:GH$500)))</f>
        <v/>
      </c>
      <c r="JI40" s="56">
        <f>IF(OR(JI$4="",$B40=""),0,SUMIF('DADOS BRUTOS'!$A$3:$A$500,$B40,'DADOS BRUTOS'!GI$3:GI$500)+IF($C40="",0,SUMIF('DADOS BRUTOS'!$A$3:$A$500,$C40,'DADOS BRUTOS'!GI$3:GI$500)))</f>
        <v/>
      </c>
      <c r="JJ40" s="56">
        <f>IF(OR(JJ$4="",$B40=""),0,SUMIF('DADOS BRUTOS'!$A$3:$A$500,$B40,'DADOS BRUTOS'!GJ$3:GJ$500)+IF($C40="",0,SUMIF('DADOS BRUTOS'!$A$3:$A$500,$C40,'DADOS BRUTOS'!GJ$3:GJ$500)))</f>
        <v/>
      </c>
      <c r="JK40" s="56">
        <f>IF(OR(JK$4="",$B40=""),0,SUMIF('DADOS BRUTOS'!$A$3:$A$500,$B40,'DADOS BRUTOS'!GK$3:GK$500)+IF($C40="",0,SUMIF('DADOS BRUTOS'!$A$3:$A$500,$C40,'DADOS BRUTOS'!GK$3:GK$500)))</f>
        <v/>
      </c>
      <c r="JL40" s="56">
        <f>IF(OR(JL$4="",$B40=""),0,SUMIF('DADOS BRUTOS'!$A$3:$A$500,$B40,'DADOS BRUTOS'!GL$3:GL$500)+IF($C40="",0,SUMIF('DADOS BRUTOS'!$A$3:$A$500,$C40,'DADOS BRUTOS'!GL$3:GL$500)))</f>
        <v/>
      </c>
      <c r="JM40" s="56">
        <f>IF(OR(JM$4="",$B40=""),0,SUMIF('DADOS BRUTOS'!$A$3:$A$500,$B40,'DADOS BRUTOS'!GM$3:GM$500)+IF($C40="",0,SUMIF('DADOS BRUTOS'!$A$3:$A$500,$C40,'DADOS BRUTOS'!GM$3:GM$500)))</f>
        <v/>
      </c>
      <c r="JN40" s="56">
        <f>IF(OR(JN$4="",$B40=""),0,SUMIF('DADOS BRUTOS'!$A$3:$A$500,$B40,'DADOS BRUTOS'!GN$3:GN$500)+IF($C40="",0,SUMIF('DADOS BRUTOS'!$A$3:$A$500,$C40,'DADOS BRUTOS'!GN$3:GN$500)))</f>
        <v/>
      </c>
      <c r="JO40" s="56">
        <f>IF(OR(JO$4="",$B40=""),0,SUMIF('DADOS BRUTOS'!$A$3:$A$500,$B40,'DADOS BRUTOS'!GO$3:GO$500)+IF($C40="",0,SUMIF('DADOS BRUTOS'!$A$3:$A$500,$C40,'DADOS BRUTOS'!GO$3:GO$500)))</f>
        <v/>
      </c>
      <c r="JP40" s="56">
        <f>IF(OR(JP$4="",$B40=""),0,SUMIF('DADOS BRUTOS'!$A$3:$A$500,$B40,'DADOS BRUTOS'!GP$3:GP$500)+IF($C40="",0,SUMIF('DADOS BRUTOS'!$A$3:$A$500,$C40,'DADOS BRUTOS'!GP$3:GP$500)))</f>
        <v/>
      </c>
      <c r="JQ40" s="56">
        <f>IF(OR(JQ$4="",$B40=""),0,SUMIF('DADOS BRUTOS'!$A$3:$A$500,$B40,'DADOS BRUTOS'!GQ$3:GQ$500)+IF($C40="",0,SUMIF('DADOS BRUTOS'!$A$3:$A$500,$C40,'DADOS BRUTOS'!GQ$3:GQ$500)))</f>
        <v/>
      </c>
      <c r="JR40" s="56">
        <f>IF(OR(JR$4="",$B40=""),0,SUMIF('DADOS BRUTOS'!$A$3:$A$500,$B40,'DADOS BRUTOS'!GR$3:GR$500)+IF($C40="",0,SUMIF('DADOS BRUTOS'!$A$3:$A$500,$C40,'DADOS BRUTOS'!GR$3:GR$500)))</f>
        <v/>
      </c>
      <c r="JS40" s="56">
        <f>IF(OR(JS$4="",$B40=""),0,SUMIF('DADOS BRUTOS'!$A$3:$A$500,$B40,'DADOS BRUTOS'!GS$3:GS$500)+IF($C40="",0,SUMIF('DADOS BRUTOS'!$A$3:$A$500,$C40,'DADOS BRUTOS'!GS$3:GS$500)))</f>
        <v/>
      </c>
    </row>
    <row r="41">
      <c r="A41" s="34">
        <f>'VALOR POR PL'!D47</f>
        <v/>
      </c>
      <c r="B41" s="21" t="inlineStr">
        <is>
          <t>LIMPEZA FINAL DE OBRA</t>
        </is>
      </c>
      <c r="C41" s="21" t="n"/>
      <c r="D41" s="17">
        <f>SUMIF($CB$4:$JS$4,"&lt;="&amp;D$4,$CB41:$JS41)</f>
        <v/>
      </c>
      <c r="E41" s="17">
        <f>SUMIF($CB$4:$JS$4,E$4,$CB41:$JS41)</f>
        <v/>
      </c>
      <c r="F41" s="17">
        <f>SUMIF($CB$4:$JS$4,F$4,$CB41:$JS41)</f>
        <v/>
      </c>
      <c r="G41" s="17">
        <f>SUMIF($CB$4:$JS$4,G$4,$CB41:$JS41)</f>
        <v/>
      </c>
      <c r="H41" s="17">
        <f>SUMIF($CB$4:$JS$4,H$4,$CB41:$JS41)</f>
        <v/>
      </c>
      <c r="I41" s="17">
        <f>SUMIF($CB$4:$JS$4,I$4,$CB41:$JS41)</f>
        <v/>
      </c>
      <c r="J41" s="17">
        <f>SUMIF($CB$4:$JS$4,J$4,$CB41:$JS41)</f>
        <v/>
      </c>
      <c r="K41" s="17">
        <f>SUMIF($CB$4:$JS$4,K$4,$CB41:$JS41)</f>
        <v/>
      </c>
      <c r="L41" s="17">
        <f>SUMIF($CB$4:$JS$4,L$4,$CB41:$JS41)</f>
        <v/>
      </c>
      <c r="M41" s="17">
        <f>SUMIF($CB$4:$JS$4,M$4,$CB41:$JS41)</f>
        <v/>
      </c>
      <c r="N41" s="17">
        <f>SUMIF($CB$4:$JS$4,N$4,$CB41:$JS41)</f>
        <v/>
      </c>
      <c r="O41" s="17">
        <f>SUMIF($CB$4:$JS$4,O$4,$CB41:$JS41)</f>
        <v/>
      </c>
      <c r="P41" s="17">
        <f>SUMIF($CB$4:$JS$4,P$4,$CB41:$JS41)</f>
        <v/>
      </c>
      <c r="Q41" s="17">
        <f>SUMIF($CB$4:$JS$4,Q$4,$CB41:$JS41)</f>
        <v/>
      </c>
      <c r="R41" s="17">
        <f>SUMIF($CB$4:$JS$4,R$4,$CB41:$JS41)</f>
        <v/>
      </c>
      <c r="S41" s="17">
        <f>SUMIF($CB$4:$JS$4,S$4,$CB41:$JS41)</f>
        <v/>
      </c>
      <c r="T41" s="17">
        <f>SUMIF($CB$4:$JS$4,T$4,$CB41:$JS41)</f>
        <v/>
      </c>
      <c r="U41" s="17">
        <f>SUMIF($CB$4:$JS$4,U$4,$CB41:$JS41)</f>
        <v/>
      </c>
      <c r="V41" s="17">
        <f>SUMIF($CB$4:$JS$4,V$4,$CB41:$JS41)</f>
        <v/>
      </c>
      <c r="W41" s="17">
        <f>SUMIF($CB$4:$JS$4,W$4,$CB41:$JS41)</f>
        <v/>
      </c>
      <c r="X41" s="17">
        <f>SUMIF($CB$4:$JS$4,X$4,$CB41:$JS41)</f>
        <v/>
      </c>
      <c r="Y41" s="17">
        <f>SUMIF($CB$4:$JS$4,Y$4,$CB41:$JS41)</f>
        <v/>
      </c>
      <c r="Z41" s="17">
        <f>SUMIF($CB$4:$JS$4,Z$4,$CB41:$JS41)</f>
        <v/>
      </c>
      <c r="AA41" s="17">
        <f>SUMIF($CB$4:$JS$4,AA$4,$CB41:$JS41)</f>
        <v/>
      </c>
      <c r="AB41" s="17">
        <f>SUMIF($CB$4:$JS$4,AB$4,$CB41:$JS41)</f>
        <v/>
      </c>
      <c r="AC41" s="17">
        <f>SUMIF($CB$4:$JS$4,AC$4,$CB41:$JS41)</f>
        <v/>
      </c>
      <c r="AD41" s="17">
        <f>SUMIF($CB$4:$JS$4,AD$4,$CB41:$JS41)</f>
        <v/>
      </c>
      <c r="AE41" s="17">
        <f>SUMIF($CB$4:$JS$4,AE$4,$CB41:$JS41)</f>
        <v/>
      </c>
      <c r="AF41" s="17">
        <f>SUMIF($CB$4:$JS$4,AF$4,$CB41:$JS41)</f>
        <v/>
      </c>
      <c r="AG41" s="17">
        <f>SUMIF($CB$4:$JS$4,AG$4,$CB41:$JS41)</f>
        <v/>
      </c>
      <c r="AH41" s="17">
        <f>SUMIF($CB$4:$JS$4,AH$4,$CB41:$JS41)</f>
        <v/>
      </c>
      <c r="AI41" s="17">
        <f>SUMIF($CB$4:$JS$4,AI$4,$CB41:$JS41)</f>
        <v/>
      </c>
      <c r="AJ41" s="17">
        <f>SUMIF($CB$4:$JS$4,AJ$4,$CB41:$JS41)</f>
        <v/>
      </c>
      <c r="AK41" s="17">
        <f>SUMIF($CB$4:$JS$4,AK$4,$CB41:$JS41)</f>
        <v/>
      </c>
      <c r="AL41" s="17">
        <f>SUMIF($CB$4:$JS$4,AL$4,$CB41:$JS41)</f>
        <v/>
      </c>
      <c r="AM41" s="17">
        <f>SUMIF($CB$4:$JS$4,AM$4,$CB41:$JS41)</f>
        <v/>
      </c>
      <c r="AN41" s="17">
        <f>SUMIF($CB$4:$JS$4,AN$4,$CB41:$JS41)</f>
        <v/>
      </c>
      <c r="AO41" s="17">
        <f>SUMIF($CB$4:$JS$4,AO$4,$CB41:$JS41)</f>
        <v/>
      </c>
      <c r="AP41" s="17">
        <f>SUMIF($CB$4:$JS$4,AP$4,$CB41:$JS41)</f>
        <v/>
      </c>
      <c r="AQ41" s="17">
        <f>SUMIF($CB$4:$JS$4,AQ$4,$CB41:$JS41)</f>
        <v/>
      </c>
      <c r="AR41" s="17">
        <f>SUMIF($CB$4:$JS$4,AR$4,$CB41:$JS41)</f>
        <v/>
      </c>
      <c r="AS41" s="17">
        <f>SUMIF($CB$4:$JS$4,AS$4,$CB41:$JS41)</f>
        <v/>
      </c>
      <c r="AT41" s="17">
        <f>SUMIF($CB$4:$JS$4,AT$4,$CB41:$JS41)</f>
        <v/>
      </c>
      <c r="AU41" s="17">
        <f>SUMIF($CB$4:$JS$4,AU$4,$CB41:$JS41)</f>
        <v/>
      </c>
      <c r="AV41" s="17">
        <f>SUMIF($CB$4:$JS$4,AV$4,$CB41:$JS41)</f>
        <v/>
      </c>
      <c r="AW41" s="17">
        <f>SUMIF($CB$4:$JS$4,AW$4,$CB41:$JS41)</f>
        <v/>
      </c>
      <c r="AX41" s="17">
        <f>SUMIF($CB$4:$JS$4,AX$4,$CB41:$JS41)</f>
        <v/>
      </c>
      <c r="AY41" s="17">
        <f>SUMIF($CB$4:$JS$4,AY$4,$CB41:$JS41)</f>
        <v/>
      </c>
      <c r="AZ41" s="17">
        <f>SUMIF($CB$4:$JS$4,AZ$4,$CB41:$JS41)</f>
        <v/>
      </c>
      <c r="BA41" s="17">
        <f>SUMIF($CB$4:$JS$4,BA$4,$CB41:$JS41)</f>
        <v/>
      </c>
      <c r="BB41" s="17">
        <f>SUMIF($CB$4:$JS$4,BB$4,$CB41:$JS41)</f>
        <v/>
      </c>
      <c r="BC41" s="17">
        <f>SUMIF($CB$4:$JS$4,BC$4,$CB41:$JS41)</f>
        <v/>
      </c>
      <c r="BD41" s="17">
        <f>SUMIF($CB$4:$JS$4,BD$4,$CB41:$JS41)</f>
        <v/>
      </c>
      <c r="BE41" s="17">
        <f>SUMIF($CB$4:$JS$4,BE$4,$CB41:$JS41)</f>
        <v/>
      </c>
      <c r="BF41" s="17">
        <f>SUMIF($CB$4:$JS$4,BF$4,$CB41:$JS41)</f>
        <v/>
      </c>
      <c r="BG41" s="17">
        <f>SUMIF($CB$4:$JS$4,BG$4,$CB41:$JS41)</f>
        <v/>
      </c>
      <c r="BH41" s="17">
        <f>SUMIF($CB$4:$JS$4,BH$4,$CB41:$JS41)</f>
        <v/>
      </c>
      <c r="BI41" s="17">
        <f>SUMIF($CB$4:$JS$4,BI$4,$CB41:$JS41)</f>
        <v/>
      </c>
      <c r="BJ41" s="17">
        <f>SUMIF($CB$4:$JS$4,BJ$4,$CB41:$JS41)</f>
        <v/>
      </c>
      <c r="BK41" s="17">
        <f>SUMIF($CB$4:$JS$4,BK$4,$CB41:$JS41)</f>
        <v/>
      </c>
      <c r="BL41" s="17">
        <f>SUMIF($CB$4:$JS$4,BL$4,$CB41:$JS41)</f>
        <v/>
      </c>
      <c r="BM41" s="17">
        <f>SUMIF($CB$4:$JS$4,BM$4,$CB41:$JS41)</f>
        <v/>
      </c>
      <c r="BN41" s="17">
        <f>SUMIF($CB$4:$JS$4,BN$4,$CB41:$JS41)</f>
        <v/>
      </c>
      <c r="BO41" s="17">
        <f>SUMIF($CB$4:$JS$4,BO$4,$CB41:$JS41)</f>
        <v/>
      </c>
      <c r="BP41" s="17">
        <f>SUMIF($CB$4:$JS$4,BP$4,$CB41:$JS41)</f>
        <v/>
      </c>
      <c r="BQ41" s="17">
        <f>SUMIF($CB$4:$JS$4,BQ$4,$CB41:$JS41)</f>
        <v/>
      </c>
      <c r="BR41" s="17">
        <f>SUMIF($CB$4:$JS$4,BR$4,$CB41:$JS41)</f>
        <v/>
      </c>
      <c r="BS41" s="17">
        <f>SUMIF($CB$4:$JS$4,BS$4,$CB41:$JS41)</f>
        <v/>
      </c>
      <c r="BT41" s="17">
        <f>SUMIF($CB$4:$JS$4,BT$4,$CB41:$JS41)</f>
        <v/>
      </c>
      <c r="BU41" s="17">
        <f>SUMIF($CB$4:$JS$4,BU$4,$CB41:$JS41)</f>
        <v/>
      </c>
      <c r="BV41" s="17">
        <f>SUMIF($CB$4:$JS$4,BV$4,$CB41:$JS41)</f>
        <v/>
      </c>
      <c r="BW41" s="17">
        <f>SUMIF($CB$4:$JS$4,BW$4,$CB41:$JS41)</f>
        <v/>
      </c>
      <c r="BX41" s="17">
        <f>SUMIF($CB$4:$JS$4,"&gt;"&amp;'VALOR POR PL'!$P$8,$CB41:$JS41)</f>
        <v/>
      </c>
      <c r="BY41" s="17">
        <f>SUM($CB41:$JS41)</f>
        <v/>
      </c>
      <c r="CB41" s="56">
        <f>IF(OR(CB$4="",$B41=""),0,SUMIF('DADOS BRUTOS'!$A$3:$A$500,$B41,'DADOS BRUTOS'!B$3:B$500)+IF($C41="",0,SUMIF('DADOS BRUTOS'!$A$3:$A$500,$C41,'DADOS BRUTOS'!B$3:B$500)))</f>
        <v/>
      </c>
      <c r="CC41" s="56">
        <f>IF(OR(CC$4="",$B41=""),0,SUMIF('DADOS BRUTOS'!$A$3:$A$500,$B41,'DADOS BRUTOS'!C$3:C$500)+IF($C41="",0,SUMIF('DADOS BRUTOS'!$A$3:$A$500,$C41,'DADOS BRUTOS'!C$3:C$500)))</f>
        <v/>
      </c>
      <c r="CD41" s="56">
        <f>IF(OR(CD$4="",$B41=""),0,SUMIF('DADOS BRUTOS'!$A$3:$A$500,$B41,'DADOS BRUTOS'!D$3:D$500)+IF($C41="",0,SUMIF('DADOS BRUTOS'!$A$3:$A$500,$C41,'DADOS BRUTOS'!D$3:D$500)))</f>
        <v/>
      </c>
      <c r="CE41" s="56">
        <f>IF(OR(CE$4="",$B41=""),0,SUMIF('DADOS BRUTOS'!$A$3:$A$500,$B41,'DADOS BRUTOS'!E$3:E$500)+IF($C41="",0,SUMIF('DADOS BRUTOS'!$A$3:$A$500,$C41,'DADOS BRUTOS'!E$3:E$500)))</f>
        <v/>
      </c>
      <c r="CF41" s="56">
        <f>IF(OR(CF$4="",$B41=""),0,SUMIF('DADOS BRUTOS'!$A$3:$A$500,$B41,'DADOS BRUTOS'!F$3:F$500)+IF($C41="",0,SUMIF('DADOS BRUTOS'!$A$3:$A$500,$C41,'DADOS BRUTOS'!F$3:F$500)))</f>
        <v/>
      </c>
      <c r="CG41" s="56">
        <f>IF(OR(CG$4="",$B41=""),0,SUMIF('DADOS BRUTOS'!$A$3:$A$500,$B41,'DADOS BRUTOS'!G$3:G$500)+IF($C41="",0,SUMIF('DADOS BRUTOS'!$A$3:$A$500,$C41,'DADOS BRUTOS'!G$3:G$500)))</f>
        <v/>
      </c>
      <c r="CH41" s="56">
        <f>IF(OR(CH$4="",$B41=""),0,SUMIF('DADOS BRUTOS'!$A$3:$A$500,$B41,'DADOS BRUTOS'!H$3:H$500)+IF($C41="",0,SUMIF('DADOS BRUTOS'!$A$3:$A$500,$C41,'DADOS BRUTOS'!H$3:H$500)))</f>
        <v/>
      </c>
      <c r="CI41" s="56">
        <f>IF(OR(CI$4="",$B41=""),0,SUMIF('DADOS BRUTOS'!$A$3:$A$500,$B41,'DADOS BRUTOS'!I$3:I$500)+IF($C41="",0,SUMIF('DADOS BRUTOS'!$A$3:$A$500,$C41,'DADOS BRUTOS'!I$3:I$500)))</f>
        <v/>
      </c>
      <c r="CJ41" s="56">
        <f>IF(OR(CJ$4="",$B41=""),0,SUMIF('DADOS BRUTOS'!$A$3:$A$500,$B41,'DADOS BRUTOS'!J$3:J$500)+IF($C41="",0,SUMIF('DADOS BRUTOS'!$A$3:$A$500,$C41,'DADOS BRUTOS'!J$3:J$500)))</f>
        <v/>
      </c>
      <c r="CK41" s="56">
        <f>IF(OR(CK$4="",$B41=""),0,SUMIF('DADOS BRUTOS'!$A$3:$A$500,$B41,'DADOS BRUTOS'!K$3:K$500)+IF($C41="",0,SUMIF('DADOS BRUTOS'!$A$3:$A$500,$C41,'DADOS BRUTOS'!K$3:K$500)))</f>
        <v/>
      </c>
      <c r="CL41" s="56">
        <f>IF(OR(CL$4="",$B41=""),0,SUMIF('DADOS BRUTOS'!$A$3:$A$500,$B41,'DADOS BRUTOS'!L$3:L$500)+IF($C41="",0,SUMIF('DADOS BRUTOS'!$A$3:$A$500,$C41,'DADOS BRUTOS'!L$3:L$500)))</f>
        <v/>
      </c>
      <c r="CM41" s="56">
        <f>IF(OR(CM$4="",$B41=""),0,SUMIF('DADOS BRUTOS'!$A$3:$A$500,$B41,'DADOS BRUTOS'!M$3:M$500)+IF($C41="",0,SUMIF('DADOS BRUTOS'!$A$3:$A$500,$C41,'DADOS BRUTOS'!M$3:M$500)))</f>
        <v/>
      </c>
      <c r="CN41" s="56">
        <f>IF(OR(CN$4="",$B41=""),0,SUMIF('DADOS BRUTOS'!$A$3:$A$500,$B41,'DADOS BRUTOS'!N$3:N$500)+IF($C41="",0,SUMIF('DADOS BRUTOS'!$A$3:$A$500,$C41,'DADOS BRUTOS'!N$3:N$500)))</f>
        <v/>
      </c>
      <c r="CO41" s="56">
        <f>IF(OR(CO$4="",$B41=""),0,SUMIF('DADOS BRUTOS'!$A$3:$A$500,$B41,'DADOS BRUTOS'!O$3:O$500)+IF($C41="",0,SUMIF('DADOS BRUTOS'!$A$3:$A$500,$C41,'DADOS BRUTOS'!O$3:O$500)))</f>
        <v/>
      </c>
      <c r="CP41" s="56">
        <f>IF(OR(CP$4="",$B41=""),0,SUMIF('DADOS BRUTOS'!$A$3:$A$500,$B41,'DADOS BRUTOS'!P$3:P$500)+IF($C41="",0,SUMIF('DADOS BRUTOS'!$A$3:$A$500,$C41,'DADOS BRUTOS'!P$3:P$500)))</f>
        <v/>
      </c>
      <c r="CQ41" s="56">
        <f>IF(OR(CQ$4="",$B41=""),0,SUMIF('DADOS BRUTOS'!$A$3:$A$500,$B41,'DADOS BRUTOS'!Q$3:Q$500)+IF($C41="",0,SUMIF('DADOS BRUTOS'!$A$3:$A$500,$C41,'DADOS BRUTOS'!Q$3:Q$500)))</f>
        <v/>
      </c>
      <c r="CR41" s="56">
        <f>IF(OR(CR$4="",$B41=""),0,SUMIF('DADOS BRUTOS'!$A$3:$A$500,$B41,'DADOS BRUTOS'!R$3:R$500)+IF($C41="",0,SUMIF('DADOS BRUTOS'!$A$3:$A$500,$C41,'DADOS BRUTOS'!R$3:R$500)))</f>
        <v/>
      </c>
      <c r="CS41" s="56">
        <f>IF(OR(CS$4="",$B41=""),0,SUMIF('DADOS BRUTOS'!$A$3:$A$500,$B41,'DADOS BRUTOS'!S$3:S$500)+IF($C41="",0,SUMIF('DADOS BRUTOS'!$A$3:$A$500,$C41,'DADOS BRUTOS'!S$3:S$500)))</f>
        <v/>
      </c>
      <c r="CT41" s="56">
        <f>IF(OR(CT$4="",$B41=""),0,SUMIF('DADOS BRUTOS'!$A$3:$A$500,$B41,'DADOS BRUTOS'!T$3:T$500)+IF($C41="",0,SUMIF('DADOS BRUTOS'!$A$3:$A$500,$C41,'DADOS BRUTOS'!T$3:T$500)))</f>
        <v/>
      </c>
      <c r="CU41" s="56">
        <f>IF(OR(CU$4="",$B41=""),0,SUMIF('DADOS BRUTOS'!$A$3:$A$500,$B41,'DADOS BRUTOS'!U$3:U$500)+IF($C41="",0,SUMIF('DADOS BRUTOS'!$A$3:$A$500,$C41,'DADOS BRUTOS'!U$3:U$500)))</f>
        <v/>
      </c>
      <c r="CV41" s="56">
        <f>IF(OR(CV$4="",$B41=""),0,SUMIF('DADOS BRUTOS'!$A$3:$A$500,$B41,'DADOS BRUTOS'!V$3:V$500)+IF($C41="",0,SUMIF('DADOS BRUTOS'!$A$3:$A$500,$C41,'DADOS BRUTOS'!V$3:V$500)))</f>
        <v/>
      </c>
      <c r="CW41" s="56">
        <f>IF(OR(CW$4="",$B41=""),0,SUMIF('DADOS BRUTOS'!$A$3:$A$500,$B41,'DADOS BRUTOS'!W$3:W$500)+IF($C41="",0,SUMIF('DADOS BRUTOS'!$A$3:$A$500,$C41,'DADOS BRUTOS'!W$3:W$500)))</f>
        <v/>
      </c>
      <c r="CX41" s="56">
        <f>IF(OR(CX$4="",$B41=""),0,SUMIF('DADOS BRUTOS'!$A$3:$A$500,$B41,'DADOS BRUTOS'!X$3:X$500)+IF($C41="",0,SUMIF('DADOS BRUTOS'!$A$3:$A$500,$C41,'DADOS BRUTOS'!X$3:X$500)))</f>
        <v/>
      </c>
      <c r="CY41" s="56">
        <f>IF(OR(CY$4="",$B41=""),0,SUMIF('DADOS BRUTOS'!$A$3:$A$500,$B41,'DADOS BRUTOS'!Y$3:Y$500)+IF($C41="",0,SUMIF('DADOS BRUTOS'!$A$3:$A$500,$C41,'DADOS BRUTOS'!Y$3:Y$500)))</f>
        <v/>
      </c>
      <c r="CZ41" s="56">
        <f>IF(OR(CZ$4="",$B41=""),0,SUMIF('DADOS BRUTOS'!$A$3:$A$500,$B41,'DADOS BRUTOS'!Z$3:Z$500)+IF($C41="",0,SUMIF('DADOS BRUTOS'!$A$3:$A$500,$C41,'DADOS BRUTOS'!Z$3:Z$500)))</f>
        <v/>
      </c>
      <c r="DA41" s="56">
        <f>IF(OR(DA$4="",$B41=""),0,SUMIF('DADOS BRUTOS'!$A$3:$A$500,$B41,'DADOS BRUTOS'!AA$3:AA$500)+IF($C41="",0,SUMIF('DADOS BRUTOS'!$A$3:$A$500,$C41,'DADOS BRUTOS'!AA$3:AA$500)))</f>
        <v/>
      </c>
      <c r="DB41" s="56">
        <f>IF(OR(DB$4="",$B41=""),0,SUMIF('DADOS BRUTOS'!$A$3:$A$500,$B41,'DADOS BRUTOS'!AB$3:AB$500)+IF($C41="",0,SUMIF('DADOS BRUTOS'!$A$3:$A$500,$C41,'DADOS BRUTOS'!AB$3:AB$500)))</f>
        <v/>
      </c>
      <c r="DC41" s="56">
        <f>IF(OR(DC$4="",$B41=""),0,SUMIF('DADOS BRUTOS'!$A$3:$A$500,$B41,'DADOS BRUTOS'!AC$3:AC$500)+IF($C41="",0,SUMIF('DADOS BRUTOS'!$A$3:$A$500,$C41,'DADOS BRUTOS'!AC$3:AC$500)))</f>
        <v/>
      </c>
      <c r="DD41" s="56">
        <f>IF(OR(DD$4="",$B41=""),0,SUMIF('DADOS BRUTOS'!$A$3:$A$500,$B41,'DADOS BRUTOS'!AD$3:AD$500)+IF($C41="",0,SUMIF('DADOS BRUTOS'!$A$3:$A$500,$C41,'DADOS BRUTOS'!AD$3:AD$500)))</f>
        <v/>
      </c>
      <c r="DE41" s="56">
        <f>IF(OR(DE$4="",$B41=""),0,SUMIF('DADOS BRUTOS'!$A$3:$A$500,$B41,'DADOS BRUTOS'!AE$3:AE$500)+IF($C41="",0,SUMIF('DADOS BRUTOS'!$A$3:$A$500,$C41,'DADOS BRUTOS'!AE$3:AE$500)))</f>
        <v/>
      </c>
      <c r="DF41" s="56">
        <f>IF(OR(DF$4="",$B41=""),0,SUMIF('DADOS BRUTOS'!$A$3:$A$500,$B41,'DADOS BRUTOS'!AF$3:AF$500)+IF($C41="",0,SUMIF('DADOS BRUTOS'!$A$3:$A$500,$C41,'DADOS BRUTOS'!AF$3:AF$500)))</f>
        <v/>
      </c>
      <c r="DG41" s="56">
        <f>IF(OR(DG$4="",$B41=""),0,SUMIF('DADOS BRUTOS'!$A$3:$A$500,$B41,'DADOS BRUTOS'!AG$3:AG$500)+IF($C41="",0,SUMIF('DADOS BRUTOS'!$A$3:$A$500,$C41,'DADOS BRUTOS'!AG$3:AG$500)))</f>
        <v/>
      </c>
      <c r="DH41" s="56">
        <f>IF(OR(DH$4="",$B41=""),0,SUMIF('DADOS BRUTOS'!$A$3:$A$500,$B41,'DADOS BRUTOS'!AH$3:AH$500)+IF($C41="",0,SUMIF('DADOS BRUTOS'!$A$3:$A$500,$C41,'DADOS BRUTOS'!AH$3:AH$500)))</f>
        <v/>
      </c>
      <c r="DI41" s="56">
        <f>IF(OR(DI$4="",$B41=""),0,SUMIF('DADOS BRUTOS'!$A$3:$A$500,$B41,'DADOS BRUTOS'!AI$3:AI$500)+IF($C41="",0,SUMIF('DADOS BRUTOS'!$A$3:$A$500,$C41,'DADOS BRUTOS'!AI$3:AI$500)))</f>
        <v/>
      </c>
      <c r="DJ41" s="56">
        <f>IF(OR(DJ$4="",$B41=""),0,SUMIF('DADOS BRUTOS'!$A$3:$A$500,$B41,'DADOS BRUTOS'!AJ$3:AJ$500)+IF($C41="",0,SUMIF('DADOS BRUTOS'!$A$3:$A$500,$C41,'DADOS BRUTOS'!AJ$3:AJ$500)))</f>
        <v/>
      </c>
      <c r="DK41" s="56">
        <f>IF(OR(DK$4="",$B41=""),0,SUMIF('DADOS BRUTOS'!$A$3:$A$500,$B41,'DADOS BRUTOS'!AK$3:AK$500)+IF($C41="",0,SUMIF('DADOS BRUTOS'!$A$3:$A$500,$C41,'DADOS BRUTOS'!AK$3:AK$500)))</f>
        <v/>
      </c>
      <c r="DL41" s="56">
        <f>IF(OR(DL$4="",$B41=""),0,SUMIF('DADOS BRUTOS'!$A$3:$A$500,$B41,'DADOS BRUTOS'!AL$3:AL$500)+IF($C41="",0,SUMIF('DADOS BRUTOS'!$A$3:$A$500,$C41,'DADOS BRUTOS'!AL$3:AL$500)))</f>
        <v/>
      </c>
      <c r="DM41" s="56">
        <f>IF(OR(DM$4="",$B41=""),0,SUMIF('DADOS BRUTOS'!$A$3:$A$500,$B41,'DADOS BRUTOS'!AM$3:AM$500)+IF($C41="",0,SUMIF('DADOS BRUTOS'!$A$3:$A$500,$C41,'DADOS BRUTOS'!AM$3:AM$500)))</f>
        <v/>
      </c>
      <c r="DN41" s="56">
        <f>IF(OR(DN$4="",$B41=""),0,SUMIF('DADOS BRUTOS'!$A$3:$A$500,$B41,'DADOS BRUTOS'!AN$3:AN$500)+IF($C41="",0,SUMIF('DADOS BRUTOS'!$A$3:$A$500,$C41,'DADOS BRUTOS'!AN$3:AN$500)))</f>
        <v/>
      </c>
      <c r="DO41" s="56">
        <f>IF(OR(DO$4="",$B41=""),0,SUMIF('DADOS BRUTOS'!$A$3:$A$500,$B41,'DADOS BRUTOS'!AO$3:AO$500)+IF($C41="",0,SUMIF('DADOS BRUTOS'!$A$3:$A$500,$C41,'DADOS BRUTOS'!AO$3:AO$500)))</f>
        <v/>
      </c>
      <c r="DP41" s="56">
        <f>IF(OR(DP$4="",$B41=""),0,SUMIF('DADOS BRUTOS'!$A$3:$A$500,$B41,'DADOS BRUTOS'!AP$3:AP$500)+IF($C41="",0,SUMIF('DADOS BRUTOS'!$A$3:$A$500,$C41,'DADOS BRUTOS'!AP$3:AP$500)))</f>
        <v/>
      </c>
      <c r="DQ41" s="56">
        <f>IF(OR(DQ$4="",$B41=""),0,SUMIF('DADOS BRUTOS'!$A$3:$A$500,$B41,'DADOS BRUTOS'!AQ$3:AQ$500)+IF($C41="",0,SUMIF('DADOS BRUTOS'!$A$3:$A$500,$C41,'DADOS BRUTOS'!AQ$3:AQ$500)))</f>
        <v/>
      </c>
      <c r="DR41" s="56">
        <f>IF(OR(DR$4="",$B41=""),0,SUMIF('DADOS BRUTOS'!$A$3:$A$500,$B41,'DADOS BRUTOS'!AR$3:AR$500)+IF($C41="",0,SUMIF('DADOS BRUTOS'!$A$3:$A$500,$C41,'DADOS BRUTOS'!AR$3:AR$500)))</f>
        <v/>
      </c>
      <c r="DS41" s="56">
        <f>IF(OR(DS$4="",$B41=""),0,SUMIF('DADOS BRUTOS'!$A$3:$A$500,$B41,'DADOS BRUTOS'!AS$3:AS$500)+IF($C41="",0,SUMIF('DADOS BRUTOS'!$A$3:$A$500,$C41,'DADOS BRUTOS'!AS$3:AS$500)))</f>
        <v/>
      </c>
      <c r="DT41" s="56">
        <f>IF(OR(DT$4="",$B41=""),0,SUMIF('DADOS BRUTOS'!$A$3:$A$500,$B41,'DADOS BRUTOS'!AT$3:AT$500)+IF($C41="",0,SUMIF('DADOS BRUTOS'!$A$3:$A$500,$C41,'DADOS BRUTOS'!AT$3:AT$500)))</f>
        <v/>
      </c>
      <c r="DU41" s="56">
        <f>IF(OR(DU$4="",$B41=""),0,SUMIF('DADOS BRUTOS'!$A$3:$A$500,$B41,'DADOS BRUTOS'!AU$3:AU$500)+IF($C41="",0,SUMIF('DADOS BRUTOS'!$A$3:$A$500,$C41,'DADOS BRUTOS'!AU$3:AU$500)))</f>
        <v/>
      </c>
      <c r="DV41" s="56">
        <f>IF(OR(DV$4="",$B41=""),0,SUMIF('DADOS BRUTOS'!$A$3:$A$500,$B41,'DADOS BRUTOS'!AV$3:AV$500)+IF($C41="",0,SUMIF('DADOS BRUTOS'!$A$3:$A$500,$C41,'DADOS BRUTOS'!AV$3:AV$500)))</f>
        <v/>
      </c>
      <c r="DW41" s="56">
        <f>IF(OR(DW$4="",$B41=""),0,SUMIF('DADOS BRUTOS'!$A$3:$A$500,$B41,'DADOS BRUTOS'!AW$3:AW$500)+IF($C41="",0,SUMIF('DADOS BRUTOS'!$A$3:$A$500,$C41,'DADOS BRUTOS'!AW$3:AW$500)))</f>
        <v/>
      </c>
      <c r="DX41" s="56">
        <f>IF(OR(DX$4="",$B41=""),0,SUMIF('DADOS BRUTOS'!$A$3:$A$500,$B41,'DADOS BRUTOS'!AX$3:AX$500)+IF($C41="",0,SUMIF('DADOS BRUTOS'!$A$3:$A$500,$C41,'DADOS BRUTOS'!AX$3:AX$500)))</f>
        <v/>
      </c>
      <c r="DY41" s="56">
        <f>IF(OR(DY$4="",$B41=""),0,SUMIF('DADOS BRUTOS'!$A$3:$A$500,$B41,'DADOS BRUTOS'!AY$3:AY$500)+IF($C41="",0,SUMIF('DADOS BRUTOS'!$A$3:$A$500,$C41,'DADOS BRUTOS'!AY$3:AY$500)))</f>
        <v/>
      </c>
      <c r="DZ41" s="56">
        <f>IF(OR(DZ$4="",$B41=""),0,SUMIF('DADOS BRUTOS'!$A$3:$A$500,$B41,'DADOS BRUTOS'!AZ$3:AZ$500)+IF($C41="",0,SUMIF('DADOS BRUTOS'!$A$3:$A$500,$C41,'DADOS BRUTOS'!AZ$3:AZ$500)))</f>
        <v/>
      </c>
      <c r="EA41" s="56">
        <f>IF(OR(EA$4="",$B41=""),0,SUMIF('DADOS BRUTOS'!$A$3:$A$500,$B41,'DADOS BRUTOS'!BA$3:BA$500)+IF($C41="",0,SUMIF('DADOS BRUTOS'!$A$3:$A$500,$C41,'DADOS BRUTOS'!BA$3:BA$500)))</f>
        <v/>
      </c>
      <c r="EB41" s="56">
        <f>IF(OR(EB$4="",$B41=""),0,SUMIF('DADOS BRUTOS'!$A$3:$A$500,$B41,'DADOS BRUTOS'!BB$3:BB$500)+IF($C41="",0,SUMIF('DADOS BRUTOS'!$A$3:$A$500,$C41,'DADOS BRUTOS'!BB$3:BB$500)))</f>
        <v/>
      </c>
      <c r="EC41" s="56">
        <f>IF(OR(EC$4="",$B41=""),0,SUMIF('DADOS BRUTOS'!$A$3:$A$500,$B41,'DADOS BRUTOS'!BC$3:BC$500)+IF($C41="",0,SUMIF('DADOS BRUTOS'!$A$3:$A$500,$C41,'DADOS BRUTOS'!BC$3:BC$500)))</f>
        <v/>
      </c>
      <c r="ED41" s="56">
        <f>IF(OR(ED$4="",$B41=""),0,SUMIF('DADOS BRUTOS'!$A$3:$A$500,$B41,'DADOS BRUTOS'!BD$3:BD$500)+IF($C41="",0,SUMIF('DADOS BRUTOS'!$A$3:$A$500,$C41,'DADOS BRUTOS'!BD$3:BD$500)))</f>
        <v/>
      </c>
      <c r="EE41" s="56">
        <f>IF(OR(EE$4="",$B41=""),0,SUMIF('DADOS BRUTOS'!$A$3:$A$500,$B41,'DADOS BRUTOS'!BE$3:BE$500)+IF($C41="",0,SUMIF('DADOS BRUTOS'!$A$3:$A$500,$C41,'DADOS BRUTOS'!BE$3:BE$500)))</f>
        <v/>
      </c>
      <c r="EF41" s="56">
        <f>IF(OR(EF$4="",$B41=""),0,SUMIF('DADOS BRUTOS'!$A$3:$A$500,$B41,'DADOS BRUTOS'!BF$3:BF$500)+IF($C41="",0,SUMIF('DADOS BRUTOS'!$A$3:$A$500,$C41,'DADOS BRUTOS'!BF$3:BF$500)))</f>
        <v/>
      </c>
      <c r="EG41" s="56">
        <f>IF(OR(EG$4="",$B41=""),0,SUMIF('DADOS BRUTOS'!$A$3:$A$500,$B41,'DADOS BRUTOS'!BG$3:BG$500)+IF($C41="",0,SUMIF('DADOS BRUTOS'!$A$3:$A$500,$C41,'DADOS BRUTOS'!BG$3:BG$500)))</f>
        <v/>
      </c>
      <c r="EH41" s="56">
        <f>IF(OR(EH$4="",$B41=""),0,SUMIF('DADOS BRUTOS'!$A$3:$A$500,$B41,'DADOS BRUTOS'!BH$3:BH$500)+IF($C41="",0,SUMIF('DADOS BRUTOS'!$A$3:$A$500,$C41,'DADOS BRUTOS'!BH$3:BH$500)))</f>
        <v/>
      </c>
      <c r="EI41" s="56">
        <f>IF(OR(EI$4="",$B41=""),0,SUMIF('DADOS BRUTOS'!$A$3:$A$500,$B41,'DADOS BRUTOS'!BI$3:BI$500)+IF($C41="",0,SUMIF('DADOS BRUTOS'!$A$3:$A$500,$C41,'DADOS BRUTOS'!BI$3:BI$500)))</f>
        <v/>
      </c>
      <c r="EJ41" s="56">
        <f>IF(OR(EJ$4="",$B41=""),0,SUMIF('DADOS BRUTOS'!$A$3:$A$500,$B41,'DADOS BRUTOS'!BJ$3:BJ$500)+IF($C41="",0,SUMIF('DADOS BRUTOS'!$A$3:$A$500,$C41,'DADOS BRUTOS'!BJ$3:BJ$500)))</f>
        <v/>
      </c>
      <c r="EK41" s="56">
        <f>IF(OR(EK$4="",$B41=""),0,SUMIF('DADOS BRUTOS'!$A$3:$A$500,$B41,'DADOS BRUTOS'!BK$3:BK$500)+IF($C41="",0,SUMIF('DADOS BRUTOS'!$A$3:$A$500,$C41,'DADOS BRUTOS'!BK$3:BK$500)))</f>
        <v/>
      </c>
      <c r="EL41" s="56">
        <f>IF(OR(EL$4="",$B41=""),0,SUMIF('DADOS BRUTOS'!$A$3:$A$500,$B41,'DADOS BRUTOS'!BL$3:BL$500)+IF($C41="",0,SUMIF('DADOS BRUTOS'!$A$3:$A$500,$C41,'DADOS BRUTOS'!BL$3:BL$500)))</f>
        <v/>
      </c>
      <c r="EM41" s="56">
        <f>IF(OR(EM$4="",$B41=""),0,SUMIF('DADOS BRUTOS'!$A$3:$A$500,$B41,'DADOS BRUTOS'!BM$3:BM$500)+IF($C41="",0,SUMIF('DADOS BRUTOS'!$A$3:$A$500,$C41,'DADOS BRUTOS'!BM$3:BM$500)))</f>
        <v/>
      </c>
      <c r="EN41" s="56">
        <f>IF(OR(EN$4="",$B41=""),0,SUMIF('DADOS BRUTOS'!$A$3:$A$500,$B41,'DADOS BRUTOS'!BN$3:BN$500)+IF($C41="",0,SUMIF('DADOS BRUTOS'!$A$3:$A$500,$C41,'DADOS BRUTOS'!BN$3:BN$500)))</f>
        <v/>
      </c>
      <c r="EO41" s="56">
        <f>IF(OR(EO$4="",$B41=""),0,SUMIF('DADOS BRUTOS'!$A$3:$A$500,$B41,'DADOS BRUTOS'!BO$3:BO$500)+IF($C41="",0,SUMIF('DADOS BRUTOS'!$A$3:$A$500,$C41,'DADOS BRUTOS'!BO$3:BO$500)))</f>
        <v/>
      </c>
      <c r="EP41" s="56">
        <f>IF(OR(EP$4="",$B41=""),0,SUMIF('DADOS BRUTOS'!$A$3:$A$500,$B41,'DADOS BRUTOS'!BP$3:BP$500)+IF($C41="",0,SUMIF('DADOS BRUTOS'!$A$3:$A$500,$C41,'DADOS BRUTOS'!BP$3:BP$500)))</f>
        <v/>
      </c>
      <c r="EQ41" s="56">
        <f>IF(OR(EQ$4="",$B41=""),0,SUMIF('DADOS BRUTOS'!$A$3:$A$500,$B41,'DADOS BRUTOS'!BQ$3:BQ$500)+IF($C41="",0,SUMIF('DADOS BRUTOS'!$A$3:$A$500,$C41,'DADOS BRUTOS'!BQ$3:BQ$500)))</f>
        <v/>
      </c>
      <c r="ER41" s="56">
        <f>IF(OR(ER$4="",$B41=""),0,SUMIF('DADOS BRUTOS'!$A$3:$A$500,$B41,'DADOS BRUTOS'!BR$3:BR$500)+IF($C41="",0,SUMIF('DADOS BRUTOS'!$A$3:$A$500,$C41,'DADOS BRUTOS'!BR$3:BR$500)))</f>
        <v/>
      </c>
      <c r="ES41" s="56">
        <f>IF(OR(ES$4="",$B41=""),0,SUMIF('DADOS BRUTOS'!$A$3:$A$500,$B41,'DADOS BRUTOS'!BS$3:BS$500)+IF($C41="",0,SUMIF('DADOS BRUTOS'!$A$3:$A$500,$C41,'DADOS BRUTOS'!BS$3:BS$500)))</f>
        <v/>
      </c>
      <c r="ET41" s="56">
        <f>IF(OR(ET$4="",$B41=""),0,SUMIF('DADOS BRUTOS'!$A$3:$A$500,$B41,'DADOS BRUTOS'!BT$3:BT$500)+IF($C41="",0,SUMIF('DADOS BRUTOS'!$A$3:$A$500,$C41,'DADOS BRUTOS'!BT$3:BT$500)))</f>
        <v/>
      </c>
      <c r="EU41" s="56">
        <f>IF(OR(EU$4="",$B41=""),0,SUMIF('DADOS BRUTOS'!$A$3:$A$500,$B41,'DADOS BRUTOS'!BU$3:BU$500)+IF($C41="",0,SUMIF('DADOS BRUTOS'!$A$3:$A$500,$C41,'DADOS BRUTOS'!BU$3:BU$500)))</f>
        <v/>
      </c>
      <c r="EV41" s="56">
        <f>IF(OR(EV$4="",$B41=""),0,SUMIF('DADOS BRUTOS'!$A$3:$A$500,$B41,'DADOS BRUTOS'!BV$3:BV$500)+IF($C41="",0,SUMIF('DADOS BRUTOS'!$A$3:$A$500,$C41,'DADOS BRUTOS'!BV$3:BV$500)))</f>
        <v/>
      </c>
      <c r="EW41" s="56">
        <f>IF(OR(EW$4="",$B41=""),0,SUMIF('DADOS BRUTOS'!$A$3:$A$500,$B41,'DADOS BRUTOS'!BW$3:BW$500)+IF($C41="",0,SUMIF('DADOS BRUTOS'!$A$3:$A$500,$C41,'DADOS BRUTOS'!BW$3:BW$500)))</f>
        <v/>
      </c>
      <c r="EX41" s="56">
        <f>IF(OR(EX$4="",$B41=""),0,SUMIF('DADOS BRUTOS'!$A$3:$A$500,$B41,'DADOS BRUTOS'!BX$3:BX$500)+IF($C41="",0,SUMIF('DADOS BRUTOS'!$A$3:$A$500,$C41,'DADOS BRUTOS'!BX$3:BX$500)))</f>
        <v/>
      </c>
      <c r="EY41" s="56">
        <f>IF(OR(EY$4="",$B41=""),0,SUMIF('DADOS BRUTOS'!$A$3:$A$500,$B41,'DADOS BRUTOS'!BY$3:BY$500)+IF($C41="",0,SUMIF('DADOS BRUTOS'!$A$3:$A$500,$C41,'DADOS BRUTOS'!BY$3:BY$500)))</f>
        <v/>
      </c>
      <c r="EZ41" s="56">
        <f>IF(OR(EZ$4="",$B41=""),0,SUMIF('DADOS BRUTOS'!$A$3:$A$500,$B41,'DADOS BRUTOS'!BZ$3:BZ$500)+IF($C41="",0,SUMIF('DADOS BRUTOS'!$A$3:$A$500,$C41,'DADOS BRUTOS'!BZ$3:BZ$500)))</f>
        <v/>
      </c>
      <c r="FA41" s="56">
        <f>IF(OR(FA$4="",$B41=""),0,SUMIF('DADOS BRUTOS'!$A$3:$A$500,$B41,'DADOS BRUTOS'!CA$3:CA$500)+IF($C41="",0,SUMIF('DADOS BRUTOS'!$A$3:$A$500,$C41,'DADOS BRUTOS'!CA$3:CA$500)))</f>
        <v/>
      </c>
      <c r="FB41" s="56">
        <f>IF(OR(FB$4="",$B41=""),0,SUMIF('DADOS BRUTOS'!$A$3:$A$500,$B41,'DADOS BRUTOS'!CB$3:CB$500)+IF($C41="",0,SUMIF('DADOS BRUTOS'!$A$3:$A$500,$C41,'DADOS BRUTOS'!CB$3:CB$500)))</f>
        <v/>
      </c>
      <c r="FC41" s="56">
        <f>IF(OR(FC$4="",$B41=""),0,SUMIF('DADOS BRUTOS'!$A$3:$A$500,$B41,'DADOS BRUTOS'!CC$3:CC$500)+IF($C41="",0,SUMIF('DADOS BRUTOS'!$A$3:$A$500,$C41,'DADOS BRUTOS'!CC$3:CC$500)))</f>
        <v/>
      </c>
      <c r="FD41" s="56">
        <f>IF(OR(FD$4="",$B41=""),0,SUMIF('DADOS BRUTOS'!$A$3:$A$500,$B41,'DADOS BRUTOS'!CD$3:CD$500)+IF($C41="",0,SUMIF('DADOS BRUTOS'!$A$3:$A$500,$C41,'DADOS BRUTOS'!CD$3:CD$500)))</f>
        <v/>
      </c>
      <c r="FE41" s="56">
        <f>IF(OR(FE$4="",$B41=""),0,SUMIF('DADOS BRUTOS'!$A$3:$A$500,$B41,'DADOS BRUTOS'!CE$3:CE$500)+IF($C41="",0,SUMIF('DADOS BRUTOS'!$A$3:$A$500,$C41,'DADOS BRUTOS'!CE$3:CE$500)))</f>
        <v/>
      </c>
      <c r="FF41" s="56">
        <f>IF(OR(FF$4="",$B41=""),0,SUMIF('DADOS BRUTOS'!$A$3:$A$500,$B41,'DADOS BRUTOS'!CF$3:CF$500)+IF($C41="",0,SUMIF('DADOS BRUTOS'!$A$3:$A$500,$C41,'DADOS BRUTOS'!CF$3:CF$500)))</f>
        <v/>
      </c>
      <c r="FG41" s="56">
        <f>IF(OR(FG$4="",$B41=""),0,SUMIF('DADOS BRUTOS'!$A$3:$A$500,$B41,'DADOS BRUTOS'!CG$3:CG$500)+IF($C41="",0,SUMIF('DADOS BRUTOS'!$A$3:$A$500,$C41,'DADOS BRUTOS'!CG$3:CG$500)))</f>
        <v/>
      </c>
      <c r="FH41" s="56">
        <f>IF(OR(FH$4="",$B41=""),0,SUMIF('DADOS BRUTOS'!$A$3:$A$500,$B41,'DADOS BRUTOS'!CH$3:CH$500)+IF($C41="",0,SUMIF('DADOS BRUTOS'!$A$3:$A$500,$C41,'DADOS BRUTOS'!CH$3:CH$500)))</f>
        <v/>
      </c>
      <c r="FI41" s="56">
        <f>IF(OR(FI$4="",$B41=""),0,SUMIF('DADOS BRUTOS'!$A$3:$A$500,$B41,'DADOS BRUTOS'!CI$3:CI$500)+IF($C41="",0,SUMIF('DADOS BRUTOS'!$A$3:$A$500,$C41,'DADOS BRUTOS'!CI$3:CI$500)))</f>
        <v/>
      </c>
      <c r="FJ41" s="56">
        <f>IF(OR(FJ$4="",$B41=""),0,SUMIF('DADOS BRUTOS'!$A$3:$A$500,$B41,'DADOS BRUTOS'!CJ$3:CJ$500)+IF($C41="",0,SUMIF('DADOS BRUTOS'!$A$3:$A$500,$C41,'DADOS BRUTOS'!CJ$3:CJ$500)))</f>
        <v/>
      </c>
      <c r="FK41" s="56">
        <f>IF(OR(FK$4="",$B41=""),0,SUMIF('DADOS BRUTOS'!$A$3:$A$500,$B41,'DADOS BRUTOS'!CK$3:CK$500)+IF($C41="",0,SUMIF('DADOS BRUTOS'!$A$3:$A$500,$C41,'DADOS BRUTOS'!CK$3:CK$500)))</f>
        <v/>
      </c>
      <c r="FL41" s="56">
        <f>IF(OR(FL$4="",$B41=""),0,SUMIF('DADOS BRUTOS'!$A$3:$A$500,$B41,'DADOS BRUTOS'!CL$3:CL$500)+IF($C41="",0,SUMIF('DADOS BRUTOS'!$A$3:$A$500,$C41,'DADOS BRUTOS'!CL$3:CL$500)))</f>
        <v/>
      </c>
      <c r="FM41" s="56">
        <f>IF(OR(FM$4="",$B41=""),0,SUMIF('DADOS BRUTOS'!$A$3:$A$500,$B41,'DADOS BRUTOS'!CM$3:CM$500)+IF($C41="",0,SUMIF('DADOS BRUTOS'!$A$3:$A$500,$C41,'DADOS BRUTOS'!CM$3:CM$500)))</f>
        <v/>
      </c>
      <c r="FN41" s="56">
        <f>IF(OR(FN$4="",$B41=""),0,SUMIF('DADOS BRUTOS'!$A$3:$A$500,$B41,'DADOS BRUTOS'!CN$3:CN$500)+IF($C41="",0,SUMIF('DADOS BRUTOS'!$A$3:$A$500,$C41,'DADOS BRUTOS'!CN$3:CN$500)))</f>
        <v/>
      </c>
      <c r="FO41" s="56">
        <f>IF(OR(FO$4="",$B41=""),0,SUMIF('DADOS BRUTOS'!$A$3:$A$500,$B41,'DADOS BRUTOS'!CO$3:CO$500)+IF($C41="",0,SUMIF('DADOS BRUTOS'!$A$3:$A$500,$C41,'DADOS BRUTOS'!CO$3:CO$500)))</f>
        <v/>
      </c>
      <c r="FP41" s="56">
        <f>IF(OR(FP$4="",$B41=""),0,SUMIF('DADOS BRUTOS'!$A$3:$A$500,$B41,'DADOS BRUTOS'!CP$3:CP$500)+IF($C41="",0,SUMIF('DADOS BRUTOS'!$A$3:$A$500,$C41,'DADOS BRUTOS'!CP$3:CP$500)))</f>
        <v/>
      </c>
      <c r="FQ41" s="56">
        <f>IF(OR(FQ$4="",$B41=""),0,SUMIF('DADOS BRUTOS'!$A$3:$A$500,$B41,'DADOS BRUTOS'!CQ$3:CQ$500)+IF($C41="",0,SUMIF('DADOS BRUTOS'!$A$3:$A$500,$C41,'DADOS BRUTOS'!CQ$3:CQ$500)))</f>
        <v/>
      </c>
      <c r="FR41" s="56">
        <f>IF(OR(FR$4="",$B41=""),0,SUMIF('DADOS BRUTOS'!$A$3:$A$500,$B41,'DADOS BRUTOS'!CR$3:CR$500)+IF($C41="",0,SUMIF('DADOS BRUTOS'!$A$3:$A$500,$C41,'DADOS BRUTOS'!CR$3:CR$500)))</f>
        <v/>
      </c>
      <c r="FS41" s="56">
        <f>IF(OR(FS$4="",$B41=""),0,SUMIF('DADOS BRUTOS'!$A$3:$A$500,$B41,'DADOS BRUTOS'!CS$3:CS$500)+IF($C41="",0,SUMIF('DADOS BRUTOS'!$A$3:$A$500,$C41,'DADOS BRUTOS'!CS$3:CS$500)))</f>
        <v/>
      </c>
      <c r="FT41" s="56">
        <f>IF(OR(FT$4="",$B41=""),0,SUMIF('DADOS BRUTOS'!$A$3:$A$500,$B41,'DADOS BRUTOS'!CT$3:CT$500)+IF($C41="",0,SUMIF('DADOS BRUTOS'!$A$3:$A$500,$C41,'DADOS BRUTOS'!CT$3:CT$500)))</f>
        <v/>
      </c>
      <c r="FU41" s="56">
        <f>IF(OR(FU$4="",$B41=""),0,SUMIF('DADOS BRUTOS'!$A$3:$A$500,$B41,'DADOS BRUTOS'!CU$3:CU$500)+IF($C41="",0,SUMIF('DADOS BRUTOS'!$A$3:$A$500,$C41,'DADOS BRUTOS'!CU$3:CU$500)))</f>
        <v/>
      </c>
      <c r="FV41" s="56">
        <f>IF(OR(FV$4="",$B41=""),0,SUMIF('DADOS BRUTOS'!$A$3:$A$500,$B41,'DADOS BRUTOS'!CV$3:CV$500)+IF($C41="",0,SUMIF('DADOS BRUTOS'!$A$3:$A$500,$C41,'DADOS BRUTOS'!CV$3:CV$500)))</f>
        <v/>
      </c>
      <c r="FW41" s="56">
        <f>IF(OR(FW$4="",$B41=""),0,SUMIF('DADOS BRUTOS'!$A$3:$A$500,$B41,'DADOS BRUTOS'!CW$3:CW$500)+IF($C41="",0,SUMIF('DADOS BRUTOS'!$A$3:$A$500,$C41,'DADOS BRUTOS'!CW$3:CW$500)))</f>
        <v/>
      </c>
      <c r="FX41" s="56">
        <f>IF(OR(FX$4="",$B41=""),0,SUMIF('DADOS BRUTOS'!$A$3:$A$500,$B41,'DADOS BRUTOS'!CX$3:CX$500)+IF($C41="",0,SUMIF('DADOS BRUTOS'!$A$3:$A$500,$C41,'DADOS BRUTOS'!CX$3:CX$500)))</f>
        <v/>
      </c>
      <c r="FY41" s="56">
        <f>IF(OR(FY$4="",$B41=""),0,SUMIF('DADOS BRUTOS'!$A$3:$A$500,$B41,'DADOS BRUTOS'!CY$3:CY$500)+IF($C41="",0,SUMIF('DADOS BRUTOS'!$A$3:$A$500,$C41,'DADOS BRUTOS'!CY$3:CY$500)))</f>
        <v/>
      </c>
      <c r="FZ41" s="56">
        <f>IF(OR(FZ$4="",$B41=""),0,SUMIF('DADOS BRUTOS'!$A$3:$A$500,$B41,'DADOS BRUTOS'!CZ$3:CZ$500)+IF($C41="",0,SUMIF('DADOS BRUTOS'!$A$3:$A$500,$C41,'DADOS BRUTOS'!CZ$3:CZ$500)))</f>
        <v/>
      </c>
      <c r="GA41" s="56">
        <f>IF(OR(GA$4="",$B41=""),0,SUMIF('DADOS BRUTOS'!$A$3:$A$500,$B41,'DADOS BRUTOS'!DA$3:DA$500)+IF($C41="",0,SUMIF('DADOS BRUTOS'!$A$3:$A$500,$C41,'DADOS BRUTOS'!DA$3:DA$500)))</f>
        <v/>
      </c>
      <c r="GB41" s="56">
        <f>IF(OR(GB$4="",$B41=""),0,SUMIF('DADOS BRUTOS'!$A$3:$A$500,$B41,'DADOS BRUTOS'!DB$3:DB$500)+IF($C41="",0,SUMIF('DADOS BRUTOS'!$A$3:$A$500,$C41,'DADOS BRUTOS'!DB$3:DB$500)))</f>
        <v/>
      </c>
      <c r="GC41" s="56">
        <f>IF(OR(GC$4="",$B41=""),0,SUMIF('DADOS BRUTOS'!$A$3:$A$500,$B41,'DADOS BRUTOS'!DC$3:DC$500)+IF($C41="",0,SUMIF('DADOS BRUTOS'!$A$3:$A$500,$C41,'DADOS BRUTOS'!DC$3:DC$500)))</f>
        <v/>
      </c>
      <c r="GD41" s="56">
        <f>IF(OR(GD$4="",$B41=""),0,SUMIF('DADOS BRUTOS'!$A$3:$A$500,$B41,'DADOS BRUTOS'!DD$3:DD$500)+IF($C41="",0,SUMIF('DADOS BRUTOS'!$A$3:$A$500,$C41,'DADOS BRUTOS'!DD$3:DD$500)))</f>
        <v/>
      </c>
      <c r="GE41" s="56">
        <f>IF(OR(GE$4="",$B41=""),0,SUMIF('DADOS BRUTOS'!$A$3:$A$500,$B41,'DADOS BRUTOS'!DE$3:DE$500)+IF($C41="",0,SUMIF('DADOS BRUTOS'!$A$3:$A$500,$C41,'DADOS BRUTOS'!DE$3:DE$500)))</f>
        <v/>
      </c>
      <c r="GF41" s="56">
        <f>IF(OR(GF$4="",$B41=""),0,SUMIF('DADOS BRUTOS'!$A$3:$A$500,$B41,'DADOS BRUTOS'!DF$3:DF$500)+IF($C41="",0,SUMIF('DADOS BRUTOS'!$A$3:$A$500,$C41,'DADOS BRUTOS'!DF$3:DF$500)))</f>
        <v/>
      </c>
      <c r="GG41" s="56">
        <f>IF(OR(GG$4="",$B41=""),0,SUMIF('DADOS BRUTOS'!$A$3:$A$500,$B41,'DADOS BRUTOS'!DG$3:DG$500)+IF($C41="",0,SUMIF('DADOS BRUTOS'!$A$3:$A$500,$C41,'DADOS BRUTOS'!DG$3:DG$500)))</f>
        <v/>
      </c>
      <c r="GH41" s="56">
        <f>IF(OR(GH$4="",$B41=""),0,SUMIF('DADOS BRUTOS'!$A$3:$A$500,$B41,'DADOS BRUTOS'!DH$3:DH$500)+IF($C41="",0,SUMIF('DADOS BRUTOS'!$A$3:$A$500,$C41,'DADOS BRUTOS'!DH$3:DH$500)))</f>
        <v/>
      </c>
      <c r="GI41" s="56">
        <f>IF(OR(GI$4="",$B41=""),0,SUMIF('DADOS BRUTOS'!$A$3:$A$500,$B41,'DADOS BRUTOS'!DI$3:DI$500)+IF($C41="",0,SUMIF('DADOS BRUTOS'!$A$3:$A$500,$C41,'DADOS BRUTOS'!DI$3:DI$500)))</f>
        <v/>
      </c>
      <c r="GJ41" s="56">
        <f>IF(OR(GJ$4="",$B41=""),0,SUMIF('DADOS BRUTOS'!$A$3:$A$500,$B41,'DADOS BRUTOS'!DJ$3:DJ$500)+IF($C41="",0,SUMIF('DADOS BRUTOS'!$A$3:$A$500,$C41,'DADOS BRUTOS'!DJ$3:DJ$500)))</f>
        <v/>
      </c>
      <c r="GK41" s="56">
        <f>IF(OR(GK$4="",$B41=""),0,SUMIF('DADOS BRUTOS'!$A$3:$A$500,$B41,'DADOS BRUTOS'!DK$3:DK$500)+IF($C41="",0,SUMIF('DADOS BRUTOS'!$A$3:$A$500,$C41,'DADOS BRUTOS'!DK$3:DK$500)))</f>
        <v/>
      </c>
      <c r="GL41" s="56">
        <f>IF(OR(GL$4="",$B41=""),0,SUMIF('DADOS BRUTOS'!$A$3:$A$500,$B41,'DADOS BRUTOS'!DL$3:DL$500)+IF($C41="",0,SUMIF('DADOS BRUTOS'!$A$3:$A$500,$C41,'DADOS BRUTOS'!DL$3:DL$500)))</f>
        <v/>
      </c>
      <c r="GM41" s="56">
        <f>IF(OR(GM$4="",$B41=""),0,SUMIF('DADOS BRUTOS'!$A$3:$A$500,$B41,'DADOS BRUTOS'!DM$3:DM$500)+IF($C41="",0,SUMIF('DADOS BRUTOS'!$A$3:$A$500,$C41,'DADOS BRUTOS'!DM$3:DM$500)))</f>
        <v/>
      </c>
      <c r="GN41" s="56">
        <f>IF(OR(GN$4="",$B41=""),0,SUMIF('DADOS BRUTOS'!$A$3:$A$500,$B41,'DADOS BRUTOS'!DN$3:DN$500)+IF($C41="",0,SUMIF('DADOS BRUTOS'!$A$3:$A$500,$C41,'DADOS BRUTOS'!DN$3:DN$500)))</f>
        <v/>
      </c>
      <c r="GO41" s="56">
        <f>IF(OR(GO$4="",$B41=""),0,SUMIF('DADOS BRUTOS'!$A$3:$A$500,$B41,'DADOS BRUTOS'!DO$3:DO$500)+IF($C41="",0,SUMIF('DADOS BRUTOS'!$A$3:$A$500,$C41,'DADOS BRUTOS'!DO$3:DO$500)))</f>
        <v/>
      </c>
      <c r="GP41" s="56">
        <f>IF(OR(GP$4="",$B41=""),0,SUMIF('DADOS BRUTOS'!$A$3:$A$500,$B41,'DADOS BRUTOS'!DP$3:DP$500)+IF($C41="",0,SUMIF('DADOS BRUTOS'!$A$3:$A$500,$C41,'DADOS BRUTOS'!DP$3:DP$500)))</f>
        <v/>
      </c>
      <c r="GQ41" s="56">
        <f>IF(OR(GQ$4="",$B41=""),0,SUMIF('DADOS BRUTOS'!$A$3:$A$500,$B41,'DADOS BRUTOS'!DQ$3:DQ$500)+IF($C41="",0,SUMIF('DADOS BRUTOS'!$A$3:$A$500,$C41,'DADOS BRUTOS'!DQ$3:DQ$500)))</f>
        <v/>
      </c>
      <c r="GR41" s="56">
        <f>IF(OR(GR$4="",$B41=""),0,SUMIF('DADOS BRUTOS'!$A$3:$A$500,$B41,'DADOS BRUTOS'!DR$3:DR$500)+IF($C41="",0,SUMIF('DADOS BRUTOS'!$A$3:$A$500,$C41,'DADOS BRUTOS'!DR$3:DR$500)))</f>
        <v/>
      </c>
      <c r="GS41" s="56">
        <f>IF(OR(GS$4="",$B41=""),0,SUMIF('DADOS BRUTOS'!$A$3:$A$500,$B41,'DADOS BRUTOS'!DS$3:DS$500)+IF($C41="",0,SUMIF('DADOS BRUTOS'!$A$3:$A$500,$C41,'DADOS BRUTOS'!DS$3:DS$500)))</f>
        <v/>
      </c>
      <c r="GT41" s="56">
        <f>IF(OR(GT$4="",$B41=""),0,SUMIF('DADOS BRUTOS'!$A$3:$A$500,$B41,'DADOS BRUTOS'!DT$3:DT$500)+IF($C41="",0,SUMIF('DADOS BRUTOS'!$A$3:$A$500,$C41,'DADOS BRUTOS'!DT$3:DT$500)))</f>
        <v/>
      </c>
      <c r="GU41" s="56">
        <f>IF(OR(GU$4="",$B41=""),0,SUMIF('DADOS BRUTOS'!$A$3:$A$500,$B41,'DADOS BRUTOS'!DU$3:DU$500)+IF($C41="",0,SUMIF('DADOS BRUTOS'!$A$3:$A$500,$C41,'DADOS BRUTOS'!DU$3:DU$500)))</f>
        <v/>
      </c>
      <c r="GV41" s="56">
        <f>IF(OR(GV$4="",$B41=""),0,SUMIF('DADOS BRUTOS'!$A$3:$A$500,$B41,'DADOS BRUTOS'!DV$3:DV$500)+IF($C41="",0,SUMIF('DADOS BRUTOS'!$A$3:$A$500,$C41,'DADOS BRUTOS'!DV$3:DV$500)))</f>
        <v/>
      </c>
      <c r="GW41" s="56">
        <f>IF(OR(GW$4="",$B41=""),0,SUMIF('DADOS BRUTOS'!$A$3:$A$500,$B41,'DADOS BRUTOS'!DW$3:DW$500)+IF($C41="",0,SUMIF('DADOS BRUTOS'!$A$3:$A$500,$C41,'DADOS BRUTOS'!DW$3:DW$500)))</f>
        <v/>
      </c>
      <c r="GX41" s="56">
        <f>IF(OR(GX$4="",$B41=""),0,SUMIF('DADOS BRUTOS'!$A$3:$A$500,$B41,'DADOS BRUTOS'!DX$3:DX$500)+IF($C41="",0,SUMIF('DADOS BRUTOS'!$A$3:$A$500,$C41,'DADOS BRUTOS'!DX$3:DX$500)))</f>
        <v/>
      </c>
      <c r="GY41" s="56">
        <f>IF(OR(GY$4="",$B41=""),0,SUMIF('DADOS BRUTOS'!$A$3:$A$500,$B41,'DADOS BRUTOS'!DY$3:DY$500)+IF($C41="",0,SUMIF('DADOS BRUTOS'!$A$3:$A$500,$C41,'DADOS BRUTOS'!DY$3:DY$500)))</f>
        <v/>
      </c>
      <c r="GZ41" s="56">
        <f>IF(OR(GZ$4="",$B41=""),0,SUMIF('DADOS BRUTOS'!$A$3:$A$500,$B41,'DADOS BRUTOS'!DZ$3:DZ$500)+IF($C41="",0,SUMIF('DADOS BRUTOS'!$A$3:$A$500,$C41,'DADOS BRUTOS'!DZ$3:DZ$500)))</f>
        <v/>
      </c>
      <c r="HA41" s="56">
        <f>IF(OR(HA$4="",$B41=""),0,SUMIF('DADOS BRUTOS'!$A$3:$A$500,$B41,'DADOS BRUTOS'!EA$3:EA$500)+IF($C41="",0,SUMIF('DADOS BRUTOS'!$A$3:$A$500,$C41,'DADOS BRUTOS'!EA$3:EA$500)))</f>
        <v/>
      </c>
      <c r="HB41" s="56">
        <f>IF(OR(HB$4="",$B41=""),0,SUMIF('DADOS BRUTOS'!$A$3:$A$500,$B41,'DADOS BRUTOS'!EB$3:EB$500)+IF($C41="",0,SUMIF('DADOS BRUTOS'!$A$3:$A$500,$C41,'DADOS BRUTOS'!EB$3:EB$500)))</f>
        <v/>
      </c>
      <c r="HC41" s="56">
        <f>IF(OR(HC$4="",$B41=""),0,SUMIF('DADOS BRUTOS'!$A$3:$A$500,$B41,'DADOS BRUTOS'!EC$3:EC$500)+IF($C41="",0,SUMIF('DADOS BRUTOS'!$A$3:$A$500,$C41,'DADOS BRUTOS'!EC$3:EC$500)))</f>
        <v/>
      </c>
      <c r="HD41" s="56">
        <f>IF(OR(HD$4="",$B41=""),0,SUMIF('DADOS BRUTOS'!$A$3:$A$500,$B41,'DADOS BRUTOS'!ED$3:ED$500)+IF($C41="",0,SUMIF('DADOS BRUTOS'!$A$3:$A$500,$C41,'DADOS BRUTOS'!ED$3:ED$500)))</f>
        <v/>
      </c>
      <c r="HE41" s="56">
        <f>IF(OR(HE$4="",$B41=""),0,SUMIF('DADOS BRUTOS'!$A$3:$A$500,$B41,'DADOS BRUTOS'!EE$3:EE$500)+IF($C41="",0,SUMIF('DADOS BRUTOS'!$A$3:$A$500,$C41,'DADOS BRUTOS'!EE$3:EE$500)))</f>
        <v/>
      </c>
      <c r="HF41" s="56">
        <f>IF(OR(HF$4="",$B41=""),0,SUMIF('DADOS BRUTOS'!$A$3:$A$500,$B41,'DADOS BRUTOS'!EF$3:EF$500)+IF($C41="",0,SUMIF('DADOS BRUTOS'!$A$3:$A$500,$C41,'DADOS BRUTOS'!EF$3:EF$500)))</f>
        <v/>
      </c>
      <c r="HG41" s="56">
        <f>IF(OR(HG$4="",$B41=""),0,SUMIF('DADOS BRUTOS'!$A$3:$A$500,$B41,'DADOS BRUTOS'!EG$3:EG$500)+IF($C41="",0,SUMIF('DADOS BRUTOS'!$A$3:$A$500,$C41,'DADOS BRUTOS'!EG$3:EG$500)))</f>
        <v/>
      </c>
      <c r="HH41" s="56">
        <f>IF(OR(HH$4="",$B41=""),0,SUMIF('DADOS BRUTOS'!$A$3:$A$500,$B41,'DADOS BRUTOS'!EH$3:EH$500)+IF($C41="",0,SUMIF('DADOS BRUTOS'!$A$3:$A$500,$C41,'DADOS BRUTOS'!EH$3:EH$500)))</f>
        <v/>
      </c>
      <c r="HI41" s="56">
        <f>IF(OR(HI$4="",$B41=""),0,SUMIF('DADOS BRUTOS'!$A$3:$A$500,$B41,'DADOS BRUTOS'!EI$3:EI$500)+IF($C41="",0,SUMIF('DADOS BRUTOS'!$A$3:$A$500,$C41,'DADOS BRUTOS'!EI$3:EI$500)))</f>
        <v/>
      </c>
      <c r="HJ41" s="56">
        <f>IF(OR(HJ$4="",$B41=""),0,SUMIF('DADOS BRUTOS'!$A$3:$A$500,$B41,'DADOS BRUTOS'!EJ$3:EJ$500)+IF($C41="",0,SUMIF('DADOS BRUTOS'!$A$3:$A$500,$C41,'DADOS BRUTOS'!EJ$3:EJ$500)))</f>
        <v/>
      </c>
      <c r="HK41" s="56">
        <f>IF(OR(HK$4="",$B41=""),0,SUMIF('DADOS BRUTOS'!$A$3:$A$500,$B41,'DADOS BRUTOS'!EK$3:EK$500)+IF($C41="",0,SUMIF('DADOS BRUTOS'!$A$3:$A$500,$C41,'DADOS BRUTOS'!EK$3:EK$500)))</f>
        <v/>
      </c>
      <c r="HL41" s="56">
        <f>IF(OR(HL$4="",$B41=""),0,SUMIF('DADOS BRUTOS'!$A$3:$A$500,$B41,'DADOS BRUTOS'!EL$3:EL$500)+IF($C41="",0,SUMIF('DADOS BRUTOS'!$A$3:$A$500,$C41,'DADOS BRUTOS'!EL$3:EL$500)))</f>
        <v/>
      </c>
      <c r="HM41" s="56">
        <f>IF(OR(HM$4="",$B41=""),0,SUMIF('DADOS BRUTOS'!$A$3:$A$500,$B41,'DADOS BRUTOS'!EM$3:EM$500)+IF($C41="",0,SUMIF('DADOS BRUTOS'!$A$3:$A$500,$C41,'DADOS BRUTOS'!EM$3:EM$500)))</f>
        <v/>
      </c>
      <c r="HN41" s="56">
        <f>IF(OR(HN$4="",$B41=""),0,SUMIF('DADOS BRUTOS'!$A$3:$A$500,$B41,'DADOS BRUTOS'!EN$3:EN$500)+IF($C41="",0,SUMIF('DADOS BRUTOS'!$A$3:$A$500,$C41,'DADOS BRUTOS'!EN$3:EN$500)))</f>
        <v/>
      </c>
      <c r="HO41" s="56">
        <f>IF(OR(HO$4="",$B41=""),0,SUMIF('DADOS BRUTOS'!$A$3:$A$500,$B41,'DADOS BRUTOS'!EO$3:EO$500)+IF($C41="",0,SUMIF('DADOS BRUTOS'!$A$3:$A$500,$C41,'DADOS BRUTOS'!EO$3:EO$500)))</f>
        <v/>
      </c>
      <c r="HP41" s="56">
        <f>IF(OR(HP$4="",$B41=""),0,SUMIF('DADOS BRUTOS'!$A$3:$A$500,$B41,'DADOS BRUTOS'!EP$3:EP$500)+IF($C41="",0,SUMIF('DADOS BRUTOS'!$A$3:$A$500,$C41,'DADOS BRUTOS'!EP$3:EP$500)))</f>
        <v/>
      </c>
      <c r="HQ41" s="56">
        <f>IF(OR(HQ$4="",$B41=""),0,SUMIF('DADOS BRUTOS'!$A$3:$A$500,$B41,'DADOS BRUTOS'!EQ$3:EQ$500)+IF($C41="",0,SUMIF('DADOS BRUTOS'!$A$3:$A$500,$C41,'DADOS BRUTOS'!EQ$3:EQ$500)))</f>
        <v/>
      </c>
      <c r="HR41" s="56">
        <f>IF(OR(HR$4="",$B41=""),0,SUMIF('DADOS BRUTOS'!$A$3:$A$500,$B41,'DADOS BRUTOS'!ER$3:ER$500)+IF($C41="",0,SUMIF('DADOS BRUTOS'!$A$3:$A$500,$C41,'DADOS BRUTOS'!ER$3:ER$500)))</f>
        <v/>
      </c>
      <c r="HS41" s="56">
        <f>IF(OR(HS$4="",$B41=""),0,SUMIF('DADOS BRUTOS'!$A$3:$A$500,$B41,'DADOS BRUTOS'!ES$3:ES$500)+IF($C41="",0,SUMIF('DADOS BRUTOS'!$A$3:$A$500,$C41,'DADOS BRUTOS'!ES$3:ES$500)))</f>
        <v/>
      </c>
      <c r="HT41" s="56">
        <f>IF(OR(HT$4="",$B41=""),0,SUMIF('DADOS BRUTOS'!$A$3:$A$500,$B41,'DADOS BRUTOS'!ET$3:ET$500)+IF($C41="",0,SUMIF('DADOS BRUTOS'!$A$3:$A$500,$C41,'DADOS BRUTOS'!ET$3:ET$500)))</f>
        <v/>
      </c>
      <c r="HU41" s="56">
        <f>IF(OR(HU$4="",$B41=""),0,SUMIF('DADOS BRUTOS'!$A$3:$A$500,$B41,'DADOS BRUTOS'!EU$3:EU$500)+IF($C41="",0,SUMIF('DADOS BRUTOS'!$A$3:$A$500,$C41,'DADOS BRUTOS'!EU$3:EU$500)))</f>
        <v/>
      </c>
      <c r="HV41" s="56">
        <f>IF(OR(HV$4="",$B41=""),0,SUMIF('DADOS BRUTOS'!$A$3:$A$500,$B41,'DADOS BRUTOS'!EV$3:EV$500)+IF($C41="",0,SUMIF('DADOS BRUTOS'!$A$3:$A$500,$C41,'DADOS BRUTOS'!EV$3:EV$500)))</f>
        <v/>
      </c>
      <c r="HW41" s="56">
        <f>IF(OR(HW$4="",$B41=""),0,SUMIF('DADOS BRUTOS'!$A$3:$A$500,$B41,'DADOS BRUTOS'!EW$3:EW$500)+IF($C41="",0,SUMIF('DADOS BRUTOS'!$A$3:$A$500,$C41,'DADOS BRUTOS'!EW$3:EW$500)))</f>
        <v/>
      </c>
      <c r="HX41" s="56">
        <f>IF(OR(HX$4="",$B41=""),0,SUMIF('DADOS BRUTOS'!$A$3:$A$500,$B41,'DADOS BRUTOS'!EX$3:EX$500)+IF($C41="",0,SUMIF('DADOS BRUTOS'!$A$3:$A$500,$C41,'DADOS BRUTOS'!EX$3:EX$500)))</f>
        <v/>
      </c>
      <c r="HY41" s="56">
        <f>IF(OR(HY$4="",$B41=""),0,SUMIF('DADOS BRUTOS'!$A$3:$A$500,$B41,'DADOS BRUTOS'!EY$3:EY$500)+IF($C41="",0,SUMIF('DADOS BRUTOS'!$A$3:$A$500,$C41,'DADOS BRUTOS'!EY$3:EY$500)))</f>
        <v/>
      </c>
      <c r="HZ41" s="56">
        <f>IF(OR(HZ$4="",$B41=""),0,SUMIF('DADOS BRUTOS'!$A$3:$A$500,$B41,'DADOS BRUTOS'!EZ$3:EZ$500)+IF($C41="",0,SUMIF('DADOS BRUTOS'!$A$3:$A$500,$C41,'DADOS BRUTOS'!EZ$3:EZ$500)))</f>
        <v/>
      </c>
      <c r="IA41" s="56">
        <f>IF(OR(IA$4="",$B41=""),0,SUMIF('DADOS BRUTOS'!$A$3:$A$500,$B41,'DADOS BRUTOS'!FA$3:FA$500)+IF($C41="",0,SUMIF('DADOS BRUTOS'!$A$3:$A$500,$C41,'DADOS BRUTOS'!FA$3:FA$500)))</f>
        <v/>
      </c>
      <c r="IB41" s="56">
        <f>IF(OR(IB$4="",$B41=""),0,SUMIF('DADOS BRUTOS'!$A$3:$A$500,$B41,'DADOS BRUTOS'!FB$3:FB$500)+IF($C41="",0,SUMIF('DADOS BRUTOS'!$A$3:$A$500,$C41,'DADOS BRUTOS'!FB$3:FB$500)))</f>
        <v/>
      </c>
      <c r="IC41" s="56">
        <f>IF(OR(IC$4="",$B41=""),0,SUMIF('DADOS BRUTOS'!$A$3:$A$500,$B41,'DADOS BRUTOS'!FC$3:FC$500)+IF($C41="",0,SUMIF('DADOS BRUTOS'!$A$3:$A$500,$C41,'DADOS BRUTOS'!FC$3:FC$500)))</f>
        <v/>
      </c>
      <c r="ID41" s="56">
        <f>IF(OR(ID$4="",$B41=""),0,SUMIF('DADOS BRUTOS'!$A$3:$A$500,$B41,'DADOS BRUTOS'!FD$3:FD$500)+IF($C41="",0,SUMIF('DADOS BRUTOS'!$A$3:$A$500,$C41,'DADOS BRUTOS'!FD$3:FD$500)))</f>
        <v/>
      </c>
      <c r="IE41" s="56">
        <f>IF(OR(IE$4="",$B41=""),0,SUMIF('DADOS BRUTOS'!$A$3:$A$500,$B41,'DADOS BRUTOS'!FE$3:FE$500)+IF($C41="",0,SUMIF('DADOS BRUTOS'!$A$3:$A$500,$C41,'DADOS BRUTOS'!FE$3:FE$500)))</f>
        <v/>
      </c>
      <c r="IF41" s="56">
        <f>IF(OR(IF$4="",$B41=""),0,SUMIF('DADOS BRUTOS'!$A$3:$A$500,$B41,'DADOS BRUTOS'!FF$3:FF$500)+IF($C41="",0,SUMIF('DADOS BRUTOS'!$A$3:$A$500,$C41,'DADOS BRUTOS'!FF$3:FF$500)))</f>
        <v/>
      </c>
      <c r="IG41" s="56">
        <f>IF(OR(IG$4="",$B41=""),0,SUMIF('DADOS BRUTOS'!$A$3:$A$500,$B41,'DADOS BRUTOS'!FG$3:FG$500)+IF($C41="",0,SUMIF('DADOS BRUTOS'!$A$3:$A$500,$C41,'DADOS BRUTOS'!FG$3:FG$500)))</f>
        <v/>
      </c>
      <c r="IH41" s="56">
        <f>IF(OR(IH$4="",$B41=""),0,SUMIF('DADOS BRUTOS'!$A$3:$A$500,$B41,'DADOS BRUTOS'!FH$3:FH$500)+IF($C41="",0,SUMIF('DADOS BRUTOS'!$A$3:$A$500,$C41,'DADOS BRUTOS'!FH$3:FH$500)))</f>
        <v/>
      </c>
      <c r="II41" s="56">
        <f>IF(OR(II$4="",$B41=""),0,SUMIF('DADOS BRUTOS'!$A$3:$A$500,$B41,'DADOS BRUTOS'!FI$3:FI$500)+IF($C41="",0,SUMIF('DADOS BRUTOS'!$A$3:$A$500,$C41,'DADOS BRUTOS'!FI$3:FI$500)))</f>
        <v/>
      </c>
      <c r="IJ41" s="56">
        <f>IF(OR(IJ$4="",$B41=""),0,SUMIF('DADOS BRUTOS'!$A$3:$A$500,$B41,'DADOS BRUTOS'!FJ$3:FJ$500)+IF($C41="",0,SUMIF('DADOS BRUTOS'!$A$3:$A$500,$C41,'DADOS BRUTOS'!FJ$3:FJ$500)))</f>
        <v/>
      </c>
      <c r="IK41" s="56">
        <f>IF(OR(IK$4="",$B41=""),0,SUMIF('DADOS BRUTOS'!$A$3:$A$500,$B41,'DADOS BRUTOS'!FK$3:FK$500)+IF($C41="",0,SUMIF('DADOS BRUTOS'!$A$3:$A$500,$C41,'DADOS BRUTOS'!FK$3:FK$500)))</f>
        <v/>
      </c>
      <c r="IL41" s="56">
        <f>IF(OR(IL$4="",$B41=""),0,SUMIF('DADOS BRUTOS'!$A$3:$A$500,$B41,'DADOS BRUTOS'!FL$3:FL$500)+IF($C41="",0,SUMIF('DADOS BRUTOS'!$A$3:$A$500,$C41,'DADOS BRUTOS'!FL$3:FL$500)))</f>
        <v/>
      </c>
      <c r="IM41" s="56">
        <f>IF(OR(IM$4="",$B41=""),0,SUMIF('DADOS BRUTOS'!$A$3:$A$500,$B41,'DADOS BRUTOS'!FM$3:FM$500)+IF($C41="",0,SUMIF('DADOS BRUTOS'!$A$3:$A$500,$C41,'DADOS BRUTOS'!FM$3:FM$500)))</f>
        <v/>
      </c>
      <c r="IN41" s="56">
        <f>IF(OR(IN$4="",$B41=""),0,SUMIF('DADOS BRUTOS'!$A$3:$A$500,$B41,'DADOS BRUTOS'!FN$3:FN$500)+IF($C41="",0,SUMIF('DADOS BRUTOS'!$A$3:$A$500,$C41,'DADOS BRUTOS'!FN$3:FN$500)))</f>
        <v/>
      </c>
      <c r="IO41" s="56">
        <f>IF(OR(IO$4="",$B41=""),0,SUMIF('DADOS BRUTOS'!$A$3:$A$500,$B41,'DADOS BRUTOS'!FO$3:FO$500)+IF($C41="",0,SUMIF('DADOS BRUTOS'!$A$3:$A$500,$C41,'DADOS BRUTOS'!FO$3:FO$500)))</f>
        <v/>
      </c>
      <c r="IP41" s="56">
        <f>IF(OR(IP$4="",$B41=""),0,SUMIF('DADOS BRUTOS'!$A$3:$A$500,$B41,'DADOS BRUTOS'!FP$3:FP$500)+IF($C41="",0,SUMIF('DADOS BRUTOS'!$A$3:$A$500,$C41,'DADOS BRUTOS'!FP$3:FP$500)))</f>
        <v/>
      </c>
      <c r="IQ41" s="56">
        <f>IF(OR(IQ$4="",$B41=""),0,SUMIF('DADOS BRUTOS'!$A$3:$A$500,$B41,'DADOS BRUTOS'!FQ$3:FQ$500)+IF($C41="",0,SUMIF('DADOS BRUTOS'!$A$3:$A$500,$C41,'DADOS BRUTOS'!FQ$3:FQ$500)))</f>
        <v/>
      </c>
      <c r="IR41" s="56">
        <f>IF(OR(IR$4="",$B41=""),0,SUMIF('DADOS BRUTOS'!$A$3:$A$500,$B41,'DADOS BRUTOS'!FR$3:FR$500)+IF($C41="",0,SUMIF('DADOS BRUTOS'!$A$3:$A$500,$C41,'DADOS BRUTOS'!FR$3:FR$500)))</f>
        <v/>
      </c>
      <c r="IS41" s="56">
        <f>IF(OR(IS$4="",$B41=""),0,SUMIF('DADOS BRUTOS'!$A$3:$A$500,$B41,'DADOS BRUTOS'!FS$3:FS$500)+IF($C41="",0,SUMIF('DADOS BRUTOS'!$A$3:$A$500,$C41,'DADOS BRUTOS'!FS$3:FS$500)))</f>
        <v/>
      </c>
      <c r="IT41" s="56">
        <f>IF(OR(IT$4="",$B41=""),0,SUMIF('DADOS BRUTOS'!$A$3:$A$500,$B41,'DADOS BRUTOS'!FT$3:FT$500)+IF($C41="",0,SUMIF('DADOS BRUTOS'!$A$3:$A$500,$C41,'DADOS BRUTOS'!FT$3:FT$500)))</f>
        <v/>
      </c>
      <c r="IU41" s="56">
        <f>IF(OR(IU$4="",$B41=""),0,SUMIF('DADOS BRUTOS'!$A$3:$A$500,$B41,'DADOS BRUTOS'!FU$3:FU$500)+IF($C41="",0,SUMIF('DADOS BRUTOS'!$A$3:$A$500,$C41,'DADOS BRUTOS'!FU$3:FU$500)))</f>
        <v/>
      </c>
      <c r="IV41" s="56">
        <f>IF(OR(IV$4="",$B41=""),0,SUMIF('DADOS BRUTOS'!$A$3:$A$500,$B41,'DADOS BRUTOS'!FV$3:FV$500)+IF($C41="",0,SUMIF('DADOS BRUTOS'!$A$3:$A$500,$C41,'DADOS BRUTOS'!FV$3:FV$500)))</f>
        <v/>
      </c>
      <c r="IW41" s="56">
        <f>IF(OR(IW$4="",$B41=""),0,SUMIF('DADOS BRUTOS'!$A$3:$A$500,$B41,'DADOS BRUTOS'!FW$3:FW$500)+IF($C41="",0,SUMIF('DADOS BRUTOS'!$A$3:$A$500,$C41,'DADOS BRUTOS'!FW$3:FW$500)))</f>
        <v/>
      </c>
      <c r="IX41" s="56">
        <f>IF(OR(IX$4="",$B41=""),0,SUMIF('DADOS BRUTOS'!$A$3:$A$500,$B41,'DADOS BRUTOS'!FX$3:FX$500)+IF($C41="",0,SUMIF('DADOS BRUTOS'!$A$3:$A$500,$C41,'DADOS BRUTOS'!FX$3:FX$500)))</f>
        <v/>
      </c>
      <c r="IY41" s="56">
        <f>IF(OR(IY$4="",$B41=""),0,SUMIF('DADOS BRUTOS'!$A$3:$A$500,$B41,'DADOS BRUTOS'!FY$3:FY$500)+IF($C41="",0,SUMIF('DADOS BRUTOS'!$A$3:$A$500,$C41,'DADOS BRUTOS'!FY$3:FY$500)))</f>
        <v/>
      </c>
      <c r="IZ41" s="56">
        <f>IF(OR(IZ$4="",$B41=""),0,SUMIF('DADOS BRUTOS'!$A$3:$A$500,$B41,'DADOS BRUTOS'!FZ$3:FZ$500)+IF($C41="",0,SUMIF('DADOS BRUTOS'!$A$3:$A$500,$C41,'DADOS BRUTOS'!FZ$3:FZ$500)))</f>
        <v/>
      </c>
      <c r="JA41" s="56">
        <f>IF(OR(JA$4="",$B41=""),0,SUMIF('DADOS BRUTOS'!$A$3:$A$500,$B41,'DADOS BRUTOS'!GA$3:GA$500)+IF($C41="",0,SUMIF('DADOS BRUTOS'!$A$3:$A$500,$C41,'DADOS BRUTOS'!GA$3:GA$500)))</f>
        <v/>
      </c>
      <c r="JB41" s="56">
        <f>IF(OR(JB$4="",$B41=""),0,SUMIF('DADOS BRUTOS'!$A$3:$A$500,$B41,'DADOS BRUTOS'!GB$3:GB$500)+IF($C41="",0,SUMIF('DADOS BRUTOS'!$A$3:$A$500,$C41,'DADOS BRUTOS'!GB$3:GB$500)))</f>
        <v/>
      </c>
      <c r="JC41" s="56">
        <f>IF(OR(JC$4="",$B41=""),0,SUMIF('DADOS BRUTOS'!$A$3:$A$500,$B41,'DADOS BRUTOS'!GC$3:GC$500)+IF($C41="",0,SUMIF('DADOS BRUTOS'!$A$3:$A$500,$C41,'DADOS BRUTOS'!GC$3:GC$500)))</f>
        <v/>
      </c>
      <c r="JD41" s="56">
        <f>IF(OR(JD$4="",$B41=""),0,SUMIF('DADOS BRUTOS'!$A$3:$A$500,$B41,'DADOS BRUTOS'!GD$3:GD$500)+IF($C41="",0,SUMIF('DADOS BRUTOS'!$A$3:$A$500,$C41,'DADOS BRUTOS'!GD$3:GD$500)))</f>
        <v/>
      </c>
      <c r="JE41" s="56">
        <f>IF(OR(JE$4="",$B41=""),0,SUMIF('DADOS BRUTOS'!$A$3:$A$500,$B41,'DADOS BRUTOS'!GE$3:GE$500)+IF($C41="",0,SUMIF('DADOS BRUTOS'!$A$3:$A$500,$C41,'DADOS BRUTOS'!GE$3:GE$500)))</f>
        <v/>
      </c>
      <c r="JF41" s="56">
        <f>IF(OR(JF$4="",$B41=""),0,SUMIF('DADOS BRUTOS'!$A$3:$A$500,$B41,'DADOS BRUTOS'!GF$3:GF$500)+IF($C41="",0,SUMIF('DADOS BRUTOS'!$A$3:$A$500,$C41,'DADOS BRUTOS'!GF$3:GF$500)))</f>
        <v/>
      </c>
      <c r="JG41" s="56">
        <f>IF(OR(JG$4="",$B41=""),0,SUMIF('DADOS BRUTOS'!$A$3:$A$500,$B41,'DADOS BRUTOS'!GG$3:GG$500)+IF($C41="",0,SUMIF('DADOS BRUTOS'!$A$3:$A$500,$C41,'DADOS BRUTOS'!GG$3:GG$500)))</f>
        <v/>
      </c>
      <c r="JH41" s="56">
        <f>IF(OR(JH$4="",$B41=""),0,SUMIF('DADOS BRUTOS'!$A$3:$A$500,$B41,'DADOS BRUTOS'!GH$3:GH$500)+IF($C41="",0,SUMIF('DADOS BRUTOS'!$A$3:$A$500,$C41,'DADOS BRUTOS'!GH$3:GH$500)))</f>
        <v/>
      </c>
      <c r="JI41" s="56">
        <f>IF(OR(JI$4="",$B41=""),0,SUMIF('DADOS BRUTOS'!$A$3:$A$500,$B41,'DADOS BRUTOS'!GI$3:GI$500)+IF($C41="",0,SUMIF('DADOS BRUTOS'!$A$3:$A$500,$C41,'DADOS BRUTOS'!GI$3:GI$500)))</f>
        <v/>
      </c>
      <c r="JJ41" s="56">
        <f>IF(OR(JJ$4="",$B41=""),0,SUMIF('DADOS BRUTOS'!$A$3:$A$500,$B41,'DADOS BRUTOS'!GJ$3:GJ$500)+IF($C41="",0,SUMIF('DADOS BRUTOS'!$A$3:$A$500,$C41,'DADOS BRUTOS'!GJ$3:GJ$500)))</f>
        <v/>
      </c>
      <c r="JK41" s="56">
        <f>IF(OR(JK$4="",$B41=""),0,SUMIF('DADOS BRUTOS'!$A$3:$A$500,$B41,'DADOS BRUTOS'!GK$3:GK$500)+IF($C41="",0,SUMIF('DADOS BRUTOS'!$A$3:$A$500,$C41,'DADOS BRUTOS'!GK$3:GK$500)))</f>
        <v/>
      </c>
      <c r="JL41" s="56">
        <f>IF(OR(JL$4="",$B41=""),0,SUMIF('DADOS BRUTOS'!$A$3:$A$500,$B41,'DADOS BRUTOS'!GL$3:GL$500)+IF($C41="",0,SUMIF('DADOS BRUTOS'!$A$3:$A$500,$C41,'DADOS BRUTOS'!GL$3:GL$500)))</f>
        <v/>
      </c>
      <c r="JM41" s="56">
        <f>IF(OR(JM$4="",$B41=""),0,SUMIF('DADOS BRUTOS'!$A$3:$A$500,$B41,'DADOS BRUTOS'!GM$3:GM$500)+IF($C41="",0,SUMIF('DADOS BRUTOS'!$A$3:$A$500,$C41,'DADOS BRUTOS'!GM$3:GM$500)))</f>
        <v/>
      </c>
      <c r="JN41" s="56">
        <f>IF(OR(JN$4="",$B41=""),0,SUMIF('DADOS BRUTOS'!$A$3:$A$500,$B41,'DADOS BRUTOS'!GN$3:GN$500)+IF($C41="",0,SUMIF('DADOS BRUTOS'!$A$3:$A$500,$C41,'DADOS BRUTOS'!GN$3:GN$500)))</f>
        <v/>
      </c>
      <c r="JO41" s="56">
        <f>IF(OR(JO$4="",$B41=""),0,SUMIF('DADOS BRUTOS'!$A$3:$A$500,$B41,'DADOS BRUTOS'!GO$3:GO$500)+IF($C41="",0,SUMIF('DADOS BRUTOS'!$A$3:$A$500,$C41,'DADOS BRUTOS'!GO$3:GO$500)))</f>
        <v/>
      </c>
      <c r="JP41" s="56">
        <f>IF(OR(JP$4="",$B41=""),0,SUMIF('DADOS BRUTOS'!$A$3:$A$500,$B41,'DADOS BRUTOS'!GP$3:GP$500)+IF($C41="",0,SUMIF('DADOS BRUTOS'!$A$3:$A$500,$C41,'DADOS BRUTOS'!GP$3:GP$500)))</f>
        <v/>
      </c>
      <c r="JQ41" s="56">
        <f>IF(OR(JQ$4="",$B41=""),0,SUMIF('DADOS BRUTOS'!$A$3:$A$500,$B41,'DADOS BRUTOS'!GQ$3:GQ$500)+IF($C41="",0,SUMIF('DADOS BRUTOS'!$A$3:$A$500,$C41,'DADOS BRUTOS'!GQ$3:GQ$500)))</f>
        <v/>
      </c>
      <c r="JR41" s="56">
        <f>IF(OR(JR$4="",$B41=""),0,SUMIF('DADOS BRUTOS'!$A$3:$A$500,$B41,'DADOS BRUTOS'!GR$3:GR$500)+IF($C41="",0,SUMIF('DADOS BRUTOS'!$A$3:$A$500,$C41,'DADOS BRUTOS'!GR$3:GR$500)))</f>
        <v/>
      </c>
      <c r="JS41" s="56">
        <f>IF(OR(JS$4="",$B41=""),0,SUMIF('DADOS BRUTOS'!$A$3:$A$500,$B41,'DADOS BRUTOS'!GS$3:GS$500)+IF($C41="",0,SUMIF('DADOS BRUTOS'!$A$3:$A$500,$C41,'DADOS BRUTOS'!GS$3:GS$500)))</f>
        <v/>
      </c>
    </row>
    <row r="42">
      <c r="A42" s="34">
        <f>'VALOR POR PL'!D48</f>
        <v/>
      </c>
      <c r="B42" s="21" t="inlineStr">
        <is>
          <t>TAXA DE ADMINISTRAÇÃO</t>
        </is>
      </c>
      <c r="C42" s="21" t="n"/>
      <c r="D42" s="17">
        <f>SUMIF($CB$4:$JS$4,"&lt;="&amp;D$4,$CB42:$JS42)</f>
        <v/>
      </c>
      <c r="E42" s="17">
        <f>SUMIF($CB$4:$JS$4,E$4,$CB42:$JS42)</f>
        <v/>
      </c>
      <c r="F42" s="17">
        <f>SUMIF($CB$4:$JS$4,F$4,$CB42:$JS42)</f>
        <v/>
      </c>
      <c r="G42" s="17">
        <f>SUMIF($CB$4:$JS$4,G$4,$CB42:$JS42)</f>
        <v/>
      </c>
      <c r="H42" s="17">
        <f>SUMIF($CB$4:$JS$4,H$4,$CB42:$JS42)</f>
        <v/>
      </c>
      <c r="I42" s="17">
        <f>SUMIF($CB$4:$JS$4,I$4,$CB42:$JS42)</f>
        <v/>
      </c>
      <c r="J42" s="17">
        <f>SUMIF($CB$4:$JS$4,J$4,$CB42:$JS42)</f>
        <v/>
      </c>
      <c r="K42" s="17">
        <f>SUMIF($CB$4:$JS$4,K$4,$CB42:$JS42)</f>
        <v/>
      </c>
      <c r="L42" s="17">
        <f>SUMIF($CB$4:$JS$4,L$4,$CB42:$JS42)</f>
        <v/>
      </c>
      <c r="M42" s="17">
        <f>SUMIF($CB$4:$JS$4,M$4,$CB42:$JS42)</f>
        <v/>
      </c>
      <c r="N42" s="17">
        <f>SUMIF($CB$4:$JS$4,N$4,$CB42:$JS42)</f>
        <v/>
      </c>
      <c r="O42" s="17">
        <f>SUMIF($CB$4:$JS$4,O$4,$CB42:$JS42)</f>
        <v/>
      </c>
      <c r="P42" s="17">
        <f>SUMIF($CB$4:$JS$4,P$4,$CB42:$JS42)</f>
        <v/>
      </c>
      <c r="Q42" s="17">
        <f>SUMIF($CB$4:$JS$4,Q$4,$CB42:$JS42)</f>
        <v/>
      </c>
      <c r="R42" s="17">
        <f>SUMIF($CB$4:$JS$4,R$4,$CB42:$JS42)</f>
        <v/>
      </c>
      <c r="S42" s="17">
        <f>SUMIF($CB$4:$JS$4,S$4,$CB42:$JS42)</f>
        <v/>
      </c>
      <c r="T42" s="17">
        <f>SUMIF($CB$4:$JS$4,T$4,$CB42:$JS42)</f>
        <v/>
      </c>
      <c r="U42" s="17">
        <f>SUMIF($CB$4:$JS$4,U$4,$CB42:$JS42)</f>
        <v/>
      </c>
      <c r="V42" s="17">
        <f>SUMIF($CB$4:$JS$4,V$4,$CB42:$JS42)</f>
        <v/>
      </c>
      <c r="W42" s="17">
        <f>SUMIF($CB$4:$JS$4,W$4,$CB42:$JS42)</f>
        <v/>
      </c>
      <c r="X42" s="17">
        <f>SUMIF($CB$4:$JS$4,X$4,$CB42:$JS42)</f>
        <v/>
      </c>
      <c r="Y42" s="17">
        <f>SUMIF($CB$4:$JS$4,Y$4,$CB42:$JS42)</f>
        <v/>
      </c>
      <c r="Z42" s="17">
        <f>SUMIF($CB$4:$JS$4,Z$4,$CB42:$JS42)</f>
        <v/>
      </c>
      <c r="AA42" s="17">
        <f>SUMIF($CB$4:$JS$4,AA$4,$CB42:$JS42)</f>
        <v/>
      </c>
      <c r="AB42" s="17">
        <f>SUMIF($CB$4:$JS$4,AB$4,$CB42:$JS42)</f>
        <v/>
      </c>
      <c r="AC42" s="17">
        <f>SUMIF($CB$4:$JS$4,AC$4,$CB42:$JS42)</f>
        <v/>
      </c>
      <c r="AD42" s="17">
        <f>SUMIF($CB$4:$JS$4,AD$4,$CB42:$JS42)</f>
        <v/>
      </c>
      <c r="AE42" s="17">
        <f>SUMIF($CB$4:$JS$4,AE$4,$CB42:$JS42)</f>
        <v/>
      </c>
      <c r="AF42" s="17">
        <f>SUMIF($CB$4:$JS$4,AF$4,$CB42:$JS42)</f>
        <v/>
      </c>
      <c r="AG42" s="17">
        <f>SUMIF($CB$4:$JS$4,AG$4,$CB42:$JS42)</f>
        <v/>
      </c>
      <c r="AH42" s="17">
        <f>SUMIF($CB$4:$JS$4,AH$4,$CB42:$JS42)</f>
        <v/>
      </c>
      <c r="AI42" s="17">
        <f>SUMIF($CB$4:$JS$4,AI$4,$CB42:$JS42)</f>
        <v/>
      </c>
      <c r="AJ42" s="17">
        <f>SUMIF($CB$4:$JS$4,AJ$4,$CB42:$JS42)</f>
        <v/>
      </c>
      <c r="AK42" s="17">
        <f>SUMIF($CB$4:$JS$4,AK$4,$CB42:$JS42)</f>
        <v/>
      </c>
      <c r="AL42" s="17">
        <f>SUMIF($CB$4:$JS$4,AL$4,$CB42:$JS42)</f>
        <v/>
      </c>
      <c r="AM42" s="17">
        <f>SUMIF($CB$4:$JS$4,AM$4,$CB42:$JS42)</f>
        <v/>
      </c>
      <c r="AN42" s="17">
        <f>SUMIF($CB$4:$JS$4,AN$4,$CB42:$JS42)</f>
        <v/>
      </c>
      <c r="AO42" s="17">
        <f>SUMIF($CB$4:$JS$4,AO$4,$CB42:$JS42)</f>
        <v/>
      </c>
      <c r="AP42" s="17">
        <f>SUMIF($CB$4:$JS$4,AP$4,$CB42:$JS42)</f>
        <v/>
      </c>
      <c r="AQ42" s="17">
        <f>SUMIF($CB$4:$JS$4,AQ$4,$CB42:$JS42)</f>
        <v/>
      </c>
      <c r="AR42" s="17">
        <f>SUMIF($CB$4:$JS$4,AR$4,$CB42:$JS42)</f>
        <v/>
      </c>
      <c r="AS42" s="17">
        <f>SUMIF($CB$4:$JS$4,AS$4,$CB42:$JS42)</f>
        <v/>
      </c>
      <c r="AT42" s="17">
        <f>SUMIF($CB$4:$JS$4,AT$4,$CB42:$JS42)</f>
        <v/>
      </c>
      <c r="AU42" s="17">
        <f>SUMIF($CB$4:$JS$4,AU$4,$CB42:$JS42)</f>
        <v/>
      </c>
      <c r="AV42" s="17">
        <f>SUMIF($CB$4:$JS$4,AV$4,$CB42:$JS42)</f>
        <v/>
      </c>
      <c r="AW42" s="17">
        <f>SUMIF($CB$4:$JS$4,AW$4,$CB42:$JS42)</f>
        <v/>
      </c>
      <c r="AX42" s="17">
        <f>SUMIF($CB$4:$JS$4,AX$4,$CB42:$JS42)</f>
        <v/>
      </c>
      <c r="AY42" s="17">
        <f>SUMIF($CB$4:$JS$4,AY$4,$CB42:$JS42)</f>
        <v/>
      </c>
      <c r="AZ42" s="17">
        <f>SUMIF($CB$4:$JS$4,AZ$4,$CB42:$JS42)</f>
        <v/>
      </c>
      <c r="BA42" s="17">
        <f>SUMIF($CB$4:$JS$4,BA$4,$CB42:$JS42)</f>
        <v/>
      </c>
      <c r="BB42" s="17">
        <f>SUMIF($CB$4:$JS$4,BB$4,$CB42:$JS42)</f>
        <v/>
      </c>
      <c r="BC42" s="17">
        <f>SUMIF($CB$4:$JS$4,BC$4,$CB42:$JS42)</f>
        <v/>
      </c>
      <c r="BD42" s="17">
        <f>SUMIF($CB$4:$JS$4,BD$4,$CB42:$JS42)</f>
        <v/>
      </c>
      <c r="BE42" s="17">
        <f>SUMIF($CB$4:$JS$4,BE$4,$CB42:$JS42)</f>
        <v/>
      </c>
      <c r="BF42" s="17">
        <f>SUMIF($CB$4:$JS$4,BF$4,$CB42:$JS42)</f>
        <v/>
      </c>
      <c r="BG42" s="17">
        <f>SUMIF($CB$4:$JS$4,BG$4,$CB42:$JS42)</f>
        <v/>
      </c>
      <c r="BH42" s="17">
        <f>SUMIF($CB$4:$JS$4,BH$4,$CB42:$JS42)</f>
        <v/>
      </c>
      <c r="BI42" s="17">
        <f>SUMIF($CB$4:$JS$4,BI$4,$CB42:$JS42)</f>
        <v/>
      </c>
      <c r="BJ42" s="17">
        <f>SUMIF($CB$4:$JS$4,BJ$4,$CB42:$JS42)</f>
        <v/>
      </c>
      <c r="BK42" s="17">
        <f>SUMIF($CB$4:$JS$4,BK$4,$CB42:$JS42)</f>
        <v/>
      </c>
      <c r="BL42" s="17">
        <f>SUMIF($CB$4:$JS$4,BL$4,$CB42:$JS42)</f>
        <v/>
      </c>
      <c r="BM42" s="17">
        <f>SUMIF($CB$4:$JS$4,BM$4,$CB42:$JS42)</f>
        <v/>
      </c>
      <c r="BN42" s="17">
        <f>SUMIF($CB$4:$JS$4,BN$4,$CB42:$JS42)</f>
        <v/>
      </c>
      <c r="BO42" s="17">
        <f>SUMIF($CB$4:$JS$4,BO$4,$CB42:$JS42)</f>
        <v/>
      </c>
      <c r="BP42" s="17">
        <f>SUMIF($CB$4:$JS$4,BP$4,$CB42:$JS42)</f>
        <v/>
      </c>
      <c r="BQ42" s="17">
        <f>SUMIF($CB$4:$JS$4,BQ$4,$CB42:$JS42)</f>
        <v/>
      </c>
      <c r="BR42" s="17">
        <f>SUMIF($CB$4:$JS$4,BR$4,$CB42:$JS42)</f>
        <v/>
      </c>
      <c r="BS42" s="17">
        <f>SUMIF($CB$4:$JS$4,BS$4,$CB42:$JS42)</f>
        <v/>
      </c>
      <c r="BT42" s="17">
        <f>SUMIF($CB$4:$JS$4,BT$4,$CB42:$JS42)</f>
        <v/>
      </c>
      <c r="BU42" s="17">
        <f>SUMIF($CB$4:$JS$4,BU$4,$CB42:$JS42)</f>
        <v/>
      </c>
      <c r="BV42" s="17">
        <f>SUMIF($CB$4:$JS$4,BV$4,$CB42:$JS42)</f>
        <v/>
      </c>
      <c r="BW42" s="17">
        <f>SUMIF($CB$4:$JS$4,BW$4,$CB42:$JS42)</f>
        <v/>
      </c>
      <c r="BX42" s="17">
        <f>SUMIF($CB$4:$JS$4,"&gt;"&amp;'VALOR POR PL'!$P$8,$CB42:$JS42)</f>
        <v/>
      </c>
      <c r="BY42" s="17">
        <f>SUM($CB42:$JS42)</f>
        <v/>
      </c>
      <c r="CB42" s="56">
        <f>IF(OR(CB$4="",$B42=""),0,SUMIF('DADOS BRUTOS'!$A$3:$A$500,$B42,'DADOS BRUTOS'!B$3:B$500)+IF($C42="",0,SUMIF('DADOS BRUTOS'!$A$3:$A$500,$C42,'DADOS BRUTOS'!B$3:B$500)))</f>
        <v/>
      </c>
      <c r="CC42" s="56">
        <f>IF(OR(CC$4="",$B42=""),0,SUMIF('DADOS BRUTOS'!$A$3:$A$500,$B42,'DADOS BRUTOS'!C$3:C$500)+IF($C42="",0,SUMIF('DADOS BRUTOS'!$A$3:$A$500,$C42,'DADOS BRUTOS'!C$3:C$500)))</f>
        <v/>
      </c>
      <c r="CD42" s="56">
        <f>IF(OR(CD$4="",$B42=""),0,SUMIF('DADOS BRUTOS'!$A$3:$A$500,$B42,'DADOS BRUTOS'!D$3:D$500)+IF($C42="",0,SUMIF('DADOS BRUTOS'!$A$3:$A$500,$C42,'DADOS BRUTOS'!D$3:D$500)))</f>
        <v/>
      </c>
      <c r="CE42" s="56">
        <f>IF(OR(CE$4="",$B42=""),0,SUMIF('DADOS BRUTOS'!$A$3:$A$500,$B42,'DADOS BRUTOS'!E$3:E$500)+IF($C42="",0,SUMIF('DADOS BRUTOS'!$A$3:$A$500,$C42,'DADOS BRUTOS'!E$3:E$500)))</f>
        <v/>
      </c>
      <c r="CF42" s="56">
        <f>IF(OR(CF$4="",$B42=""),0,SUMIF('DADOS BRUTOS'!$A$3:$A$500,$B42,'DADOS BRUTOS'!F$3:F$500)+IF($C42="",0,SUMIF('DADOS BRUTOS'!$A$3:$A$500,$C42,'DADOS BRUTOS'!F$3:F$500)))</f>
        <v/>
      </c>
      <c r="CG42" s="56">
        <f>IF(OR(CG$4="",$B42=""),0,SUMIF('DADOS BRUTOS'!$A$3:$A$500,$B42,'DADOS BRUTOS'!G$3:G$500)+IF($C42="",0,SUMIF('DADOS BRUTOS'!$A$3:$A$500,$C42,'DADOS BRUTOS'!G$3:G$500)))</f>
        <v/>
      </c>
      <c r="CH42" s="56">
        <f>IF(OR(CH$4="",$B42=""),0,SUMIF('DADOS BRUTOS'!$A$3:$A$500,$B42,'DADOS BRUTOS'!H$3:H$500)+IF($C42="",0,SUMIF('DADOS BRUTOS'!$A$3:$A$500,$C42,'DADOS BRUTOS'!H$3:H$500)))</f>
        <v/>
      </c>
      <c r="CI42" s="56">
        <f>IF(OR(CI$4="",$B42=""),0,SUMIF('DADOS BRUTOS'!$A$3:$A$500,$B42,'DADOS BRUTOS'!I$3:I$500)+IF($C42="",0,SUMIF('DADOS BRUTOS'!$A$3:$A$500,$C42,'DADOS BRUTOS'!I$3:I$500)))</f>
        <v/>
      </c>
      <c r="CJ42" s="56">
        <f>IF(OR(CJ$4="",$B42=""),0,SUMIF('DADOS BRUTOS'!$A$3:$A$500,$B42,'DADOS BRUTOS'!J$3:J$500)+IF($C42="",0,SUMIF('DADOS BRUTOS'!$A$3:$A$500,$C42,'DADOS BRUTOS'!J$3:J$500)))</f>
        <v/>
      </c>
      <c r="CK42" s="56">
        <f>IF(OR(CK$4="",$B42=""),0,SUMIF('DADOS BRUTOS'!$A$3:$A$500,$B42,'DADOS BRUTOS'!K$3:K$500)+IF($C42="",0,SUMIF('DADOS BRUTOS'!$A$3:$A$500,$C42,'DADOS BRUTOS'!K$3:K$500)))</f>
        <v/>
      </c>
      <c r="CL42" s="56">
        <f>IF(OR(CL$4="",$B42=""),0,SUMIF('DADOS BRUTOS'!$A$3:$A$500,$B42,'DADOS BRUTOS'!L$3:L$500)+IF($C42="",0,SUMIF('DADOS BRUTOS'!$A$3:$A$500,$C42,'DADOS BRUTOS'!L$3:L$500)))</f>
        <v/>
      </c>
      <c r="CM42" s="56">
        <f>IF(OR(CM$4="",$B42=""),0,SUMIF('DADOS BRUTOS'!$A$3:$A$500,$B42,'DADOS BRUTOS'!M$3:M$500)+IF($C42="",0,SUMIF('DADOS BRUTOS'!$A$3:$A$500,$C42,'DADOS BRUTOS'!M$3:M$500)))</f>
        <v/>
      </c>
      <c r="CN42" s="56">
        <f>IF(OR(CN$4="",$B42=""),0,SUMIF('DADOS BRUTOS'!$A$3:$A$500,$B42,'DADOS BRUTOS'!N$3:N$500)+IF($C42="",0,SUMIF('DADOS BRUTOS'!$A$3:$A$500,$C42,'DADOS BRUTOS'!N$3:N$500)))</f>
        <v/>
      </c>
      <c r="CO42" s="56">
        <f>IF(OR(CO$4="",$B42=""),0,SUMIF('DADOS BRUTOS'!$A$3:$A$500,$B42,'DADOS BRUTOS'!O$3:O$500)+IF($C42="",0,SUMIF('DADOS BRUTOS'!$A$3:$A$500,$C42,'DADOS BRUTOS'!O$3:O$500)))</f>
        <v/>
      </c>
      <c r="CP42" s="56">
        <f>IF(OR(CP$4="",$B42=""),0,SUMIF('DADOS BRUTOS'!$A$3:$A$500,$B42,'DADOS BRUTOS'!P$3:P$500)+IF($C42="",0,SUMIF('DADOS BRUTOS'!$A$3:$A$500,$C42,'DADOS BRUTOS'!P$3:P$500)))</f>
        <v/>
      </c>
      <c r="CQ42" s="56">
        <f>IF(OR(CQ$4="",$B42=""),0,SUMIF('DADOS BRUTOS'!$A$3:$A$500,$B42,'DADOS BRUTOS'!Q$3:Q$500)+IF($C42="",0,SUMIF('DADOS BRUTOS'!$A$3:$A$500,$C42,'DADOS BRUTOS'!Q$3:Q$500)))</f>
        <v/>
      </c>
      <c r="CR42" s="56">
        <f>IF(OR(CR$4="",$B42=""),0,SUMIF('DADOS BRUTOS'!$A$3:$A$500,$B42,'DADOS BRUTOS'!R$3:R$500)+IF($C42="",0,SUMIF('DADOS BRUTOS'!$A$3:$A$500,$C42,'DADOS BRUTOS'!R$3:R$500)))</f>
        <v/>
      </c>
      <c r="CS42" s="56">
        <f>IF(OR(CS$4="",$B42=""),0,SUMIF('DADOS BRUTOS'!$A$3:$A$500,$B42,'DADOS BRUTOS'!S$3:S$500)+IF($C42="",0,SUMIF('DADOS BRUTOS'!$A$3:$A$500,$C42,'DADOS BRUTOS'!S$3:S$500)))</f>
        <v/>
      </c>
      <c r="CT42" s="56">
        <f>IF(OR(CT$4="",$B42=""),0,SUMIF('DADOS BRUTOS'!$A$3:$A$500,$B42,'DADOS BRUTOS'!T$3:T$500)+IF($C42="",0,SUMIF('DADOS BRUTOS'!$A$3:$A$500,$C42,'DADOS BRUTOS'!T$3:T$500)))</f>
        <v/>
      </c>
      <c r="CU42" s="56">
        <f>IF(OR(CU$4="",$B42=""),0,SUMIF('DADOS BRUTOS'!$A$3:$A$500,$B42,'DADOS BRUTOS'!U$3:U$500)+IF($C42="",0,SUMIF('DADOS BRUTOS'!$A$3:$A$500,$C42,'DADOS BRUTOS'!U$3:U$500)))</f>
        <v/>
      </c>
      <c r="CV42" s="56">
        <f>IF(OR(CV$4="",$B42=""),0,SUMIF('DADOS BRUTOS'!$A$3:$A$500,$B42,'DADOS BRUTOS'!V$3:V$500)+IF($C42="",0,SUMIF('DADOS BRUTOS'!$A$3:$A$500,$C42,'DADOS BRUTOS'!V$3:V$500)))</f>
        <v/>
      </c>
      <c r="CW42" s="56">
        <f>IF(OR(CW$4="",$B42=""),0,SUMIF('DADOS BRUTOS'!$A$3:$A$500,$B42,'DADOS BRUTOS'!W$3:W$500)+IF($C42="",0,SUMIF('DADOS BRUTOS'!$A$3:$A$500,$C42,'DADOS BRUTOS'!W$3:W$500)))</f>
        <v/>
      </c>
      <c r="CX42" s="56">
        <f>IF(OR(CX$4="",$B42=""),0,SUMIF('DADOS BRUTOS'!$A$3:$A$500,$B42,'DADOS BRUTOS'!X$3:X$500)+IF($C42="",0,SUMIF('DADOS BRUTOS'!$A$3:$A$500,$C42,'DADOS BRUTOS'!X$3:X$500)))</f>
        <v/>
      </c>
      <c r="CY42" s="56">
        <f>IF(OR(CY$4="",$B42=""),0,SUMIF('DADOS BRUTOS'!$A$3:$A$500,$B42,'DADOS BRUTOS'!Y$3:Y$500)+IF($C42="",0,SUMIF('DADOS BRUTOS'!$A$3:$A$500,$C42,'DADOS BRUTOS'!Y$3:Y$500)))</f>
        <v/>
      </c>
      <c r="CZ42" s="56">
        <f>IF(OR(CZ$4="",$B42=""),0,SUMIF('DADOS BRUTOS'!$A$3:$A$500,$B42,'DADOS BRUTOS'!Z$3:Z$500)+IF($C42="",0,SUMIF('DADOS BRUTOS'!$A$3:$A$500,$C42,'DADOS BRUTOS'!Z$3:Z$500)))</f>
        <v/>
      </c>
      <c r="DA42" s="56">
        <f>IF(OR(DA$4="",$B42=""),0,SUMIF('DADOS BRUTOS'!$A$3:$A$500,$B42,'DADOS BRUTOS'!AA$3:AA$500)+IF($C42="",0,SUMIF('DADOS BRUTOS'!$A$3:$A$500,$C42,'DADOS BRUTOS'!AA$3:AA$500)))</f>
        <v/>
      </c>
      <c r="DB42" s="56">
        <f>IF(OR(DB$4="",$B42=""),0,SUMIF('DADOS BRUTOS'!$A$3:$A$500,$B42,'DADOS BRUTOS'!AB$3:AB$500)+IF($C42="",0,SUMIF('DADOS BRUTOS'!$A$3:$A$500,$C42,'DADOS BRUTOS'!AB$3:AB$500)))</f>
        <v/>
      </c>
      <c r="DC42" s="56">
        <f>IF(OR(DC$4="",$B42=""),0,SUMIF('DADOS BRUTOS'!$A$3:$A$500,$B42,'DADOS BRUTOS'!AC$3:AC$500)+IF($C42="",0,SUMIF('DADOS BRUTOS'!$A$3:$A$500,$C42,'DADOS BRUTOS'!AC$3:AC$500)))</f>
        <v/>
      </c>
      <c r="DD42" s="56">
        <f>IF(OR(DD$4="",$B42=""),0,SUMIF('DADOS BRUTOS'!$A$3:$A$500,$B42,'DADOS BRUTOS'!AD$3:AD$500)+IF($C42="",0,SUMIF('DADOS BRUTOS'!$A$3:$A$500,$C42,'DADOS BRUTOS'!AD$3:AD$500)))</f>
        <v/>
      </c>
      <c r="DE42" s="56">
        <f>IF(OR(DE$4="",$B42=""),0,SUMIF('DADOS BRUTOS'!$A$3:$A$500,$B42,'DADOS BRUTOS'!AE$3:AE$500)+IF($C42="",0,SUMIF('DADOS BRUTOS'!$A$3:$A$500,$C42,'DADOS BRUTOS'!AE$3:AE$500)))</f>
        <v/>
      </c>
      <c r="DF42" s="56">
        <f>IF(OR(DF$4="",$B42=""),0,SUMIF('DADOS BRUTOS'!$A$3:$A$500,$B42,'DADOS BRUTOS'!AF$3:AF$500)+IF($C42="",0,SUMIF('DADOS BRUTOS'!$A$3:$A$500,$C42,'DADOS BRUTOS'!AF$3:AF$500)))</f>
        <v/>
      </c>
      <c r="DG42" s="56">
        <f>IF(OR(DG$4="",$B42=""),0,SUMIF('DADOS BRUTOS'!$A$3:$A$500,$B42,'DADOS BRUTOS'!AG$3:AG$500)+IF($C42="",0,SUMIF('DADOS BRUTOS'!$A$3:$A$500,$C42,'DADOS BRUTOS'!AG$3:AG$500)))</f>
        <v/>
      </c>
      <c r="DH42" s="56">
        <f>IF(OR(DH$4="",$B42=""),0,SUMIF('DADOS BRUTOS'!$A$3:$A$500,$B42,'DADOS BRUTOS'!AH$3:AH$500)+IF($C42="",0,SUMIF('DADOS BRUTOS'!$A$3:$A$500,$C42,'DADOS BRUTOS'!AH$3:AH$500)))</f>
        <v/>
      </c>
      <c r="DI42" s="56">
        <f>IF(OR(DI$4="",$B42=""),0,SUMIF('DADOS BRUTOS'!$A$3:$A$500,$B42,'DADOS BRUTOS'!AI$3:AI$500)+IF($C42="",0,SUMIF('DADOS BRUTOS'!$A$3:$A$500,$C42,'DADOS BRUTOS'!AI$3:AI$500)))</f>
        <v/>
      </c>
      <c r="DJ42" s="56">
        <f>IF(OR(DJ$4="",$B42=""),0,SUMIF('DADOS BRUTOS'!$A$3:$A$500,$B42,'DADOS BRUTOS'!AJ$3:AJ$500)+IF($C42="",0,SUMIF('DADOS BRUTOS'!$A$3:$A$500,$C42,'DADOS BRUTOS'!AJ$3:AJ$500)))</f>
        <v/>
      </c>
      <c r="DK42" s="56">
        <f>IF(OR(DK$4="",$B42=""),0,SUMIF('DADOS BRUTOS'!$A$3:$A$500,$B42,'DADOS BRUTOS'!AK$3:AK$500)+IF($C42="",0,SUMIF('DADOS BRUTOS'!$A$3:$A$500,$C42,'DADOS BRUTOS'!AK$3:AK$500)))</f>
        <v/>
      </c>
      <c r="DL42" s="56">
        <f>IF(OR(DL$4="",$B42=""),0,SUMIF('DADOS BRUTOS'!$A$3:$A$500,$B42,'DADOS BRUTOS'!AL$3:AL$500)+IF($C42="",0,SUMIF('DADOS BRUTOS'!$A$3:$A$500,$C42,'DADOS BRUTOS'!AL$3:AL$500)))</f>
        <v/>
      </c>
      <c r="DM42" s="56">
        <f>IF(OR(DM$4="",$B42=""),0,SUMIF('DADOS BRUTOS'!$A$3:$A$500,$B42,'DADOS BRUTOS'!AM$3:AM$500)+IF($C42="",0,SUMIF('DADOS BRUTOS'!$A$3:$A$500,$C42,'DADOS BRUTOS'!AM$3:AM$500)))</f>
        <v/>
      </c>
      <c r="DN42" s="56">
        <f>IF(OR(DN$4="",$B42=""),0,SUMIF('DADOS BRUTOS'!$A$3:$A$500,$B42,'DADOS BRUTOS'!AN$3:AN$500)+IF($C42="",0,SUMIF('DADOS BRUTOS'!$A$3:$A$500,$C42,'DADOS BRUTOS'!AN$3:AN$500)))</f>
        <v/>
      </c>
      <c r="DO42" s="56">
        <f>IF(OR(DO$4="",$B42=""),0,SUMIF('DADOS BRUTOS'!$A$3:$A$500,$B42,'DADOS BRUTOS'!AO$3:AO$500)+IF($C42="",0,SUMIF('DADOS BRUTOS'!$A$3:$A$500,$C42,'DADOS BRUTOS'!AO$3:AO$500)))</f>
        <v/>
      </c>
      <c r="DP42" s="56">
        <f>IF(OR(DP$4="",$B42=""),0,SUMIF('DADOS BRUTOS'!$A$3:$A$500,$B42,'DADOS BRUTOS'!AP$3:AP$500)+IF($C42="",0,SUMIF('DADOS BRUTOS'!$A$3:$A$500,$C42,'DADOS BRUTOS'!AP$3:AP$500)))</f>
        <v/>
      </c>
      <c r="DQ42" s="56">
        <f>IF(OR(DQ$4="",$B42=""),0,SUMIF('DADOS BRUTOS'!$A$3:$A$500,$B42,'DADOS BRUTOS'!AQ$3:AQ$500)+IF($C42="",0,SUMIF('DADOS BRUTOS'!$A$3:$A$500,$C42,'DADOS BRUTOS'!AQ$3:AQ$500)))</f>
        <v/>
      </c>
      <c r="DR42" s="56">
        <f>IF(OR(DR$4="",$B42=""),0,SUMIF('DADOS BRUTOS'!$A$3:$A$500,$B42,'DADOS BRUTOS'!AR$3:AR$500)+IF($C42="",0,SUMIF('DADOS BRUTOS'!$A$3:$A$500,$C42,'DADOS BRUTOS'!AR$3:AR$500)))</f>
        <v/>
      </c>
      <c r="DS42" s="56">
        <f>IF(OR(DS$4="",$B42=""),0,SUMIF('DADOS BRUTOS'!$A$3:$A$500,$B42,'DADOS BRUTOS'!AS$3:AS$500)+IF($C42="",0,SUMIF('DADOS BRUTOS'!$A$3:$A$500,$C42,'DADOS BRUTOS'!AS$3:AS$500)))</f>
        <v/>
      </c>
      <c r="DT42" s="56">
        <f>IF(OR(DT$4="",$B42=""),0,SUMIF('DADOS BRUTOS'!$A$3:$A$500,$B42,'DADOS BRUTOS'!AT$3:AT$500)+IF($C42="",0,SUMIF('DADOS BRUTOS'!$A$3:$A$500,$C42,'DADOS BRUTOS'!AT$3:AT$500)))</f>
        <v/>
      </c>
      <c r="DU42" s="56">
        <f>IF(OR(DU$4="",$B42=""),0,SUMIF('DADOS BRUTOS'!$A$3:$A$500,$B42,'DADOS BRUTOS'!AU$3:AU$500)+IF($C42="",0,SUMIF('DADOS BRUTOS'!$A$3:$A$500,$C42,'DADOS BRUTOS'!AU$3:AU$500)))</f>
        <v/>
      </c>
      <c r="DV42" s="56">
        <f>IF(OR(DV$4="",$B42=""),0,SUMIF('DADOS BRUTOS'!$A$3:$A$500,$B42,'DADOS BRUTOS'!AV$3:AV$500)+IF($C42="",0,SUMIF('DADOS BRUTOS'!$A$3:$A$500,$C42,'DADOS BRUTOS'!AV$3:AV$500)))</f>
        <v/>
      </c>
      <c r="DW42" s="56">
        <f>IF(OR(DW$4="",$B42=""),0,SUMIF('DADOS BRUTOS'!$A$3:$A$500,$B42,'DADOS BRUTOS'!AW$3:AW$500)+IF($C42="",0,SUMIF('DADOS BRUTOS'!$A$3:$A$500,$C42,'DADOS BRUTOS'!AW$3:AW$500)))</f>
        <v/>
      </c>
      <c r="DX42" s="56">
        <f>IF(OR(DX$4="",$B42=""),0,SUMIF('DADOS BRUTOS'!$A$3:$A$500,$B42,'DADOS BRUTOS'!AX$3:AX$500)+IF($C42="",0,SUMIF('DADOS BRUTOS'!$A$3:$A$500,$C42,'DADOS BRUTOS'!AX$3:AX$500)))</f>
        <v/>
      </c>
      <c r="DY42" s="56">
        <f>IF(OR(DY$4="",$B42=""),0,SUMIF('DADOS BRUTOS'!$A$3:$A$500,$B42,'DADOS BRUTOS'!AY$3:AY$500)+IF($C42="",0,SUMIF('DADOS BRUTOS'!$A$3:$A$500,$C42,'DADOS BRUTOS'!AY$3:AY$500)))</f>
        <v/>
      </c>
      <c r="DZ42" s="56">
        <f>IF(OR(DZ$4="",$B42=""),0,SUMIF('DADOS BRUTOS'!$A$3:$A$500,$B42,'DADOS BRUTOS'!AZ$3:AZ$500)+IF($C42="",0,SUMIF('DADOS BRUTOS'!$A$3:$A$500,$C42,'DADOS BRUTOS'!AZ$3:AZ$500)))</f>
        <v/>
      </c>
      <c r="EA42" s="56">
        <f>IF(OR(EA$4="",$B42=""),0,SUMIF('DADOS BRUTOS'!$A$3:$A$500,$B42,'DADOS BRUTOS'!BA$3:BA$500)+IF($C42="",0,SUMIF('DADOS BRUTOS'!$A$3:$A$500,$C42,'DADOS BRUTOS'!BA$3:BA$500)))</f>
        <v/>
      </c>
      <c r="EB42" s="56">
        <f>IF(OR(EB$4="",$B42=""),0,SUMIF('DADOS BRUTOS'!$A$3:$A$500,$B42,'DADOS BRUTOS'!BB$3:BB$500)+IF($C42="",0,SUMIF('DADOS BRUTOS'!$A$3:$A$500,$C42,'DADOS BRUTOS'!BB$3:BB$500)))</f>
        <v/>
      </c>
      <c r="EC42" s="56">
        <f>IF(OR(EC$4="",$B42=""),0,SUMIF('DADOS BRUTOS'!$A$3:$A$500,$B42,'DADOS BRUTOS'!BC$3:BC$500)+IF($C42="",0,SUMIF('DADOS BRUTOS'!$A$3:$A$500,$C42,'DADOS BRUTOS'!BC$3:BC$500)))</f>
        <v/>
      </c>
      <c r="ED42" s="56">
        <f>IF(OR(ED$4="",$B42=""),0,SUMIF('DADOS BRUTOS'!$A$3:$A$500,$B42,'DADOS BRUTOS'!BD$3:BD$500)+IF($C42="",0,SUMIF('DADOS BRUTOS'!$A$3:$A$500,$C42,'DADOS BRUTOS'!BD$3:BD$500)))</f>
        <v/>
      </c>
      <c r="EE42" s="56">
        <f>IF(OR(EE$4="",$B42=""),0,SUMIF('DADOS BRUTOS'!$A$3:$A$500,$B42,'DADOS BRUTOS'!BE$3:BE$500)+IF($C42="",0,SUMIF('DADOS BRUTOS'!$A$3:$A$500,$C42,'DADOS BRUTOS'!BE$3:BE$500)))</f>
        <v/>
      </c>
      <c r="EF42" s="56">
        <f>IF(OR(EF$4="",$B42=""),0,SUMIF('DADOS BRUTOS'!$A$3:$A$500,$B42,'DADOS BRUTOS'!BF$3:BF$500)+IF($C42="",0,SUMIF('DADOS BRUTOS'!$A$3:$A$500,$C42,'DADOS BRUTOS'!BF$3:BF$500)))</f>
        <v/>
      </c>
      <c r="EG42" s="56">
        <f>IF(OR(EG$4="",$B42=""),0,SUMIF('DADOS BRUTOS'!$A$3:$A$500,$B42,'DADOS BRUTOS'!BG$3:BG$500)+IF($C42="",0,SUMIF('DADOS BRUTOS'!$A$3:$A$500,$C42,'DADOS BRUTOS'!BG$3:BG$500)))</f>
        <v/>
      </c>
      <c r="EH42" s="56">
        <f>IF(OR(EH$4="",$B42=""),0,SUMIF('DADOS BRUTOS'!$A$3:$A$500,$B42,'DADOS BRUTOS'!BH$3:BH$500)+IF($C42="",0,SUMIF('DADOS BRUTOS'!$A$3:$A$500,$C42,'DADOS BRUTOS'!BH$3:BH$500)))</f>
        <v/>
      </c>
      <c r="EI42" s="56">
        <f>IF(OR(EI$4="",$B42=""),0,SUMIF('DADOS BRUTOS'!$A$3:$A$500,$B42,'DADOS BRUTOS'!BI$3:BI$500)+IF($C42="",0,SUMIF('DADOS BRUTOS'!$A$3:$A$500,$C42,'DADOS BRUTOS'!BI$3:BI$500)))</f>
        <v/>
      </c>
      <c r="EJ42" s="56">
        <f>IF(OR(EJ$4="",$B42=""),0,SUMIF('DADOS BRUTOS'!$A$3:$A$500,$B42,'DADOS BRUTOS'!BJ$3:BJ$500)+IF($C42="",0,SUMIF('DADOS BRUTOS'!$A$3:$A$500,$C42,'DADOS BRUTOS'!BJ$3:BJ$500)))</f>
        <v/>
      </c>
      <c r="EK42" s="56">
        <f>IF(OR(EK$4="",$B42=""),0,SUMIF('DADOS BRUTOS'!$A$3:$A$500,$B42,'DADOS BRUTOS'!BK$3:BK$500)+IF($C42="",0,SUMIF('DADOS BRUTOS'!$A$3:$A$500,$C42,'DADOS BRUTOS'!BK$3:BK$500)))</f>
        <v/>
      </c>
      <c r="EL42" s="56">
        <f>IF(OR(EL$4="",$B42=""),0,SUMIF('DADOS BRUTOS'!$A$3:$A$500,$B42,'DADOS BRUTOS'!BL$3:BL$500)+IF($C42="",0,SUMIF('DADOS BRUTOS'!$A$3:$A$500,$C42,'DADOS BRUTOS'!BL$3:BL$500)))</f>
        <v/>
      </c>
      <c r="EM42" s="56">
        <f>IF(OR(EM$4="",$B42=""),0,SUMIF('DADOS BRUTOS'!$A$3:$A$500,$B42,'DADOS BRUTOS'!BM$3:BM$500)+IF($C42="",0,SUMIF('DADOS BRUTOS'!$A$3:$A$500,$C42,'DADOS BRUTOS'!BM$3:BM$500)))</f>
        <v/>
      </c>
      <c r="EN42" s="56">
        <f>IF(OR(EN$4="",$B42=""),0,SUMIF('DADOS BRUTOS'!$A$3:$A$500,$B42,'DADOS BRUTOS'!BN$3:BN$500)+IF($C42="",0,SUMIF('DADOS BRUTOS'!$A$3:$A$500,$C42,'DADOS BRUTOS'!BN$3:BN$500)))</f>
        <v/>
      </c>
      <c r="EO42" s="56">
        <f>IF(OR(EO$4="",$B42=""),0,SUMIF('DADOS BRUTOS'!$A$3:$A$500,$B42,'DADOS BRUTOS'!BO$3:BO$500)+IF($C42="",0,SUMIF('DADOS BRUTOS'!$A$3:$A$500,$C42,'DADOS BRUTOS'!BO$3:BO$500)))</f>
        <v/>
      </c>
      <c r="EP42" s="56">
        <f>IF(OR(EP$4="",$B42=""),0,SUMIF('DADOS BRUTOS'!$A$3:$A$500,$B42,'DADOS BRUTOS'!BP$3:BP$500)+IF($C42="",0,SUMIF('DADOS BRUTOS'!$A$3:$A$500,$C42,'DADOS BRUTOS'!BP$3:BP$500)))</f>
        <v/>
      </c>
      <c r="EQ42" s="56">
        <f>IF(OR(EQ$4="",$B42=""),0,SUMIF('DADOS BRUTOS'!$A$3:$A$500,$B42,'DADOS BRUTOS'!BQ$3:BQ$500)+IF($C42="",0,SUMIF('DADOS BRUTOS'!$A$3:$A$500,$C42,'DADOS BRUTOS'!BQ$3:BQ$500)))</f>
        <v/>
      </c>
      <c r="ER42" s="56">
        <f>IF(OR(ER$4="",$B42=""),0,SUMIF('DADOS BRUTOS'!$A$3:$A$500,$B42,'DADOS BRUTOS'!BR$3:BR$500)+IF($C42="",0,SUMIF('DADOS BRUTOS'!$A$3:$A$500,$C42,'DADOS BRUTOS'!BR$3:BR$500)))</f>
        <v/>
      </c>
      <c r="ES42" s="56">
        <f>IF(OR(ES$4="",$B42=""),0,SUMIF('DADOS BRUTOS'!$A$3:$A$500,$B42,'DADOS BRUTOS'!BS$3:BS$500)+IF($C42="",0,SUMIF('DADOS BRUTOS'!$A$3:$A$500,$C42,'DADOS BRUTOS'!BS$3:BS$500)))</f>
        <v/>
      </c>
      <c r="ET42" s="56">
        <f>IF(OR(ET$4="",$B42=""),0,SUMIF('DADOS BRUTOS'!$A$3:$A$500,$B42,'DADOS BRUTOS'!BT$3:BT$500)+IF($C42="",0,SUMIF('DADOS BRUTOS'!$A$3:$A$500,$C42,'DADOS BRUTOS'!BT$3:BT$500)))</f>
        <v/>
      </c>
      <c r="EU42" s="56">
        <f>IF(OR(EU$4="",$B42=""),0,SUMIF('DADOS BRUTOS'!$A$3:$A$500,$B42,'DADOS BRUTOS'!BU$3:BU$500)+IF($C42="",0,SUMIF('DADOS BRUTOS'!$A$3:$A$500,$C42,'DADOS BRUTOS'!BU$3:BU$500)))</f>
        <v/>
      </c>
      <c r="EV42" s="56">
        <f>IF(OR(EV$4="",$B42=""),0,SUMIF('DADOS BRUTOS'!$A$3:$A$500,$B42,'DADOS BRUTOS'!BV$3:BV$500)+IF($C42="",0,SUMIF('DADOS BRUTOS'!$A$3:$A$500,$C42,'DADOS BRUTOS'!BV$3:BV$500)))</f>
        <v/>
      </c>
      <c r="EW42" s="56">
        <f>IF(OR(EW$4="",$B42=""),0,SUMIF('DADOS BRUTOS'!$A$3:$A$500,$B42,'DADOS BRUTOS'!BW$3:BW$500)+IF($C42="",0,SUMIF('DADOS BRUTOS'!$A$3:$A$500,$C42,'DADOS BRUTOS'!BW$3:BW$500)))</f>
        <v/>
      </c>
      <c r="EX42" s="56">
        <f>IF(OR(EX$4="",$B42=""),0,SUMIF('DADOS BRUTOS'!$A$3:$A$500,$B42,'DADOS BRUTOS'!BX$3:BX$500)+IF($C42="",0,SUMIF('DADOS BRUTOS'!$A$3:$A$500,$C42,'DADOS BRUTOS'!BX$3:BX$500)))</f>
        <v/>
      </c>
      <c r="EY42" s="56">
        <f>IF(OR(EY$4="",$B42=""),0,SUMIF('DADOS BRUTOS'!$A$3:$A$500,$B42,'DADOS BRUTOS'!BY$3:BY$500)+IF($C42="",0,SUMIF('DADOS BRUTOS'!$A$3:$A$500,$C42,'DADOS BRUTOS'!BY$3:BY$500)))</f>
        <v/>
      </c>
      <c r="EZ42" s="56">
        <f>IF(OR(EZ$4="",$B42=""),0,SUMIF('DADOS BRUTOS'!$A$3:$A$500,$B42,'DADOS BRUTOS'!BZ$3:BZ$500)+IF($C42="",0,SUMIF('DADOS BRUTOS'!$A$3:$A$500,$C42,'DADOS BRUTOS'!BZ$3:BZ$500)))</f>
        <v/>
      </c>
      <c r="FA42" s="56">
        <f>IF(OR(FA$4="",$B42=""),0,SUMIF('DADOS BRUTOS'!$A$3:$A$500,$B42,'DADOS BRUTOS'!CA$3:CA$500)+IF($C42="",0,SUMIF('DADOS BRUTOS'!$A$3:$A$500,$C42,'DADOS BRUTOS'!CA$3:CA$500)))</f>
        <v/>
      </c>
      <c r="FB42" s="56">
        <f>IF(OR(FB$4="",$B42=""),0,SUMIF('DADOS BRUTOS'!$A$3:$A$500,$B42,'DADOS BRUTOS'!CB$3:CB$500)+IF($C42="",0,SUMIF('DADOS BRUTOS'!$A$3:$A$500,$C42,'DADOS BRUTOS'!CB$3:CB$500)))</f>
        <v/>
      </c>
      <c r="FC42" s="56">
        <f>IF(OR(FC$4="",$B42=""),0,SUMIF('DADOS BRUTOS'!$A$3:$A$500,$B42,'DADOS BRUTOS'!CC$3:CC$500)+IF($C42="",0,SUMIF('DADOS BRUTOS'!$A$3:$A$500,$C42,'DADOS BRUTOS'!CC$3:CC$500)))</f>
        <v/>
      </c>
      <c r="FD42" s="56">
        <f>IF(OR(FD$4="",$B42=""),0,SUMIF('DADOS BRUTOS'!$A$3:$A$500,$B42,'DADOS BRUTOS'!CD$3:CD$500)+IF($C42="",0,SUMIF('DADOS BRUTOS'!$A$3:$A$500,$C42,'DADOS BRUTOS'!CD$3:CD$500)))</f>
        <v/>
      </c>
      <c r="FE42" s="56">
        <f>IF(OR(FE$4="",$B42=""),0,SUMIF('DADOS BRUTOS'!$A$3:$A$500,$B42,'DADOS BRUTOS'!CE$3:CE$500)+IF($C42="",0,SUMIF('DADOS BRUTOS'!$A$3:$A$500,$C42,'DADOS BRUTOS'!CE$3:CE$500)))</f>
        <v/>
      </c>
      <c r="FF42" s="56">
        <f>IF(OR(FF$4="",$B42=""),0,SUMIF('DADOS BRUTOS'!$A$3:$A$500,$B42,'DADOS BRUTOS'!CF$3:CF$500)+IF($C42="",0,SUMIF('DADOS BRUTOS'!$A$3:$A$500,$C42,'DADOS BRUTOS'!CF$3:CF$500)))</f>
        <v/>
      </c>
      <c r="FG42" s="56">
        <f>IF(OR(FG$4="",$B42=""),0,SUMIF('DADOS BRUTOS'!$A$3:$A$500,$B42,'DADOS BRUTOS'!CG$3:CG$500)+IF($C42="",0,SUMIF('DADOS BRUTOS'!$A$3:$A$500,$C42,'DADOS BRUTOS'!CG$3:CG$500)))</f>
        <v/>
      </c>
      <c r="FH42" s="56">
        <f>IF(OR(FH$4="",$B42=""),0,SUMIF('DADOS BRUTOS'!$A$3:$A$500,$B42,'DADOS BRUTOS'!CH$3:CH$500)+IF($C42="",0,SUMIF('DADOS BRUTOS'!$A$3:$A$500,$C42,'DADOS BRUTOS'!CH$3:CH$500)))</f>
        <v/>
      </c>
      <c r="FI42" s="56">
        <f>IF(OR(FI$4="",$B42=""),0,SUMIF('DADOS BRUTOS'!$A$3:$A$500,$B42,'DADOS BRUTOS'!CI$3:CI$500)+IF($C42="",0,SUMIF('DADOS BRUTOS'!$A$3:$A$500,$C42,'DADOS BRUTOS'!CI$3:CI$500)))</f>
        <v/>
      </c>
      <c r="FJ42" s="56">
        <f>IF(OR(FJ$4="",$B42=""),0,SUMIF('DADOS BRUTOS'!$A$3:$A$500,$B42,'DADOS BRUTOS'!CJ$3:CJ$500)+IF($C42="",0,SUMIF('DADOS BRUTOS'!$A$3:$A$500,$C42,'DADOS BRUTOS'!CJ$3:CJ$500)))</f>
        <v/>
      </c>
      <c r="FK42" s="56">
        <f>IF(OR(FK$4="",$B42=""),0,SUMIF('DADOS BRUTOS'!$A$3:$A$500,$B42,'DADOS BRUTOS'!CK$3:CK$500)+IF($C42="",0,SUMIF('DADOS BRUTOS'!$A$3:$A$500,$C42,'DADOS BRUTOS'!CK$3:CK$500)))</f>
        <v/>
      </c>
      <c r="FL42" s="56">
        <f>IF(OR(FL$4="",$B42=""),0,SUMIF('DADOS BRUTOS'!$A$3:$A$500,$B42,'DADOS BRUTOS'!CL$3:CL$500)+IF($C42="",0,SUMIF('DADOS BRUTOS'!$A$3:$A$500,$C42,'DADOS BRUTOS'!CL$3:CL$500)))</f>
        <v/>
      </c>
      <c r="FM42" s="56">
        <f>IF(OR(FM$4="",$B42=""),0,SUMIF('DADOS BRUTOS'!$A$3:$A$500,$B42,'DADOS BRUTOS'!CM$3:CM$500)+IF($C42="",0,SUMIF('DADOS BRUTOS'!$A$3:$A$500,$C42,'DADOS BRUTOS'!CM$3:CM$500)))</f>
        <v/>
      </c>
      <c r="FN42" s="56">
        <f>IF(OR(FN$4="",$B42=""),0,SUMIF('DADOS BRUTOS'!$A$3:$A$500,$B42,'DADOS BRUTOS'!CN$3:CN$500)+IF($C42="",0,SUMIF('DADOS BRUTOS'!$A$3:$A$500,$C42,'DADOS BRUTOS'!CN$3:CN$500)))</f>
        <v/>
      </c>
      <c r="FO42" s="56">
        <f>IF(OR(FO$4="",$B42=""),0,SUMIF('DADOS BRUTOS'!$A$3:$A$500,$B42,'DADOS BRUTOS'!CO$3:CO$500)+IF($C42="",0,SUMIF('DADOS BRUTOS'!$A$3:$A$500,$C42,'DADOS BRUTOS'!CO$3:CO$500)))</f>
        <v/>
      </c>
      <c r="FP42" s="56">
        <f>IF(OR(FP$4="",$B42=""),0,SUMIF('DADOS BRUTOS'!$A$3:$A$500,$B42,'DADOS BRUTOS'!CP$3:CP$500)+IF($C42="",0,SUMIF('DADOS BRUTOS'!$A$3:$A$500,$C42,'DADOS BRUTOS'!CP$3:CP$500)))</f>
        <v/>
      </c>
      <c r="FQ42" s="56">
        <f>IF(OR(FQ$4="",$B42=""),0,SUMIF('DADOS BRUTOS'!$A$3:$A$500,$B42,'DADOS BRUTOS'!CQ$3:CQ$500)+IF($C42="",0,SUMIF('DADOS BRUTOS'!$A$3:$A$500,$C42,'DADOS BRUTOS'!CQ$3:CQ$500)))</f>
        <v/>
      </c>
      <c r="FR42" s="56">
        <f>IF(OR(FR$4="",$B42=""),0,SUMIF('DADOS BRUTOS'!$A$3:$A$500,$B42,'DADOS BRUTOS'!CR$3:CR$500)+IF($C42="",0,SUMIF('DADOS BRUTOS'!$A$3:$A$500,$C42,'DADOS BRUTOS'!CR$3:CR$500)))</f>
        <v/>
      </c>
      <c r="FS42" s="56">
        <f>IF(OR(FS$4="",$B42=""),0,SUMIF('DADOS BRUTOS'!$A$3:$A$500,$B42,'DADOS BRUTOS'!CS$3:CS$500)+IF($C42="",0,SUMIF('DADOS BRUTOS'!$A$3:$A$500,$C42,'DADOS BRUTOS'!CS$3:CS$500)))</f>
        <v/>
      </c>
      <c r="FT42" s="56">
        <f>IF(OR(FT$4="",$B42=""),0,SUMIF('DADOS BRUTOS'!$A$3:$A$500,$B42,'DADOS BRUTOS'!CT$3:CT$500)+IF($C42="",0,SUMIF('DADOS BRUTOS'!$A$3:$A$500,$C42,'DADOS BRUTOS'!CT$3:CT$500)))</f>
        <v/>
      </c>
      <c r="FU42" s="56">
        <f>IF(OR(FU$4="",$B42=""),0,SUMIF('DADOS BRUTOS'!$A$3:$A$500,$B42,'DADOS BRUTOS'!CU$3:CU$500)+IF($C42="",0,SUMIF('DADOS BRUTOS'!$A$3:$A$500,$C42,'DADOS BRUTOS'!CU$3:CU$500)))</f>
        <v/>
      </c>
      <c r="FV42" s="56">
        <f>IF(OR(FV$4="",$B42=""),0,SUMIF('DADOS BRUTOS'!$A$3:$A$500,$B42,'DADOS BRUTOS'!CV$3:CV$500)+IF($C42="",0,SUMIF('DADOS BRUTOS'!$A$3:$A$500,$C42,'DADOS BRUTOS'!CV$3:CV$500)))</f>
        <v/>
      </c>
      <c r="FW42" s="56">
        <f>IF(OR(FW$4="",$B42=""),0,SUMIF('DADOS BRUTOS'!$A$3:$A$500,$B42,'DADOS BRUTOS'!CW$3:CW$500)+IF($C42="",0,SUMIF('DADOS BRUTOS'!$A$3:$A$500,$C42,'DADOS BRUTOS'!CW$3:CW$500)))</f>
        <v/>
      </c>
      <c r="FX42" s="56">
        <f>IF(OR(FX$4="",$B42=""),0,SUMIF('DADOS BRUTOS'!$A$3:$A$500,$B42,'DADOS BRUTOS'!CX$3:CX$500)+IF($C42="",0,SUMIF('DADOS BRUTOS'!$A$3:$A$500,$C42,'DADOS BRUTOS'!CX$3:CX$500)))</f>
        <v/>
      </c>
      <c r="FY42" s="56">
        <f>IF(OR(FY$4="",$B42=""),0,SUMIF('DADOS BRUTOS'!$A$3:$A$500,$B42,'DADOS BRUTOS'!CY$3:CY$500)+IF($C42="",0,SUMIF('DADOS BRUTOS'!$A$3:$A$500,$C42,'DADOS BRUTOS'!CY$3:CY$500)))</f>
        <v/>
      </c>
      <c r="FZ42" s="56">
        <f>IF(OR(FZ$4="",$B42=""),0,SUMIF('DADOS BRUTOS'!$A$3:$A$500,$B42,'DADOS BRUTOS'!CZ$3:CZ$500)+IF($C42="",0,SUMIF('DADOS BRUTOS'!$A$3:$A$500,$C42,'DADOS BRUTOS'!CZ$3:CZ$500)))</f>
        <v/>
      </c>
      <c r="GA42" s="56">
        <f>IF(OR(GA$4="",$B42=""),0,SUMIF('DADOS BRUTOS'!$A$3:$A$500,$B42,'DADOS BRUTOS'!DA$3:DA$500)+IF($C42="",0,SUMIF('DADOS BRUTOS'!$A$3:$A$500,$C42,'DADOS BRUTOS'!DA$3:DA$500)))</f>
        <v/>
      </c>
      <c r="GB42" s="56">
        <f>IF(OR(GB$4="",$B42=""),0,SUMIF('DADOS BRUTOS'!$A$3:$A$500,$B42,'DADOS BRUTOS'!DB$3:DB$500)+IF($C42="",0,SUMIF('DADOS BRUTOS'!$A$3:$A$500,$C42,'DADOS BRUTOS'!DB$3:DB$500)))</f>
        <v/>
      </c>
      <c r="GC42" s="56">
        <f>IF(OR(GC$4="",$B42=""),0,SUMIF('DADOS BRUTOS'!$A$3:$A$500,$B42,'DADOS BRUTOS'!DC$3:DC$500)+IF($C42="",0,SUMIF('DADOS BRUTOS'!$A$3:$A$500,$C42,'DADOS BRUTOS'!DC$3:DC$500)))</f>
        <v/>
      </c>
      <c r="GD42" s="56">
        <f>IF(OR(GD$4="",$B42=""),0,SUMIF('DADOS BRUTOS'!$A$3:$A$500,$B42,'DADOS BRUTOS'!DD$3:DD$500)+IF($C42="",0,SUMIF('DADOS BRUTOS'!$A$3:$A$500,$C42,'DADOS BRUTOS'!DD$3:DD$500)))</f>
        <v/>
      </c>
      <c r="GE42" s="56">
        <f>IF(OR(GE$4="",$B42=""),0,SUMIF('DADOS BRUTOS'!$A$3:$A$500,$B42,'DADOS BRUTOS'!DE$3:DE$500)+IF($C42="",0,SUMIF('DADOS BRUTOS'!$A$3:$A$500,$C42,'DADOS BRUTOS'!DE$3:DE$500)))</f>
        <v/>
      </c>
      <c r="GF42" s="56">
        <f>IF(OR(GF$4="",$B42=""),0,SUMIF('DADOS BRUTOS'!$A$3:$A$500,$B42,'DADOS BRUTOS'!DF$3:DF$500)+IF($C42="",0,SUMIF('DADOS BRUTOS'!$A$3:$A$500,$C42,'DADOS BRUTOS'!DF$3:DF$500)))</f>
        <v/>
      </c>
      <c r="GG42" s="56">
        <f>IF(OR(GG$4="",$B42=""),0,SUMIF('DADOS BRUTOS'!$A$3:$A$500,$B42,'DADOS BRUTOS'!DG$3:DG$500)+IF($C42="",0,SUMIF('DADOS BRUTOS'!$A$3:$A$500,$C42,'DADOS BRUTOS'!DG$3:DG$500)))</f>
        <v/>
      </c>
      <c r="GH42" s="56">
        <f>IF(OR(GH$4="",$B42=""),0,SUMIF('DADOS BRUTOS'!$A$3:$A$500,$B42,'DADOS BRUTOS'!DH$3:DH$500)+IF($C42="",0,SUMIF('DADOS BRUTOS'!$A$3:$A$500,$C42,'DADOS BRUTOS'!DH$3:DH$500)))</f>
        <v/>
      </c>
      <c r="GI42" s="56">
        <f>IF(OR(GI$4="",$B42=""),0,SUMIF('DADOS BRUTOS'!$A$3:$A$500,$B42,'DADOS BRUTOS'!DI$3:DI$500)+IF($C42="",0,SUMIF('DADOS BRUTOS'!$A$3:$A$500,$C42,'DADOS BRUTOS'!DI$3:DI$500)))</f>
        <v/>
      </c>
      <c r="GJ42" s="56">
        <f>IF(OR(GJ$4="",$B42=""),0,SUMIF('DADOS BRUTOS'!$A$3:$A$500,$B42,'DADOS BRUTOS'!DJ$3:DJ$500)+IF($C42="",0,SUMIF('DADOS BRUTOS'!$A$3:$A$500,$C42,'DADOS BRUTOS'!DJ$3:DJ$500)))</f>
        <v/>
      </c>
      <c r="GK42" s="56">
        <f>IF(OR(GK$4="",$B42=""),0,SUMIF('DADOS BRUTOS'!$A$3:$A$500,$B42,'DADOS BRUTOS'!DK$3:DK$500)+IF($C42="",0,SUMIF('DADOS BRUTOS'!$A$3:$A$500,$C42,'DADOS BRUTOS'!DK$3:DK$500)))</f>
        <v/>
      </c>
      <c r="GL42" s="56">
        <f>IF(OR(GL$4="",$B42=""),0,SUMIF('DADOS BRUTOS'!$A$3:$A$500,$B42,'DADOS BRUTOS'!DL$3:DL$500)+IF($C42="",0,SUMIF('DADOS BRUTOS'!$A$3:$A$500,$C42,'DADOS BRUTOS'!DL$3:DL$500)))</f>
        <v/>
      </c>
      <c r="GM42" s="56">
        <f>IF(OR(GM$4="",$B42=""),0,SUMIF('DADOS BRUTOS'!$A$3:$A$500,$B42,'DADOS BRUTOS'!DM$3:DM$500)+IF($C42="",0,SUMIF('DADOS BRUTOS'!$A$3:$A$500,$C42,'DADOS BRUTOS'!DM$3:DM$500)))</f>
        <v/>
      </c>
      <c r="GN42" s="56">
        <f>IF(OR(GN$4="",$B42=""),0,SUMIF('DADOS BRUTOS'!$A$3:$A$500,$B42,'DADOS BRUTOS'!DN$3:DN$500)+IF($C42="",0,SUMIF('DADOS BRUTOS'!$A$3:$A$500,$C42,'DADOS BRUTOS'!DN$3:DN$500)))</f>
        <v/>
      </c>
      <c r="GO42" s="56">
        <f>IF(OR(GO$4="",$B42=""),0,SUMIF('DADOS BRUTOS'!$A$3:$A$500,$B42,'DADOS BRUTOS'!DO$3:DO$500)+IF($C42="",0,SUMIF('DADOS BRUTOS'!$A$3:$A$500,$C42,'DADOS BRUTOS'!DO$3:DO$500)))</f>
        <v/>
      </c>
      <c r="GP42" s="56">
        <f>IF(OR(GP$4="",$B42=""),0,SUMIF('DADOS BRUTOS'!$A$3:$A$500,$B42,'DADOS BRUTOS'!DP$3:DP$500)+IF($C42="",0,SUMIF('DADOS BRUTOS'!$A$3:$A$500,$C42,'DADOS BRUTOS'!DP$3:DP$500)))</f>
        <v/>
      </c>
      <c r="GQ42" s="56">
        <f>IF(OR(GQ$4="",$B42=""),0,SUMIF('DADOS BRUTOS'!$A$3:$A$500,$B42,'DADOS BRUTOS'!DQ$3:DQ$500)+IF($C42="",0,SUMIF('DADOS BRUTOS'!$A$3:$A$500,$C42,'DADOS BRUTOS'!DQ$3:DQ$500)))</f>
        <v/>
      </c>
      <c r="GR42" s="56">
        <f>IF(OR(GR$4="",$B42=""),0,SUMIF('DADOS BRUTOS'!$A$3:$A$500,$B42,'DADOS BRUTOS'!DR$3:DR$500)+IF($C42="",0,SUMIF('DADOS BRUTOS'!$A$3:$A$500,$C42,'DADOS BRUTOS'!DR$3:DR$500)))</f>
        <v/>
      </c>
      <c r="GS42" s="56">
        <f>IF(OR(GS$4="",$B42=""),0,SUMIF('DADOS BRUTOS'!$A$3:$A$500,$B42,'DADOS BRUTOS'!DS$3:DS$500)+IF($C42="",0,SUMIF('DADOS BRUTOS'!$A$3:$A$500,$C42,'DADOS BRUTOS'!DS$3:DS$500)))</f>
        <v/>
      </c>
      <c r="GT42" s="56">
        <f>IF(OR(GT$4="",$B42=""),0,SUMIF('DADOS BRUTOS'!$A$3:$A$500,$B42,'DADOS BRUTOS'!DT$3:DT$500)+IF($C42="",0,SUMIF('DADOS BRUTOS'!$A$3:$A$500,$C42,'DADOS BRUTOS'!DT$3:DT$500)))</f>
        <v/>
      </c>
      <c r="GU42" s="56">
        <f>IF(OR(GU$4="",$B42=""),0,SUMIF('DADOS BRUTOS'!$A$3:$A$500,$B42,'DADOS BRUTOS'!DU$3:DU$500)+IF($C42="",0,SUMIF('DADOS BRUTOS'!$A$3:$A$500,$C42,'DADOS BRUTOS'!DU$3:DU$500)))</f>
        <v/>
      </c>
      <c r="GV42" s="56">
        <f>IF(OR(GV$4="",$B42=""),0,SUMIF('DADOS BRUTOS'!$A$3:$A$500,$B42,'DADOS BRUTOS'!DV$3:DV$500)+IF($C42="",0,SUMIF('DADOS BRUTOS'!$A$3:$A$500,$C42,'DADOS BRUTOS'!DV$3:DV$500)))</f>
        <v/>
      </c>
      <c r="GW42" s="56">
        <f>IF(OR(GW$4="",$B42=""),0,SUMIF('DADOS BRUTOS'!$A$3:$A$500,$B42,'DADOS BRUTOS'!DW$3:DW$500)+IF($C42="",0,SUMIF('DADOS BRUTOS'!$A$3:$A$500,$C42,'DADOS BRUTOS'!DW$3:DW$500)))</f>
        <v/>
      </c>
      <c r="GX42" s="56">
        <f>IF(OR(GX$4="",$B42=""),0,SUMIF('DADOS BRUTOS'!$A$3:$A$500,$B42,'DADOS BRUTOS'!DX$3:DX$500)+IF($C42="",0,SUMIF('DADOS BRUTOS'!$A$3:$A$500,$C42,'DADOS BRUTOS'!DX$3:DX$500)))</f>
        <v/>
      </c>
      <c r="GY42" s="56">
        <f>IF(OR(GY$4="",$B42=""),0,SUMIF('DADOS BRUTOS'!$A$3:$A$500,$B42,'DADOS BRUTOS'!DY$3:DY$500)+IF($C42="",0,SUMIF('DADOS BRUTOS'!$A$3:$A$500,$C42,'DADOS BRUTOS'!DY$3:DY$500)))</f>
        <v/>
      </c>
      <c r="GZ42" s="56">
        <f>IF(OR(GZ$4="",$B42=""),0,SUMIF('DADOS BRUTOS'!$A$3:$A$500,$B42,'DADOS BRUTOS'!DZ$3:DZ$500)+IF($C42="",0,SUMIF('DADOS BRUTOS'!$A$3:$A$500,$C42,'DADOS BRUTOS'!DZ$3:DZ$500)))</f>
        <v/>
      </c>
      <c r="HA42" s="56">
        <f>IF(OR(HA$4="",$B42=""),0,SUMIF('DADOS BRUTOS'!$A$3:$A$500,$B42,'DADOS BRUTOS'!EA$3:EA$500)+IF($C42="",0,SUMIF('DADOS BRUTOS'!$A$3:$A$500,$C42,'DADOS BRUTOS'!EA$3:EA$500)))</f>
        <v/>
      </c>
      <c r="HB42" s="56">
        <f>IF(OR(HB$4="",$B42=""),0,SUMIF('DADOS BRUTOS'!$A$3:$A$500,$B42,'DADOS BRUTOS'!EB$3:EB$500)+IF($C42="",0,SUMIF('DADOS BRUTOS'!$A$3:$A$500,$C42,'DADOS BRUTOS'!EB$3:EB$500)))</f>
        <v/>
      </c>
      <c r="HC42" s="56">
        <f>IF(OR(HC$4="",$B42=""),0,SUMIF('DADOS BRUTOS'!$A$3:$A$500,$B42,'DADOS BRUTOS'!EC$3:EC$500)+IF($C42="",0,SUMIF('DADOS BRUTOS'!$A$3:$A$500,$C42,'DADOS BRUTOS'!EC$3:EC$500)))</f>
        <v/>
      </c>
      <c r="HD42" s="56">
        <f>IF(OR(HD$4="",$B42=""),0,SUMIF('DADOS BRUTOS'!$A$3:$A$500,$B42,'DADOS BRUTOS'!ED$3:ED$500)+IF($C42="",0,SUMIF('DADOS BRUTOS'!$A$3:$A$500,$C42,'DADOS BRUTOS'!ED$3:ED$500)))</f>
        <v/>
      </c>
      <c r="HE42" s="56">
        <f>IF(OR(HE$4="",$B42=""),0,SUMIF('DADOS BRUTOS'!$A$3:$A$500,$B42,'DADOS BRUTOS'!EE$3:EE$500)+IF($C42="",0,SUMIF('DADOS BRUTOS'!$A$3:$A$500,$C42,'DADOS BRUTOS'!EE$3:EE$500)))</f>
        <v/>
      </c>
      <c r="HF42" s="56">
        <f>IF(OR(HF$4="",$B42=""),0,SUMIF('DADOS BRUTOS'!$A$3:$A$500,$B42,'DADOS BRUTOS'!EF$3:EF$500)+IF($C42="",0,SUMIF('DADOS BRUTOS'!$A$3:$A$500,$C42,'DADOS BRUTOS'!EF$3:EF$500)))</f>
        <v/>
      </c>
      <c r="HG42" s="56">
        <f>IF(OR(HG$4="",$B42=""),0,SUMIF('DADOS BRUTOS'!$A$3:$A$500,$B42,'DADOS BRUTOS'!EG$3:EG$500)+IF($C42="",0,SUMIF('DADOS BRUTOS'!$A$3:$A$500,$C42,'DADOS BRUTOS'!EG$3:EG$500)))</f>
        <v/>
      </c>
      <c r="HH42" s="56">
        <f>IF(OR(HH$4="",$B42=""),0,SUMIF('DADOS BRUTOS'!$A$3:$A$500,$B42,'DADOS BRUTOS'!EH$3:EH$500)+IF($C42="",0,SUMIF('DADOS BRUTOS'!$A$3:$A$500,$C42,'DADOS BRUTOS'!EH$3:EH$500)))</f>
        <v/>
      </c>
      <c r="HI42" s="56">
        <f>IF(OR(HI$4="",$B42=""),0,SUMIF('DADOS BRUTOS'!$A$3:$A$500,$B42,'DADOS BRUTOS'!EI$3:EI$500)+IF($C42="",0,SUMIF('DADOS BRUTOS'!$A$3:$A$500,$C42,'DADOS BRUTOS'!EI$3:EI$500)))</f>
        <v/>
      </c>
      <c r="HJ42" s="56">
        <f>IF(OR(HJ$4="",$B42=""),0,SUMIF('DADOS BRUTOS'!$A$3:$A$500,$B42,'DADOS BRUTOS'!EJ$3:EJ$500)+IF($C42="",0,SUMIF('DADOS BRUTOS'!$A$3:$A$500,$C42,'DADOS BRUTOS'!EJ$3:EJ$500)))</f>
        <v/>
      </c>
      <c r="HK42" s="56">
        <f>IF(OR(HK$4="",$B42=""),0,SUMIF('DADOS BRUTOS'!$A$3:$A$500,$B42,'DADOS BRUTOS'!EK$3:EK$500)+IF($C42="",0,SUMIF('DADOS BRUTOS'!$A$3:$A$500,$C42,'DADOS BRUTOS'!EK$3:EK$500)))</f>
        <v/>
      </c>
      <c r="HL42" s="56">
        <f>IF(OR(HL$4="",$B42=""),0,SUMIF('DADOS BRUTOS'!$A$3:$A$500,$B42,'DADOS BRUTOS'!EL$3:EL$500)+IF($C42="",0,SUMIF('DADOS BRUTOS'!$A$3:$A$500,$C42,'DADOS BRUTOS'!EL$3:EL$500)))</f>
        <v/>
      </c>
      <c r="HM42" s="56">
        <f>IF(OR(HM$4="",$B42=""),0,SUMIF('DADOS BRUTOS'!$A$3:$A$500,$B42,'DADOS BRUTOS'!EM$3:EM$500)+IF($C42="",0,SUMIF('DADOS BRUTOS'!$A$3:$A$500,$C42,'DADOS BRUTOS'!EM$3:EM$500)))</f>
        <v/>
      </c>
      <c r="HN42" s="56">
        <f>IF(OR(HN$4="",$B42=""),0,SUMIF('DADOS BRUTOS'!$A$3:$A$500,$B42,'DADOS BRUTOS'!EN$3:EN$500)+IF($C42="",0,SUMIF('DADOS BRUTOS'!$A$3:$A$500,$C42,'DADOS BRUTOS'!EN$3:EN$500)))</f>
        <v/>
      </c>
      <c r="HO42" s="56">
        <f>IF(OR(HO$4="",$B42=""),0,SUMIF('DADOS BRUTOS'!$A$3:$A$500,$B42,'DADOS BRUTOS'!EO$3:EO$500)+IF($C42="",0,SUMIF('DADOS BRUTOS'!$A$3:$A$500,$C42,'DADOS BRUTOS'!EO$3:EO$500)))</f>
        <v/>
      </c>
      <c r="HP42" s="56">
        <f>IF(OR(HP$4="",$B42=""),0,SUMIF('DADOS BRUTOS'!$A$3:$A$500,$B42,'DADOS BRUTOS'!EP$3:EP$500)+IF($C42="",0,SUMIF('DADOS BRUTOS'!$A$3:$A$500,$C42,'DADOS BRUTOS'!EP$3:EP$500)))</f>
        <v/>
      </c>
      <c r="HQ42" s="56">
        <f>IF(OR(HQ$4="",$B42=""),0,SUMIF('DADOS BRUTOS'!$A$3:$A$500,$B42,'DADOS BRUTOS'!EQ$3:EQ$500)+IF($C42="",0,SUMIF('DADOS BRUTOS'!$A$3:$A$500,$C42,'DADOS BRUTOS'!EQ$3:EQ$500)))</f>
        <v/>
      </c>
      <c r="HR42" s="56">
        <f>IF(OR(HR$4="",$B42=""),0,SUMIF('DADOS BRUTOS'!$A$3:$A$500,$B42,'DADOS BRUTOS'!ER$3:ER$500)+IF($C42="",0,SUMIF('DADOS BRUTOS'!$A$3:$A$500,$C42,'DADOS BRUTOS'!ER$3:ER$500)))</f>
        <v/>
      </c>
      <c r="HS42" s="56">
        <f>IF(OR(HS$4="",$B42=""),0,SUMIF('DADOS BRUTOS'!$A$3:$A$500,$B42,'DADOS BRUTOS'!ES$3:ES$500)+IF($C42="",0,SUMIF('DADOS BRUTOS'!$A$3:$A$500,$C42,'DADOS BRUTOS'!ES$3:ES$500)))</f>
        <v/>
      </c>
      <c r="HT42" s="56">
        <f>IF(OR(HT$4="",$B42=""),0,SUMIF('DADOS BRUTOS'!$A$3:$A$500,$B42,'DADOS BRUTOS'!ET$3:ET$500)+IF($C42="",0,SUMIF('DADOS BRUTOS'!$A$3:$A$500,$C42,'DADOS BRUTOS'!ET$3:ET$500)))</f>
        <v/>
      </c>
      <c r="HU42" s="56">
        <f>IF(OR(HU$4="",$B42=""),0,SUMIF('DADOS BRUTOS'!$A$3:$A$500,$B42,'DADOS BRUTOS'!EU$3:EU$500)+IF($C42="",0,SUMIF('DADOS BRUTOS'!$A$3:$A$500,$C42,'DADOS BRUTOS'!EU$3:EU$500)))</f>
        <v/>
      </c>
      <c r="HV42" s="56">
        <f>IF(OR(HV$4="",$B42=""),0,SUMIF('DADOS BRUTOS'!$A$3:$A$500,$B42,'DADOS BRUTOS'!EV$3:EV$500)+IF($C42="",0,SUMIF('DADOS BRUTOS'!$A$3:$A$500,$C42,'DADOS BRUTOS'!EV$3:EV$500)))</f>
        <v/>
      </c>
      <c r="HW42" s="56">
        <f>IF(OR(HW$4="",$B42=""),0,SUMIF('DADOS BRUTOS'!$A$3:$A$500,$B42,'DADOS BRUTOS'!EW$3:EW$500)+IF($C42="",0,SUMIF('DADOS BRUTOS'!$A$3:$A$500,$C42,'DADOS BRUTOS'!EW$3:EW$500)))</f>
        <v/>
      </c>
      <c r="HX42" s="56">
        <f>IF(OR(HX$4="",$B42=""),0,SUMIF('DADOS BRUTOS'!$A$3:$A$500,$B42,'DADOS BRUTOS'!EX$3:EX$500)+IF($C42="",0,SUMIF('DADOS BRUTOS'!$A$3:$A$500,$C42,'DADOS BRUTOS'!EX$3:EX$500)))</f>
        <v/>
      </c>
      <c r="HY42" s="56">
        <f>IF(OR(HY$4="",$B42=""),0,SUMIF('DADOS BRUTOS'!$A$3:$A$500,$B42,'DADOS BRUTOS'!EY$3:EY$500)+IF($C42="",0,SUMIF('DADOS BRUTOS'!$A$3:$A$500,$C42,'DADOS BRUTOS'!EY$3:EY$500)))</f>
        <v/>
      </c>
      <c r="HZ42" s="56">
        <f>IF(OR(HZ$4="",$B42=""),0,SUMIF('DADOS BRUTOS'!$A$3:$A$500,$B42,'DADOS BRUTOS'!EZ$3:EZ$500)+IF($C42="",0,SUMIF('DADOS BRUTOS'!$A$3:$A$500,$C42,'DADOS BRUTOS'!EZ$3:EZ$500)))</f>
        <v/>
      </c>
      <c r="IA42" s="56">
        <f>IF(OR(IA$4="",$B42=""),0,SUMIF('DADOS BRUTOS'!$A$3:$A$500,$B42,'DADOS BRUTOS'!FA$3:FA$500)+IF($C42="",0,SUMIF('DADOS BRUTOS'!$A$3:$A$500,$C42,'DADOS BRUTOS'!FA$3:FA$500)))</f>
        <v/>
      </c>
      <c r="IB42" s="56">
        <f>IF(OR(IB$4="",$B42=""),0,SUMIF('DADOS BRUTOS'!$A$3:$A$500,$B42,'DADOS BRUTOS'!FB$3:FB$500)+IF($C42="",0,SUMIF('DADOS BRUTOS'!$A$3:$A$500,$C42,'DADOS BRUTOS'!FB$3:FB$500)))</f>
        <v/>
      </c>
      <c r="IC42" s="56">
        <f>IF(OR(IC$4="",$B42=""),0,SUMIF('DADOS BRUTOS'!$A$3:$A$500,$B42,'DADOS BRUTOS'!FC$3:FC$500)+IF($C42="",0,SUMIF('DADOS BRUTOS'!$A$3:$A$500,$C42,'DADOS BRUTOS'!FC$3:FC$500)))</f>
        <v/>
      </c>
      <c r="ID42" s="56">
        <f>IF(OR(ID$4="",$B42=""),0,SUMIF('DADOS BRUTOS'!$A$3:$A$500,$B42,'DADOS BRUTOS'!FD$3:FD$500)+IF($C42="",0,SUMIF('DADOS BRUTOS'!$A$3:$A$500,$C42,'DADOS BRUTOS'!FD$3:FD$500)))</f>
        <v/>
      </c>
      <c r="IE42" s="56">
        <f>IF(OR(IE$4="",$B42=""),0,SUMIF('DADOS BRUTOS'!$A$3:$A$500,$B42,'DADOS BRUTOS'!FE$3:FE$500)+IF($C42="",0,SUMIF('DADOS BRUTOS'!$A$3:$A$500,$C42,'DADOS BRUTOS'!FE$3:FE$500)))</f>
        <v/>
      </c>
      <c r="IF42" s="56">
        <f>IF(OR(IF$4="",$B42=""),0,SUMIF('DADOS BRUTOS'!$A$3:$A$500,$B42,'DADOS BRUTOS'!FF$3:FF$500)+IF($C42="",0,SUMIF('DADOS BRUTOS'!$A$3:$A$500,$C42,'DADOS BRUTOS'!FF$3:FF$500)))</f>
        <v/>
      </c>
      <c r="IG42" s="56">
        <f>IF(OR(IG$4="",$B42=""),0,SUMIF('DADOS BRUTOS'!$A$3:$A$500,$B42,'DADOS BRUTOS'!FG$3:FG$500)+IF($C42="",0,SUMIF('DADOS BRUTOS'!$A$3:$A$500,$C42,'DADOS BRUTOS'!FG$3:FG$500)))</f>
        <v/>
      </c>
      <c r="IH42" s="56">
        <f>IF(OR(IH$4="",$B42=""),0,SUMIF('DADOS BRUTOS'!$A$3:$A$500,$B42,'DADOS BRUTOS'!FH$3:FH$500)+IF($C42="",0,SUMIF('DADOS BRUTOS'!$A$3:$A$500,$C42,'DADOS BRUTOS'!FH$3:FH$500)))</f>
        <v/>
      </c>
      <c r="II42" s="56">
        <f>IF(OR(II$4="",$B42=""),0,SUMIF('DADOS BRUTOS'!$A$3:$A$500,$B42,'DADOS BRUTOS'!FI$3:FI$500)+IF($C42="",0,SUMIF('DADOS BRUTOS'!$A$3:$A$500,$C42,'DADOS BRUTOS'!FI$3:FI$500)))</f>
        <v/>
      </c>
      <c r="IJ42" s="56">
        <f>IF(OR(IJ$4="",$B42=""),0,SUMIF('DADOS BRUTOS'!$A$3:$A$500,$B42,'DADOS BRUTOS'!FJ$3:FJ$500)+IF($C42="",0,SUMIF('DADOS BRUTOS'!$A$3:$A$500,$C42,'DADOS BRUTOS'!FJ$3:FJ$500)))</f>
        <v/>
      </c>
      <c r="IK42" s="56">
        <f>IF(OR(IK$4="",$B42=""),0,SUMIF('DADOS BRUTOS'!$A$3:$A$500,$B42,'DADOS BRUTOS'!FK$3:FK$500)+IF($C42="",0,SUMIF('DADOS BRUTOS'!$A$3:$A$500,$C42,'DADOS BRUTOS'!FK$3:FK$500)))</f>
        <v/>
      </c>
      <c r="IL42" s="56">
        <f>IF(OR(IL$4="",$B42=""),0,SUMIF('DADOS BRUTOS'!$A$3:$A$500,$B42,'DADOS BRUTOS'!FL$3:FL$500)+IF($C42="",0,SUMIF('DADOS BRUTOS'!$A$3:$A$500,$C42,'DADOS BRUTOS'!FL$3:FL$500)))</f>
        <v/>
      </c>
      <c r="IM42" s="56">
        <f>IF(OR(IM$4="",$B42=""),0,SUMIF('DADOS BRUTOS'!$A$3:$A$500,$B42,'DADOS BRUTOS'!FM$3:FM$500)+IF($C42="",0,SUMIF('DADOS BRUTOS'!$A$3:$A$500,$C42,'DADOS BRUTOS'!FM$3:FM$500)))</f>
        <v/>
      </c>
      <c r="IN42" s="56">
        <f>IF(OR(IN$4="",$B42=""),0,SUMIF('DADOS BRUTOS'!$A$3:$A$500,$B42,'DADOS BRUTOS'!FN$3:FN$500)+IF($C42="",0,SUMIF('DADOS BRUTOS'!$A$3:$A$500,$C42,'DADOS BRUTOS'!FN$3:FN$500)))</f>
        <v/>
      </c>
      <c r="IO42" s="56">
        <f>IF(OR(IO$4="",$B42=""),0,SUMIF('DADOS BRUTOS'!$A$3:$A$500,$B42,'DADOS BRUTOS'!FO$3:FO$500)+IF($C42="",0,SUMIF('DADOS BRUTOS'!$A$3:$A$500,$C42,'DADOS BRUTOS'!FO$3:FO$500)))</f>
        <v/>
      </c>
      <c r="IP42" s="56">
        <f>IF(OR(IP$4="",$B42=""),0,SUMIF('DADOS BRUTOS'!$A$3:$A$500,$B42,'DADOS BRUTOS'!FP$3:FP$500)+IF($C42="",0,SUMIF('DADOS BRUTOS'!$A$3:$A$500,$C42,'DADOS BRUTOS'!FP$3:FP$500)))</f>
        <v/>
      </c>
      <c r="IQ42" s="56">
        <f>IF(OR(IQ$4="",$B42=""),0,SUMIF('DADOS BRUTOS'!$A$3:$A$500,$B42,'DADOS BRUTOS'!FQ$3:FQ$500)+IF($C42="",0,SUMIF('DADOS BRUTOS'!$A$3:$A$500,$C42,'DADOS BRUTOS'!FQ$3:FQ$500)))</f>
        <v/>
      </c>
      <c r="IR42" s="56">
        <f>IF(OR(IR$4="",$B42=""),0,SUMIF('DADOS BRUTOS'!$A$3:$A$500,$B42,'DADOS BRUTOS'!FR$3:FR$500)+IF($C42="",0,SUMIF('DADOS BRUTOS'!$A$3:$A$500,$C42,'DADOS BRUTOS'!FR$3:FR$500)))</f>
        <v/>
      </c>
      <c r="IS42" s="56">
        <f>IF(OR(IS$4="",$B42=""),0,SUMIF('DADOS BRUTOS'!$A$3:$A$500,$B42,'DADOS BRUTOS'!FS$3:FS$500)+IF($C42="",0,SUMIF('DADOS BRUTOS'!$A$3:$A$500,$C42,'DADOS BRUTOS'!FS$3:FS$500)))</f>
        <v/>
      </c>
      <c r="IT42" s="56">
        <f>IF(OR(IT$4="",$B42=""),0,SUMIF('DADOS BRUTOS'!$A$3:$A$500,$B42,'DADOS BRUTOS'!FT$3:FT$500)+IF($C42="",0,SUMIF('DADOS BRUTOS'!$A$3:$A$500,$C42,'DADOS BRUTOS'!FT$3:FT$500)))</f>
        <v/>
      </c>
      <c r="IU42" s="56">
        <f>IF(OR(IU$4="",$B42=""),0,SUMIF('DADOS BRUTOS'!$A$3:$A$500,$B42,'DADOS BRUTOS'!FU$3:FU$500)+IF($C42="",0,SUMIF('DADOS BRUTOS'!$A$3:$A$500,$C42,'DADOS BRUTOS'!FU$3:FU$500)))</f>
        <v/>
      </c>
      <c r="IV42" s="56">
        <f>IF(OR(IV$4="",$B42=""),0,SUMIF('DADOS BRUTOS'!$A$3:$A$500,$B42,'DADOS BRUTOS'!FV$3:FV$500)+IF($C42="",0,SUMIF('DADOS BRUTOS'!$A$3:$A$500,$C42,'DADOS BRUTOS'!FV$3:FV$500)))</f>
        <v/>
      </c>
      <c r="IW42" s="56">
        <f>IF(OR(IW$4="",$B42=""),0,SUMIF('DADOS BRUTOS'!$A$3:$A$500,$B42,'DADOS BRUTOS'!FW$3:FW$500)+IF($C42="",0,SUMIF('DADOS BRUTOS'!$A$3:$A$500,$C42,'DADOS BRUTOS'!FW$3:FW$500)))</f>
        <v/>
      </c>
      <c r="IX42" s="56">
        <f>IF(OR(IX$4="",$B42=""),0,SUMIF('DADOS BRUTOS'!$A$3:$A$500,$B42,'DADOS BRUTOS'!FX$3:FX$500)+IF($C42="",0,SUMIF('DADOS BRUTOS'!$A$3:$A$500,$C42,'DADOS BRUTOS'!FX$3:FX$500)))</f>
        <v/>
      </c>
      <c r="IY42" s="56">
        <f>IF(OR(IY$4="",$B42=""),0,SUMIF('DADOS BRUTOS'!$A$3:$A$500,$B42,'DADOS BRUTOS'!FY$3:FY$500)+IF($C42="",0,SUMIF('DADOS BRUTOS'!$A$3:$A$500,$C42,'DADOS BRUTOS'!FY$3:FY$500)))</f>
        <v/>
      </c>
      <c r="IZ42" s="56">
        <f>IF(OR(IZ$4="",$B42=""),0,SUMIF('DADOS BRUTOS'!$A$3:$A$500,$B42,'DADOS BRUTOS'!FZ$3:FZ$500)+IF($C42="",0,SUMIF('DADOS BRUTOS'!$A$3:$A$500,$C42,'DADOS BRUTOS'!FZ$3:FZ$500)))</f>
        <v/>
      </c>
      <c r="JA42" s="56">
        <f>IF(OR(JA$4="",$B42=""),0,SUMIF('DADOS BRUTOS'!$A$3:$A$500,$B42,'DADOS BRUTOS'!GA$3:GA$500)+IF($C42="",0,SUMIF('DADOS BRUTOS'!$A$3:$A$500,$C42,'DADOS BRUTOS'!GA$3:GA$500)))</f>
        <v/>
      </c>
      <c r="JB42" s="56">
        <f>IF(OR(JB$4="",$B42=""),0,SUMIF('DADOS BRUTOS'!$A$3:$A$500,$B42,'DADOS BRUTOS'!GB$3:GB$500)+IF($C42="",0,SUMIF('DADOS BRUTOS'!$A$3:$A$500,$C42,'DADOS BRUTOS'!GB$3:GB$500)))</f>
        <v/>
      </c>
      <c r="JC42" s="56">
        <f>IF(OR(JC$4="",$B42=""),0,SUMIF('DADOS BRUTOS'!$A$3:$A$500,$B42,'DADOS BRUTOS'!GC$3:GC$500)+IF($C42="",0,SUMIF('DADOS BRUTOS'!$A$3:$A$500,$C42,'DADOS BRUTOS'!GC$3:GC$500)))</f>
        <v/>
      </c>
      <c r="JD42" s="56">
        <f>IF(OR(JD$4="",$B42=""),0,SUMIF('DADOS BRUTOS'!$A$3:$A$500,$B42,'DADOS BRUTOS'!GD$3:GD$500)+IF($C42="",0,SUMIF('DADOS BRUTOS'!$A$3:$A$500,$C42,'DADOS BRUTOS'!GD$3:GD$500)))</f>
        <v/>
      </c>
      <c r="JE42" s="56">
        <f>IF(OR(JE$4="",$B42=""),0,SUMIF('DADOS BRUTOS'!$A$3:$A$500,$B42,'DADOS BRUTOS'!GE$3:GE$500)+IF($C42="",0,SUMIF('DADOS BRUTOS'!$A$3:$A$500,$C42,'DADOS BRUTOS'!GE$3:GE$500)))</f>
        <v/>
      </c>
      <c r="JF42" s="56">
        <f>IF(OR(JF$4="",$B42=""),0,SUMIF('DADOS BRUTOS'!$A$3:$A$500,$B42,'DADOS BRUTOS'!GF$3:GF$500)+IF($C42="",0,SUMIF('DADOS BRUTOS'!$A$3:$A$500,$C42,'DADOS BRUTOS'!GF$3:GF$500)))</f>
        <v/>
      </c>
      <c r="JG42" s="56">
        <f>IF(OR(JG$4="",$B42=""),0,SUMIF('DADOS BRUTOS'!$A$3:$A$500,$B42,'DADOS BRUTOS'!GG$3:GG$500)+IF($C42="",0,SUMIF('DADOS BRUTOS'!$A$3:$A$500,$C42,'DADOS BRUTOS'!GG$3:GG$500)))</f>
        <v/>
      </c>
      <c r="JH42" s="56">
        <f>IF(OR(JH$4="",$B42=""),0,SUMIF('DADOS BRUTOS'!$A$3:$A$500,$B42,'DADOS BRUTOS'!GH$3:GH$500)+IF($C42="",0,SUMIF('DADOS BRUTOS'!$A$3:$A$500,$C42,'DADOS BRUTOS'!GH$3:GH$500)))</f>
        <v/>
      </c>
      <c r="JI42" s="56">
        <f>IF(OR(JI$4="",$B42=""),0,SUMIF('DADOS BRUTOS'!$A$3:$A$500,$B42,'DADOS BRUTOS'!GI$3:GI$500)+IF($C42="",0,SUMIF('DADOS BRUTOS'!$A$3:$A$500,$C42,'DADOS BRUTOS'!GI$3:GI$500)))</f>
        <v/>
      </c>
      <c r="JJ42" s="56">
        <f>IF(OR(JJ$4="",$B42=""),0,SUMIF('DADOS BRUTOS'!$A$3:$A$500,$B42,'DADOS BRUTOS'!GJ$3:GJ$500)+IF($C42="",0,SUMIF('DADOS BRUTOS'!$A$3:$A$500,$C42,'DADOS BRUTOS'!GJ$3:GJ$500)))</f>
        <v/>
      </c>
      <c r="JK42" s="56">
        <f>IF(OR(JK$4="",$B42=""),0,SUMIF('DADOS BRUTOS'!$A$3:$A$500,$B42,'DADOS BRUTOS'!GK$3:GK$500)+IF($C42="",0,SUMIF('DADOS BRUTOS'!$A$3:$A$500,$C42,'DADOS BRUTOS'!GK$3:GK$500)))</f>
        <v/>
      </c>
      <c r="JL42" s="56">
        <f>IF(OR(JL$4="",$B42=""),0,SUMIF('DADOS BRUTOS'!$A$3:$A$500,$B42,'DADOS BRUTOS'!GL$3:GL$500)+IF($C42="",0,SUMIF('DADOS BRUTOS'!$A$3:$A$500,$C42,'DADOS BRUTOS'!GL$3:GL$500)))</f>
        <v/>
      </c>
      <c r="JM42" s="56">
        <f>IF(OR(JM$4="",$B42=""),0,SUMIF('DADOS BRUTOS'!$A$3:$A$500,$B42,'DADOS BRUTOS'!GM$3:GM$500)+IF($C42="",0,SUMIF('DADOS BRUTOS'!$A$3:$A$500,$C42,'DADOS BRUTOS'!GM$3:GM$500)))</f>
        <v/>
      </c>
      <c r="JN42" s="56">
        <f>IF(OR(JN$4="",$B42=""),0,SUMIF('DADOS BRUTOS'!$A$3:$A$500,$B42,'DADOS BRUTOS'!GN$3:GN$500)+IF($C42="",0,SUMIF('DADOS BRUTOS'!$A$3:$A$500,$C42,'DADOS BRUTOS'!GN$3:GN$500)))</f>
        <v/>
      </c>
      <c r="JO42" s="56">
        <f>IF(OR(JO$4="",$B42=""),0,SUMIF('DADOS BRUTOS'!$A$3:$A$500,$B42,'DADOS BRUTOS'!GO$3:GO$500)+IF($C42="",0,SUMIF('DADOS BRUTOS'!$A$3:$A$500,$C42,'DADOS BRUTOS'!GO$3:GO$500)))</f>
        <v/>
      </c>
      <c r="JP42" s="56">
        <f>IF(OR(JP$4="",$B42=""),0,SUMIF('DADOS BRUTOS'!$A$3:$A$500,$B42,'DADOS BRUTOS'!GP$3:GP$500)+IF($C42="",0,SUMIF('DADOS BRUTOS'!$A$3:$A$500,$C42,'DADOS BRUTOS'!GP$3:GP$500)))</f>
        <v/>
      </c>
      <c r="JQ42" s="56">
        <f>IF(OR(JQ$4="",$B42=""),0,SUMIF('DADOS BRUTOS'!$A$3:$A$500,$B42,'DADOS BRUTOS'!GQ$3:GQ$500)+IF($C42="",0,SUMIF('DADOS BRUTOS'!$A$3:$A$500,$C42,'DADOS BRUTOS'!GQ$3:GQ$500)))</f>
        <v/>
      </c>
      <c r="JR42" s="56">
        <f>IF(OR(JR$4="",$B42=""),0,SUMIF('DADOS BRUTOS'!$A$3:$A$500,$B42,'DADOS BRUTOS'!GR$3:GR$500)+IF($C42="",0,SUMIF('DADOS BRUTOS'!$A$3:$A$500,$C42,'DADOS BRUTOS'!GR$3:GR$500)))</f>
        <v/>
      </c>
      <c r="JS42" s="56">
        <f>IF(OR(JS$4="",$B42=""),0,SUMIF('DADOS BRUTOS'!$A$3:$A$500,$B42,'DADOS BRUTOS'!GS$3:GS$500)+IF($C42="",0,SUMIF('DADOS BRUTOS'!$A$3:$A$500,$C42,'DADOS BRUTOS'!GS$3:GS$500)))</f>
        <v/>
      </c>
    </row>
    <row r="44">
      <c r="A44" s="9" t="inlineStr">
        <is>
          <t>TOTAL</t>
        </is>
      </c>
      <c r="D44" s="57">
        <f>SUM(D5:D42)</f>
        <v/>
      </c>
      <c r="E44" s="57">
        <f>SUM(E5:E42)</f>
        <v/>
      </c>
      <c r="F44" s="57">
        <f>SUM(F5:F42)</f>
        <v/>
      </c>
      <c r="G44" s="57">
        <f>SUM(G5:G42)</f>
        <v/>
      </c>
      <c r="H44" s="57">
        <f>SUM(H5:H42)</f>
        <v/>
      </c>
      <c r="I44" s="57">
        <f>SUM(I5:I42)</f>
        <v/>
      </c>
      <c r="J44" s="57">
        <f>SUM(J5:J42)</f>
        <v/>
      </c>
      <c r="K44" s="57">
        <f>SUM(K5:K42)</f>
        <v/>
      </c>
      <c r="L44" s="57">
        <f>SUM(L5:L42)</f>
        <v/>
      </c>
      <c r="M44" s="57">
        <f>SUM(M5:M42)</f>
        <v/>
      </c>
      <c r="N44" s="57">
        <f>SUM(N5:N42)</f>
        <v/>
      </c>
      <c r="O44" s="57">
        <f>SUM(O5:O42)</f>
        <v/>
      </c>
      <c r="P44" s="57">
        <f>SUM(P5:P42)</f>
        <v/>
      </c>
      <c r="Q44" s="57">
        <f>SUM(Q5:Q42)</f>
        <v/>
      </c>
      <c r="R44" s="57">
        <f>SUM(R5:R42)</f>
        <v/>
      </c>
      <c r="S44" s="57">
        <f>SUM(S5:S42)</f>
        <v/>
      </c>
      <c r="T44" s="57">
        <f>SUM(T5:T42)</f>
        <v/>
      </c>
      <c r="U44" s="57">
        <f>SUM(U5:U42)</f>
        <v/>
      </c>
      <c r="V44" s="57">
        <f>SUM(V5:V42)</f>
        <v/>
      </c>
      <c r="W44" s="57">
        <f>SUM(W5:W42)</f>
        <v/>
      </c>
      <c r="X44" s="57">
        <f>SUM(X5:X42)</f>
        <v/>
      </c>
      <c r="Y44" s="57">
        <f>SUM(Y5:Y42)</f>
        <v/>
      </c>
      <c r="Z44" s="57">
        <f>SUM(Z5:Z42)</f>
        <v/>
      </c>
      <c r="AA44" s="57">
        <f>SUM(AA5:AA42)</f>
        <v/>
      </c>
      <c r="AB44" s="57">
        <f>SUM(AB5:AB42)</f>
        <v/>
      </c>
      <c r="AC44" s="57">
        <f>SUM(AC5:AC42)</f>
        <v/>
      </c>
      <c r="AD44" s="57">
        <f>SUM(AD5:AD42)</f>
        <v/>
      </c>
      <c r="AE44" s="57">
        <f>SUM(AE5:AE42)</f>
        <v/>
      </c>
      <c r="AF44" s="57">
        <f>SUM(AF5:AF42)</f>
        <v/>
      </c>
      <c r="AG44" s="57">
        <f>SUM(AG5:AG42)</f>
        <v/>
      </c>
      <c r="AH44" s="57">
        <f>SUM(AH5:AH42)</f>
        <v/>
      </c>
      <c r="AI44" s="57">
        <f>SUM(AI5:AI42)</f>
        <v/>
      </c>
      <c r="AJ44" s="57">
        <f>SUM(AJ5:AJ42)</f>
        <v/>
      </c>
      <c r="AK44" s="57">
        <f>SUM(AK5:AK42)</f>
        <v/>
      </c>
      <c r="AL44" s="57">
        <f>SUM(AL5:AL42)</f>
        <v/>
      </c>
      <c r="AM44" s="57">
        <f>SUM(AM5:AM42)</f>
        <v/>
      </c>
      <c r="AN44" s="57">
        <f>SUM(AN5:AN42)</f>
        <v/>
      </c>
      <c r="AO44" s="57">
        <f>SUM(AO5:AO42)</f>
        <v/>
      </c>
      <c r="AP44" s="57">
        <f>SUM(AP5:AP42)</f>
        <v/>
      </c>
      <c r="AQ44" s="57">
        <f>SUM(AQ5:AQ42)</f>
        <v/>
      </c>
      <c r="AR44" s="57">
        <f>SUM(AR5:AR42)</f>
        <v/>
      </c>
      <c r="AS44" s="57">
        <f>SUM(AS5:AS42)</f>
        <v/>
      </c>
      <c r="AT44" s="57">
        <f>SUM(AT5:AT42)</f>
        <v/>
      </c>
      <c r="AU44" s="57">
        <f>SUM(AU5:AU42)</f>
        <v/>
      </c>
      <c r="AV44" s="57">
        <f>SUM(AV5:AV42)</f>
        <v/>
      </c>
      <c r="AW44" s="57">
        <f>SUM(AW5:AW42)</f>
        <v/>
      </c>
      <c r="AX44" s="57">
        <f>SUM(AX5:AX42)</f>
        <v/>
      </c>
      <c r="AY44" s="57">
        <f>SUM(AY5:AY42)</f>
        <v/>
      </c>
      <c r="AZ44" s="57">
        <f>SUM(AZ5:AZ42)</f>
        <v/>
      </c>
      <c r="BA44" s="57">
        <f>SUM(BA5:BA42)</f>
        <v/>
      </c>
      <c r="BB44" s="57">
        <f>SUM(BB5:BB42)</f>
        <v/>
      </c>
      <c r="BC44" s="57">
        <f>SUM(BC5:BC42)</f>
        <v/>
      </c>
      <c r="BD44" s="57">
        <f>SUM(BD5:BD42)</f>
        <v/>
      </c>
      <c r="BE44" s="57">
        <f>SUM(BE5:BE42)</f>
        <v/>
      </c>
      <c r="BF44" s="57">
        <f>SUM(BF5:BF42)</f>
        <v/>
      </c>
      <c r="BG44" s="57">
        <f>SUM(BG5:BG42)</f>
        <v/>
      </c>
      <c r="BH44" s="57">
        <f>SUM(BH5:BH42)</f>
        <v/>
      </c>
      <c r="BI44" s="57">
        <f>SUM(BI5:BI42)</f>
        <v/>
      </c>
      <c r="BJ44" s="57">
        <f>SUM(BJ5:BJ42)</f>
        <v/>
      </c>
      <c r="BK44" s="57">
        <f>SUM(BK5:BK42)</f>
        <v/>
      </c>
      <c r="BL44" s="57">
        <f>SUM(BL5:BL42)</f>
        <v/>
      </c>
      <c r="BM44" s="57">
        <f>SUM(BM5:BM42)</f>
        <v/>
      </c>
      <c r="BN44" s="57">
        <f>SUM(BN5:BN42)</f>
        <v/>
      </c>
      <c r="BO44" s="57">
        <f>SUM(BO5:BO42)</f>
        <v/>
      </c>
      <c r="BP44" s="57">
        <f>SUM(BP5:BP42)</f>
        <v/>
      </c>
      <c r="BQ44" s="57">
        <f>SUM(BQ5:BQ42)</f>
        <v/>
      </c>
      <c r="BR44" s="57">
        <f>SUM(BR5:BR42)</f>
        <v/>
      </c>
      <c r="BS44" s="57">
        <f>SUM(BS5:BS42)</f>
        <v/>
      </c>
      <c r="BT44" s="57">
        <f>SUM(BT5:BT42)</f>
        <v/>
      </c>
      <c r="BU44" s="57">
        <f>SUM(BU5:BU42)</f>
        <v/>
      </c>
      <c r="BV44" s="57">
        <f>SUM(BV5:BV42)</f>
        <v/>
      </c>
      <c r="BW44" s="57">
        <f>SUM(BW5:BW42)</f>
        <v/>
      </c>
      <c r="BX44" s="57">
        <f>SUM(BX5:BX42)</f>
        <v/>
      </c>
      <c r="BY44" s="57">
        <f>SUM(BY5:BY42)</f>
        <v/>
      </c>
    </row>
    <row r="45">
      <c r="A45" s="9" t="inlineStr">
        <is>
          <t>TOTAL ACUMULADO</t>
        </is>
      </c>
      <c r="D45" s="44">
        <f>D44</f>
        <v/>
      </c>
      <c r="E45" s="44">
        <f>D45+E44</f>
        <v/>
      </c>
      <c r="F45" s="44">
        <f>E45+F44</f>
        <v/>
      </c>
      <c r="G45" s="44">
        <f>F45+G44</f>
        <v/>
      </c>
      <c r="H45" s="44">
        <f>G45+H44</f>
        <v/>
      </c>
      <c r="I45" s="44">
        <f>H45+I44</f>
        <v/>
      </c>
      <c r="J45" s="44">
        <f>I45+J44</f>
        <v/>
      </c>
      <c r="K45" s="44">
        <f>J45+K44</f>
        <v/>
      </c>
      <c r="L45" s="44">
        <f>K45+L44</f>
        <v/>
      </c>
      <c r="M45" s="44">
        <f>L45+M44</f>
        <v/>
      </c>
      <c r="N45" s="44">
        <f>M45+N44</f>
        <v/>
      </c>
      <c r="O45" s="44">
        <f>N45+O44</f>
        <v/>
      </c>
      <c r="P45" s="44">
        <f>O45+P44</f>
        <v/>
      </c>
      <c r="Q45" s="44">
        <f>P45+Q44</f>
        <v/>
      </c>
      <c r="R45" s="44">
        <f>Q45+R44</f>
        <v/>
      </c>
      <c r="S45" s="44">
        <f>R45+S44</f>
        <v/>
      </c>
      <c r="T45" s="44">
        <f>S45+T44</f>
        <v/>
      </c>
      <c r="U45" s="44">
        <f>T45+U44</f>
        <v/>
      </c>
      <c r="V45" s="44">
        <f>U45+V44</f>
        <v/>
      </c>
      <c r="W45" s="44">
        <f>V45+W44</f>
        <v/>
      </c>
      <c r="X45" s="44">
        <f>W45+X44</f>
        <v/>
      </c>
      <c r="Y45" s="44">
        <f>X45+Y44</f>
        <v/>
      </c>
      <c r="Z45" s="44">
        <f>Y45+Z44</f>
        <v/>
      </c>
      <c r="AA45" s="44">
        <f>Z45+AA44</f>
        <v/>
      </c>
      <c r="AB45" s="44">
        <f>AA45+AB44</f>
        <v/>
      </c>
      <c r="AC45" s="44">
        <f>AB45+AC44</f>
        <v/>
      </c>
      <c r="AD45" s="44">
        <f>AC45+AD44</f>
        <v/>
      </c>
      <c r="AE45" s="44">
        <f>AD45+AE44</f>
        <v/>
      </c>
      <c r="AF45" s="44">
        <f>AE45+AF44</f>
        <v/>
      </c>
      <c r="AG45" s="44">
        <f>AF45+AG44</f>
        <v/>
      </c>
      <c r="AH45" s="44">
        <f>AG45+AH44</f>
        <v/>
      </c>
      <c r="AI45" s="44">
        <f>AH45+AI44</f>
        <v/>
      </c>
      <c r="AJ45" s="44">
        <f>AI45+AJ44</f>
        <v/>
      </c>
      <c r="AK45" s="44">
        <f>AJ45+AK44</f>
        <v/>
      </c>
      <c r="AL45" s="44">
        <f>AK45+AL44</f>
        <v/>
      </c>
      <c r="AM45" s="44">
        <f>AL45+AM44</f>
        <v/>
      </c>
      <c r="AN45" s="44">
        <f>AM45+AN44</f>
        <v/>
      </c>
      <c r="AO45" s="44">
        <f>AN45+AO44</f>
        <v/>
      </c>
      <c r="AP45" s="44">
        <f>AO45+AP44</f>
        <v/>
      </c>
      <c r="AQ45" s="44">
        <f>AP45+AQ44</f>
        <v/>
      </c>
      <c r="AR45" s="44">
        <f>AQ45+AR44</f>
        <v/>
      </c>
      <c r="AS45" s="44">
        <f>AR45+AS44</f>
        <v/>
      </c>
      <c r="AT45" s="44">
        <f>AS45+AT44</f>
        <v/>
      </c>
      <c r="AU45" s="44">
        <f>AT45+AU44</f>
        <v/>
      </c>
      <c r="AV45" s="44">
        <f>AU45+AV44</f>
        <v/>
      </c>
      <c r="AW45" s="44">
        <f>AV45+AW44</f>
        <v/>
      </c>
      <c r="AX45" s="44">
        <f>AW45+AX44</f>
        <v/>
      </c>
      <c r="AY45" s="44">
        <f>AX45+AY44</f>
        <v/>
      </c>
      <c r="AZ45" s="44">
        <f>AY45+AZ44</f>
        <v/>
      </c>
      <c r="BA45" s="44">
        <f>AZ45+BA44</f>
        <v/>
      </c>
      <c r="BB45" s="44">
        <f>BA45+BB44</f>
        <v/>
      </c>
      <c r="BC45" s="44">
        <f>BB45+BC44</f>
        <v/>
      </c>
      <c r="BD45" s="44">
        <f>BC45+BD44</f>
        <v/>
      </c>
      <c r="BE45" s="44">
        <f>BD45+BE44</f>
        <v/>
      </c>
      <c r="BF45" s="44">
        <f>BE45+BF44</f>
        <v/>
      </c>
      <c r="BG45" s="44">
        <f>BF45+BG44</f>
        <v/>
      </c>
      <c r="BH45" s="44">
        <f>BG45+BH44</f>
        <v/>
      </c>
      <c r="BI45" s="44">
        <f>BH45+BI44</f>
        <v/>
      </c>
      <c r="BJ45" s="44">
        <f>BI45+BJ44</f>
        <v/>
      </c>
      <c r="BK45" s="44">
        <f>BJ45+BK44</f>
        <v/>
      </c>
      <c r="BL45" s="44">
        <f>BK45+BL44</f>
        <v/>
      </c>
      <c r="BM45" s="44">
        <f>BL45+BM44</f>
        <v/>
      </c>
      <c r="BN45" s="44">
        <f>BM45+BN44</f>
        <v/>
      </c>
      <c r="BO45" s="44">
        <f>BN45+BO44</f>
        <v/>
      </c>
      <c r="BP45" s="44">
        <f>BO45+BP44</f>
        <v/>
      </c>
      <c r="BQ45" s="44">
        <f>BP45+BQ44</f>
        <v/>
      </c>
      <c r="BR45" s="44">
        <f>BQ45+BR44</f>
        <v/>
      </c>
      <c r="BS45" s="44">
        <f>BR45+BS44</f>
        <v/>
      </c>
      <c r="BT45" s="44">
        <f>BS45+BT44</f>
        <v/>
      </c>
      <c r="BU45" s="44">
        <f>BT45+BU44</f>
        <v/>
      </c>
      <c r="BV45" s="44">
        <f>BU45+BV44</f>
        <v/>
      </c>
      <c r="BW45" s="44">
        <f>BV45+BW44</f>
        <v/>
      </c>
    </row>
    <row r="49">
      <c r="A49" s="24" t="inlineStr">
        <is>
          <t>NOMES DO ERP A IGNORAR (títulos, subtotais, grupos fora do orçamento)</t>
        </is>
      </c>
      <c r="B49" s="25" t="n"/>
      <c r="C49" s="26" t="n"/>
    </row>
    <row r="50">
      <c r="A50" s="21" t="inlineStr">
        <is>
          <t>APORTES</t>
        </is>
      </c>
    </row>
    <row r="51">
      <c r="A51" s="21" t="inlineStr">
        <is>
          <t>CUSTOS COM OBRAS</t>
        </is>
      </c>
    </row>
    <row r="52">
      <c r="A52" s="21" t="inlineStr">
        <is>
          <t>MATERIAIS E SERVIÇOS PRESTADOS</t>
        </is>
      </c>
    </row>
    <row r="53">
      <c r="A53" s="21" t="inlineStr">
        <is>
          <t>Total Geral</t>
        </is>
      </c>
    </row>
    <row r="54">
      <c r="A54" s="21" t="n"/>
    </row>
    <row r="55">
      <c r="A55" s="21" t="n"/>
    </row>
    <row r="56">
      <c r="A56" s="21" t="n"/>
    </row>
    <row r="57">
      <c r="A57" s="21" t="n"/>
    </row>
    <row r="58">
      <c r="A58" s="21" t="n"/>
    </row>
    <row r="59">
      <c r="A59" s="21" t="n"/>
    </row>
    <row r="60">
      <c r="A60" s="21" t="n"/>
    </row>
    <row r="61">
      <c r="A61" s="21" t="n"/>
    </row>
    <row r="62">
      <c r="A62" s="21" t="n"/>
    </row>
    <row r="63">
      <c r="A63" s="21" t="n"/>
    </row>
    <row r="64">
      <c r="A64" s="21" t="n"/>
    </row>
    <row r="65">
      <c r="A65" s="21" t="n"/>
    </row>
    <row r="66">
      <c r="A66" s="21" t="n"/>
    </row>
    <row r="67">
      <c r="A67" s="21" t="n"/>
    </row>
    <row r="68">
      <c r="A68" s="21" t="n"/>
    </row>
    <row r="69">
      <c r="A69" s="21" t="n"/>
    </row>
  </sheetData>
  <mergeCells count="1">
    <mergeCell ref="A49:C49"/>
  </mergeCells>
  <conditionalFormatting sqref="C2">
    <cfRule type="cellIs" priority="1" operator="greaterThan" dxfId="0">
      <formula>0</formula>
    </cfRule>
  </conditionalFormatting>
  <conditionalFormatting sqref="D5:BW42">
    <cfRule type="expression" priority="2" dxfId="3">
      <formula>D$4&lt;='VALOR POR PL'!$P$5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C000"/>
    <outlinePr summaryBelow="1" summaryRight="1"/>
    <pageSetUpPr/>
  </sheetPr>
  <dimension ref="A1:CK46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58" t="n">
        <v>45047</v>
      </c>
      <c r="C2" s="58" t="n">
        <v>45078</v>
      </c>
      <c r="D2" s="58" t="n">
        <v>45108</v>
      </c>
      <c r="E2" s="58" t="n">
        <v>45139</v>
      </c>
      <c r="F2" s="58" t="n">
        <v>45170</v>
      </c>
      <c r="G2" s="58" t="n">
        <v>45200</v>
      </c>
      <c r="H2" s="58" t="n">
        <v>45231</v>
      </c>
      <c r="I2" s="58" t="n">
        <v>45261</v>
      </c>
      <c r="J2" s="58" t="n">
        <v>45292</v>
      </c>
      <c r="K2" s="58" t="n">
        <v>45323</v>
      </c>
      <c r="L2" s="58" t="n">
        <v>45352</v>
      </c>
      <c r="M2" s="58" t="n">
        <v>45383</v>
      </c>
      <c r="N2" s="58" t="n">
        <v>45413</v>
      </c>
      <c r="O2" s="58" t="n">
        <v>45444</v>
      </c>
      <c r="P2" s="58" t="n">
        <v>45474</v>
      </c>
      <c r="Q2" s="58" t="n">
        <v>45505</v>
      </c>
      <c r="R2" s="58" t="n">
        <v>45536</v>
      </c>
      <c r="S2" s="58" t="n">
        <v>45566</v>
      </c>
      <c r="T2" s="58" t="n">
        <v>45597</v>
      </c>
      <c r="U2" s="58" t="n">
        <v>45627</v>
      </c>
      <c r="V2" s="58" t="n">
        <v>45658</v>
      </c>
      <c r="W2" s="58" t="n">
        <v>45689</v>
      </c>
      <c r="X2" s="58" t="n">
        <v>45717</v>
      </c>
      <c r="Y2" s="58" t="n">
        <v>45748</v>
      </c>
      <c r="Z2" s="58" t="n">
        <v>45778</v>
      </c>
      <c r="AA2" s="58" t="n">
        <v>45809</v>
      </c>
      <c r="AB2" s="58" t="n">
        <v>45839</v>
      </c>
      <c r="AC2" s="58" t="n">
        <v>45870</v>
      </c>
      <c r="AD2" s="58" t="n">
        <v>45901</v>
      </c>
      <c r="AE2" s="58" t="n">
        <v>45931</v>
      </c>
      <c r="AF2" s="58" t="n">
        <v>45962</v>
      </c>
      <c r="AG2" s="58" t="n">
        <v>45992</v>
      </c>
      <c r="AH2" s="58" t="n">
        <v>46023</v>
      </c>
      <c r="AI2" s="58" t="n">
        <v>46054</v>
      </c>
      <c r="AJ2" s="58" t="n">
        <v>46082</v>
      </c>
      <c r="AK2" s="58" t="n">
        <v>46113</v>
      </c>
      <c r="AL2" s="58" t="n">
        <v>46143</v>
      </c>
      <c r="AM2" s="58" t="n">
        <v>46174</v>
      </c>
      <c r="AN2" s="58" t="n">
        <v>46204</v>
      </c>
      <c r="AO2" s="58" t="n">
        <v>46235</v>
      </c>
      <c r="AP2" s="58" t="n">
        <v>46266</v>
      </c>
      <c r="AQ2" s="58" t="n">
        <v>46296</v>
      </c>
      <c r="AR2" s="58" t="n">
        <v>46327</v>
      </c>
      <c r="AS2" s="58" t="n">
        <v>46357</v>
      </c>
      <c r="AT2" s="58" t="n">
        <v>46388</v>
      </c>
      <c r="AU2" s="58" t="n">
        <v>46419</v>
      </c>
      <c r="AV2" s="58" t="n">
        <v>46447</v>
      </c>
      <c r="AW2" s="58" t="n">
        <v>46478</v>
      </c>
      <c r="AX2" s="58" t="n">
        <v>46508</v>
      </c>
      <c r="AY2" s="58" t="n">
        <v>46539</v>
      </c>
      <c r="AZ2" s="58" t="n">
        <v>46569</v>
      </c>
      <c r="BA2" s="58" t="n">
        <v>46600</v>
      </c>
      <c r="BB2" s="58" t="n">
        <v>46631</v>
      </c>
      <c r="BC2" s="58" t="n">
        <v>46661</v>
      </c>
      <c r="BD2" s="58" t="n">
        <v>46692</v>
      </c>
      <c r="BE2" s="58" t="n">
        <v>46722</v>
      </c>
      <c r="BF2" s="58" t="n">
        <v>46753</v>
      </c>
      <c r="BG2" s="58" t="n">
        <v>46784</v>
      </c>
      <c r="BH2" s="58" t="n">
        <v>46813</v>
      </c>
      <c r="BI2" s="58" t="n">
        <v>46844</v>
      </c>
      <c r="BJ2" s="58" t="n">
        <v>46874</v>
      </c>
      <c r="BK2" s="58" t="n">
        <v>46905</v>
      </c>
      <c r="BL2" s="58" t="n">
        <v>46935</v>
      </c>
      <c r="BM2" s="58" t="n">
        <v>46966</v>
      </c>
      <c r="BN2" s="58" t="n">
        <v>46997</v>
      </c>
      <c r="BO2" s="58" t="n">
        <v>47027</v>
      </c>
      <c r="BP2" s="58" t="n">
        <v>47058</v>
      </c>
      <c r="BQ2" s="58" t="n">
        <v>47088</v>
      </c>
      <c r="BR2" s="58" t="n">
        <v>47119</v>
      </c>
      <c r="BS2" s="58" t="n">
        <v>47150</v>
      </c>
      <c r="BT2" s="58" t="n">
        <v>47178</v>
      </c>
      <c r="BU2" s="58" t="n">
        <v>47209</v>
      </c>
      <c r="BV2" s="58" t="n">
        <v>47239</v>
      </c>
      <c r="BW2" s="58" t="n">
        <v>47270</v>
      </c>
      <c r="BX2" s="58" t="n">
        <v>47300</v>
      </c>
      <c r="BY2" s="58" t="n">
        <v>47331</v>
      </c>
      <c r="BZ2" s="58" t="n">
        <v>47362</v>
      </c>
      <c r="CA2" s="58" t="n">
        <v>47392</v>
      </c>
      <c r="CB2" s="58" t="n">
        <v>47423</v>
      </c>
      <c r="CC2" s="58" t="n">
        <v>47453</v>
      </c>
      <c r="CD2" s="58" t="n">
        <v>47484</v>
      </c>
      <c r="CE2" s="58" t="n">
        <v>47515</v>
      </c>
      <c r="CF2" s="58" t="n">
        <v>54789</v>
      </c>
      <c r="CG2" s="58" t="n">
        <v>47818</v>
      </c>
      <c r="CH2" s="58" t="n">
        <v>48580</v>
      </c>
      <c r="CI2" s="58" t="n">
        <v>47788</v>
      </c>
      <c r="CJ2" s="58" t="n">
        <v>48611</v>
      </c>
      <c r="CK2" s="4" t="inlineStr">
        <is>
          <t>Total Geral</t>
        </is>
      </c>
    </row>
    <row r="3">
      <c r="A3" s="4" t="inlineStr">
        <is>
          <t>APORTES</t>
        </is>
      </c>
      <c r="CK3" s="59" t="n">
        <v>0.240000000223517</v>
      </c>
    </row>
    <row r="4">
      <c r="A4" s="4" t="inlineStr">
        <is>
          <t>APORTES</t>
        </is>
      </c>
      <c r="CK4" s="59" t="n">
        <v>0.240000000223517</v>
      </c>
    </row>
    <row r="5">
      <c r="A5" s="4" t="inlineStr">
        <is>
          <t>APORTES</t>
        </is>
      </c>
      <c r="CK5" s="59" t="n">
        <v>0.240000000223517</v>
      </c>
    </row>
    <row r="6">
      <c r="A6" s="4" t="inlineStr">
        <is>
          <t>CUSTOS COM OBRAS</t>
        </is>
      </c>
      <c r="CK6" s="59" t="n">
        <v>151411070.129816</v>
      </c>
    </row>
    <row r="7">
      <c r="A7" s="4" t="inlineStr">
        <is>
          <t>MATERIAIS E SERVIÇOS PRESTADOS</t>
        </is>
      </c>
      <c r="C7" s="59" t="n">
        <v>2437.9</v>
      </c>
      <c r="D7" s="59" t="n">
        <v>0</v>
      </c>
      <c r="E7" s="59" t="n">
        <v>0</v>
      </c>
      <c r="F7" s="59" t="n">
        <v>0</v>
      </c>
      <c r="G7" s="59" t="n">
        <v>0</v>
      </c>
      <c r="H7" s="59" t="n">
        <v>2253.29</v>
      </c>
      <c r="I7" s="59" t="n">
        <v>0</v>
      </c>
      <c r="J7" s="59" t="n">
        <v>0</v>
      </c>
      <c r="K7" s="59" t="n">
        <v>8527.57</v>
      </c>
      <c r="L7" s="59" t="n">
        <v>164529.3</v>
      </c>
      <c r="M7" s="59" t="n">
        <v>73951.98000000001</v>
      </c>
      <c r="N7" s="59" t="n">
        <v>86798.41</v>
      </c>
      <c r="O7" s="59" t="n">
        <v>91882.83</v>
      </c>
      <c r="P7" s="59" t="n">
        <v>150391.6</v>
      </c>
      <c r="Q7" s="59" t="n">
        <v>119483.12</v>
      </c>
      <c r="R7" s="59" t="n">
        <v>143785.1</v>
      </c>
      <c r="S7" s="59" t="n">
        <v>62913.13</v>
      </c>
      <c r="T7" s="59" t="n">
        <v>95975.70999999999</v>
      </c>
      <c r="U7" s="59" t="n">
        <v>76634.44</v>
      </c>
      <c r="V7" s="59" t="n">
        <v>54750.11</v>
      </c>
      <c r="W7" s="59" t="n">
        <v>339691.77</v>
      </c>
      <c r="X7" s="59" t="n">
        <v>270556.53</v>
      </c>
      <c r="Y7" s="59" t="n">
        <v>226944.64</v>
      </c>
      <c r="Z7" s="59" t="n">
        <v>298199.840005</v>
      </c>
      <c r="AA7" s="59" t="n">
        <v>190147.17</v>
      </c>
      <c r="AB7" s="59" t="n">
        <v>221993.72</v>
      </c>
      <c r="AC7" s="59" t="n">
        <v>395625.4</v>
      </c>
      <c r="AD7" s="59" t="n">
        <v>708213.459999</v>
      </c>
      <c r="AE7" s="59" t="n">
        <v>1253058.840001</v>
      </c>
      <c r="AF7" s="59" t="n">
        <v>2178783.130003</v>
      </c>
      <c r="AG7" s="59" t="n">
        <v>1568106.200001</v>
      </c>
      <c r="AH7" s="59" t="n">
        <v>1972982.140003</v>
      </c>
      <c r="AI7" s="59" t="n">
        <v>1105526.59</v>
      </c>
      <c r="AJ7" s="59" t="n">
        <v>1636768.819998</v>
      </c>
      <c r="AK7" s="59" t="n">
        <v>1444679.820001</v>
      </c>
      <c r="AL7" s="59" t="n">
        <v>956706.509995</v>
      </c>
      <c r="AM7" s="59" t="n">
        <v>1340691.29</v>
      </c>
      <c r="AN7" s="59" t="n">
        <v>2331705.550006</v>
      </c>
      <c r="CK7" s="59" t="n">
        <v>151411070.129816</v>
      </c>
    </row>
    <row r="8">
      <c r="A8" s="4" t="inlineStr">
        <is>
          <t>ALVENARIA</t>
        </is>
      </c>
      <c r="CK8" s="59" t="n">
        <v>5971733.45987883</v>
      </c>
    </row>
    <row r="9">
      <c r="A9" s="4" t="inlineStr">
        <is>
          <t>BARRACAO DE OBRA</t>
        </is>
      </c>
      <c r="P9" s="59" t="n">
        <v>1566.87</v>
      </c>
      <c r="Q9" s="59" t="n">
        <v>22290.15</v>
      </c>
      <c r="R9" s="59" t="n">
        <v>36188.25</v>
      </c>
      <c r="S9" s="59" t="n">
        <v>585.7</v>
      </c>
      <c r="T9" s="59" t="n">
        <v>750</v>
      </c>
      <c r="AA9" s="59" t="n">
        <v>61557.78</v>
      </c>
      <c r="AB9" s="59" t="n">
        <v>70633.03</v>
      </c>
      <c r="AC9" s="59" t="n">
        <v>66792.519999</v>
      </c>
      <c r="AD9" s="59" t="n">
        <v>71201.39999999999</v>
      </c>
      <c r="AE9" s="59" t="n">
        <v>59244.3</v>
      </c>
      <c r="AF9" s="59" t="n">
        <v>40715.62</v>
      </c>
      <c r="AG9" s="59" t="n">
        <v>51460.010504</v>
      </c>
      <c r="AH9" s="59" t="n">
        <v>22683.909495</v>
      </c>
      <c r="AI9" s="59" t="n">
        <v>17563.670001</v>
      </c>
      <c r="AJ9" s="59" t="n">
        <v>14403.47</v>
      </c>
      <c r="AK9" s="59" t="n">
        <v>13639.33</v>
      </c>
      <c r="AL9" s="59" t="n">
        <v>19885.18</v>
      </c>
      <c r="AM9" s="59" t="n">
        <v>14872.41</v>
      </c>
      <c r="AN9" s="59" t="n">
        <v>28641.880002</v>
      </c>
      <c r="AO9" s="59" t="n">
        <v>16434.13</v>
      </c>
      <c r="AP9" s="59" t="n">
        <v>18163.95</v>
      </c>
      <c r="AQ9" s="59" t="n">
        <v>1127.94</v>
      </c>
      <c r="AS9" s="59" t="n">
        <v>1880.2</v>
      </c>
      <c r="AV9" s="59" t="n">
        <v>518</v>
      </c>
      <c r="CK9" s="59" t="n">
        <v>908450.623051499</v>
      </c>
    </row>
    <row r="10">
      <c r="A10" s="4" t="inlineStr">
        <is>
          <t>CONSULTORIAS (OBRAS)</t>
        </is>
      </c>
      <c r="N10" s="59" t="n">
        <v>6616.43</v>
      </c>
      <c r="O10" s="59" t="n">
        <v>433.57</v>
      </c>
      <c r="R10" s="59" t="n">
        <v>21110.48</v>
      </c>
      <c r="S10" s="59" t="n">
        <v>14927.61</v>
      </c>
      <c r="W10" s="59" t="n">
        <v>14421.7</v>
      </c>
      <c r="X10" s="59" t="n">
        <v>608.73</v>
      </c>
      <c r="AB10" s="59" t="n">
        <v>20181.97</v>
      </c>
      <c r="AC10" s="59" t="n">
        <v>6015.91</v>
      </c>
      <c r="AD10" s="59" t="n">
        <v>9715.370000000001</v>
      </c>
      <c r="AE10" s="59" t="n">
        <v>28769</v>
      </c>
      <c r="AF10" s="59" t="n">
        <v>255492.31</v>
      </c>
      <c r="AG10" s="59" t="n">
        <v>61293.83</v>
      </c>
      <c r="AH10" s="59" t="n">
        <v>26405.03</v>
      </c>
      <c r="AI10" s="59" t="n">
        <v>27423.86</v>
      </c>
      <c r="AJ10" s="59" t="n">
        <v>42679.98</v>
      </c>
      <c r="AK10" s="59" t="n">
        <v>22203.86</v>
      </c>
      <c r="AL10" s="59" t="n">
        <v>22652.84</v>
      </c>
      <c r="AM10" s="59" t="n">
        <v>18615.9</v>
      </c>
      <c r="AN10" s="59" t="n">
        <v>42382.64</v>
      </c>
      <c r="AO10" s="59" t="n">
        <v>32608.81</v>
      </c>
      <c r="AP10" s="59" t="n">
        <v>24838.91</v>
      </c>
      <c r="AQ10" s="59" t="n">
        <v>190</v>
      </c>
      <c r="CK10" s="59" t="n">
        <v>1391958.90732964</v>
      </c>
    </row>
    <row r="11">
      <c r="A11" s="4" t="inlineStr">
        <is>
          <t>CONSUMO DE ÁGUA, ENERGIA, ETC.</t>
        </is>
      </c>
      <c r="AE11" s="59" t="n">
        <v>451.95</v>
      </c>
      <c r="AF11" s="59" t="n">
        <v>2796.26</v>
      </c>
      <c r="AG11" s="59" t="n">
        <v>159.9</v>
      </c>
      <c r="AH11" s="59" t="n">
        <v>2417.06</v>
      </c>
      <c r="AI11" s="59" t="n">
        <v>1957.61</v>
      </c>
      <c r="AJ11" s="59" t="n">
        <v>2936.03</v>
      </c>
      <c r="AK11" s="59" t="n">
        <v>1594.43</v>
      </c>
      <c r="AL11" s="59" t="n">
        <v>6339.97</v>
      </c>
      <c r="AM11" s="59" t="n">
        <v>2360.61</v>
      </c>
      <c r="AN11" s="59" t="n">
        <v>4502.73</v>
      </c>
      <c r="AO11" s="59" t="n">
        <v>10541.48</v>
      </c>
      <c r="AP11" s="59" t="n">
        <v>2742.07</v>
      </c>
      <c r="AQ11" s="59" t="n">
        <v>2339.05</v>
      </c>
      <c r="AR11" s="59" t="n">
        <v>159.9</v>
      </c>
      <c r="AS11" s="59" t="n">
        <v>159.9</v>
      </c>
      <c r="AT11" s="59" t="n">
        <v>159.9</v>
      </c>
      <c r="AU11" s="59" t="n">
        <v>159.9</v>
      </c>
      <c r="AV11" s="59" t="n">
        <v>159.9</v>
      </c>
      <c r="AW11" s="59" t="n">
        <v>159.9</v>
      </c>
      <c r="AX11" s="59" t="n">
        <v>159.9</v>
      </c>
      <c r="AY11" s="59" t="n">
        <v>159.9</v>
      </c>
      <c r="AZ11" s="59" t="n">
        <v>159.9</v>
      </c>
      <c r="BA11" s="59" t="n">
        <v>159.9</v>
      </c>
      <c r="BB11" s="59" t="n">
        <v>159.9</v>
      </c>
      <c r="BC11" s="59" t="n">
        <v>159.9</v>
      </c>
      <c r="BD11" s="59" t="n">
        <v>159.9</v>
      </c>
      <c r="BE11" s="59" t="n">
        <v>159.9</v>
      </c>
      <c r="BF11" s="59" t="n">
        <v>159.9</v>
      </c>
      <c r="BG11" s="59" t="n">
        <v>159.9</v>
      </c>
      <c r="BH11" s="59" t="n">
        <v>159.9</v>
      </c>
      <c r="BI11" s="59" t="n">
        <v>159.9</v>
      </c>
      <c r="BJ11" s="59" t="n">
        <v>159.9</v>
      </c>
      <c r="BK11" s="59" t="n">
        <v>159.9</v>
      </c>
      <c r="BL11" s="59" t="n">
        <v>159.9</v>
      </c>
      <c r="BM11" s="59" t="n">
        <v>159.9</v>
      </c>
      <c r="BN11" s="59" t="n">
        <v>159.9</v>
      </c>
      <c r="BO11" s="59" t="n">
        <v>159.9</v>
      </c>
      <c r="BP11" s="59" t="n">
        <v>159.9</v>
      </c>
      <c r="BQ11" s="59" t="n">
        <v>159.9</v>
      </c>
      <c r="BR11" s="59" t="n">
        <v>159.9</v>
      </c>
      <c r="BS11" s="59" t="n">
        <v>159.9</v>
      </c>
      <c r="BT11" s="59" t="n">
        <v>159.9</v>
      </c>
      <c r="BU11" s="59" t="n">
        <v>159.9</v>
      </c>
      <c r="BV11" s="59" t="n">
        <v>159.9</v>
      </c>
      <c r="BW11" s="59" t="n">
        <v>159.9</v>
      </c>
      <c r="CK11" s="59" t="n">
        <v>523940.498683766</v>
      </c>
    </row>
    <row r="12">
      <c r="A12" s="4" t="inlineStr">
        <is>
          <t>CONTENÇÃO</t>
        </is>
      </c>
      <c r="AB12" s="59" t="n">
        <v>12009.9</v>
      </c>
      <c r="AC12" s="59" t="n">
        <v>107813.99</v>
      </c>
      <c r="AD12" s="59" t="n">
        <v>236848.017837</v>
      </c>
      <c r="AE12" s="59" t="n">
        <v>285810.887162</v>
      </c>
      <c r="AF12" s="59" t="n">
        <v>200940.585</v>
      </c>
      <c r="AG12" s="59" t="n">
        <v>135305.991738</v>
      </c>
      <c r="AH12" s="59" t="n">
        <v>4650</v>
      </c>
      <c r="AI12" s="59" t="n">
        <v>860</v>
      </c>
      <c r="AJ12" s="59" t="n">
        <v>44181.998698</v>
      </c>
      <c r="AK12" s="59" t="n">
        <v>346.942</v>
      </c>
      <c r="AL12" s="59" t="n">
        <v>4280</v>
      </c>
      <c r="AM12" s="59" t="n">
        <v>6148</v>
      </c>
      <c r="AN12" s="59" t="n">
        <v>36106.1</v>
      </c>
      <c r="AP12" s="59" t="n">
        <v>10352.648431</v>
      </c>
      <c r="AR12" s="59" t="n">
        <v>5763.381302</v>
      </c>
      <c r="CK12" s="59" t="n">
        <v>1713139.17268981</v>
      </c>
    </row>
    <row r="13">
      <c r="A13" s="4" t="inlineStr">
        <is>
          <t>DIVERSOS</t>
        </is>
      </c>
      <c r="N13" s="59" t="n">
        <v>10.59</v>
      </c>
      <c r="P13" s="59" t="n">
        <v>823.84</v>
      </c>
      <c r="Q13" s="59" t="n">
        <v>649.99</v>
      </c>
      <c r="R13" s="59" t="n">
        <v>284.74</v>
      </c>
      <c r="S13" s="59" t="n">
        <v>1.31</v>
      </c>
      <c r="U13" s="59" t="n">
        <v>5847.44</v>
      </c>
      <c r="V13" s="59" t="n">
        <v>1467.74</v>
      </c>
      <c r="Y13" s="59" t="n">
        <v>66.59999999999999</v>
      </c>
      <c r="AD13" s="59" t="n">
        <v>850.17</v>
      </c>
      <c r="AE13" s="59" t="n">
        <v>4204.059998</v>
      </c>
      <c r="AF13" s="59" t="n">
        <v>713.41</v>
      </c>
      <c r="AG13" s="59" t="n">
        <v>1784.1</v>
      </c>
      <c r="AH13" s="59" t="n">
        <v>1122.95</v>
      </c>
      <c r="AI13" s="59" t="n">
        <v>1160.97</v>
      </c>
      <c r="AJ13" s="59" t="n">
        <v>2280.62</v>
      </c>
      <c r="AK13" s="59" t="n">
        <v>1594.82</v>
      </c>
      <c r="AL13" s="59" t="n">
        <v>1922.39</v>
      </c>
      <c r="AM13" s="59" t="n">
        <v>1559.18</v>
      </c>
      <c r="AN13" s="59" t="n">
        <v>2538.36</v>
      </c>
      <c r="AO13" s="59" t="n">
        <v>5139.730001</v>
      </c>
      <c r="AP13" s="59" t="n">
        <v>4242.44</v>
      </c>
      <c r="AQ13" s="59" t="n">
        <v>1133.72</v>
      </c>
      <c r="CK13" s="59" t="n">
        <v>132107.637163343</v>
      </c>
    </row>
    <row r="14">
      <c r="A14" s="4" t="inlineStr">
        <is>
          <t>ELEVADORES</t>
        </is>
      </c>
      <c r="CK14" s="59" t="n">
        <v>3260351.34327207</v>
      </c>
    </row>
    <row r="15">
      <c r="A15" s="4" t="inlineStr">
        <is>
          <t>EQUIPAMENTOS E FERRAMENTAS</t>
        </is>
      </c>
      <c r="AB15" s="59" t="n">
        <v>672.9</v>
      </c>
      <c r="AC15" s="59" t="n">
        <v>5281.410001</v>
      </c>
      <c r="AD15" s="59" t="n">
        <v>6232.489999</v>
      </c>
      <c r="AE15" s="59" t="n">
        <v>9500.17</v>
      </c>
      <c r="AF15" s="59" t="n">
        <v>55945.36</v>
      </c>
      <c r="AG15" s="59" t="n">
        <v>58948.929494</v>
      </c>
      <c r="AH15" s="59" t="n">
        <v>144547.580505</v>
      </c>
      <c r="AI15" s="59" t="n">
        <v>11787.59</v>
      </c>
      <c r="AJ15" s="59" t="n">
        <v>6734.81</v>
      </c>
      <c r="AK15" s="59" t="n">
        <v>2323.6</v>
      </c>
      <c r="AL15" s="59" t="n">
        <v>28516.020222</v>
      </c>
      <c r="AM15" s="59" t="n">
        <v>24451.289778</v>
      </c>
      <c r="AN15" s="59" t="n">
        <v>63176.570001</v>
      </c>
      <c r="AO15" s="59" t="n">
        <v>125548.998696</v>
      </c>
      <c r="AP15" s="59" t="n">
        <v>88811.99649</v>
      </c>
      <c r="AQ15" s="59" t="n">
        <v>9937.799999999999</v>
      </c>
      <c r="AR15" s="59" t="n">
        <v>257.38</v>
      </c>
      <c r="AU15" s="59" t="n">
        <v>1456.400001</v>
      </c>
      <c r="BL15" s="59" t="n">
        <v>1693.384812</v>
      </c>
      <c r="CK15" s="59" t="n">
        <v>6345587.82640202</v>
      </c>
    </row>
    <row r="16">
      <c r="A16" s="4" t="inlineStr">
        <is>
          <t>ESQUADRIAS</t>
        </is>
      </c>
      <c r="CK16" s="59" t="n">
        <v>11264968.6584117</v>
      </c>
    </row>
    <row r="17">
      <c r="A17" s="4" t="inlineStr">
        <is>
          <t>ESTRUTURA EM CONTRETO ARMADO</t>
        </is>
      </c>
      <c r="AL17" s="59" t="n">
        <v>22233.82</v>
      </c>
      <c r="AM17" s="59" t="n">
        <v>49774.545</v>
      </c>
      <c r="AN17" s="59" t="n">
        <v>269581.185001</v>
      </c>
      <c r="AO17" s="59" t="n">
        <v>650557.023077</v>
      </c>
      <c r="AP17" s="59" t="n">
        <v>1271174.768704</v>
      </c>
      <c r="AQ17" s="59" t="n">
        <v>222757.260003</v>
      </c>
      <c r="AR17" s="59" t="n">
        <v>565329.91</v>
      </c>
      <c r="AV17" s="59" t="n">
        <v>8355.270078</v>
      </c>
      <c r="BL17" s="59" t="n">
        <v>14261.168147</v>
      </c>
      <c r="BP17" s="59" t="n">
        <v>88.5</v>
      </c>
      <c r="BS17" s="59" t="n">
        <v>3520.13</v>
      </c>
      <c r="CK17" s="59" t="n">
        <v>25842544.009281</v>
      </c>
    </row>
    <row r="18">
      <c r="A18" s="4" t="inlineStr">
        <is>
          <t>FORRO</t>
        </is>
      </c>
      <c r="CK18" s="59" t="n">
        <v>1703159.09857732</v>
      </c>
    </row>
    <row r="19">
      <c r="A19" s="4" t="inlineStr">
        <is>
          <t>FUNDAÇÃO PROFUNDA</t>
        </is>
      </c>
      <c r="AC19" s="59" t="n">
        <v>1930</v>
      </c>
      <c r="AD19" s="59" t="n">
        <v>145877.572162</v>
      </c>
      <c r="AE19" s="59" t="n">
        <v>521095.712838</v>
      </c>
      <c r="AF19" s="59" t="n">
        <v>1121245.405</v>
      </c>
      <c r="AG19" s="59" t="n">
        <v>887025.558881</v>
      </c>
      <c r="AH19" s="59" t="n">
        <v>1371139.528051</v>
      </c>
      <c r="AI19" s="59" t="n">
        <v>644213.9018</v>
      </c>
      <c r="AJ19" s="59" t="n">
        <v>1191477.325736</v>
      </c>
      <c r="AK19" s="59" t="n">
        <v>606377.664628</v>
      </c>
      <c r="AL19" s="59" t="n">
        <v>43774.237971</v>
      </c>
      <c r="AM19" s="59" t="n">
        <v>15692.866876</v>
      </c>
      <c r="AN19" s="59" t="n">
        <v>78401.442561</v>
      </c>
      <c r="AO19" s="59" t="n">
        <v>37660.472</v>
      </c>
      <c r="AP19" s="59" t="n">
        <v>59840.33</v>
      </c>
      <c r="AQ19" s="59" t="n">
        <v>34528.89</v>
      </c>
      <c r="AR19" s="59" t="n">
        <v>6125.678698</v>
      </c>
      <c r="AS19" s="59" t="n">
        <v>5767.997438</v>
      </c>
      <c r="AU19" s="59" t="n">
        <v>2828</v>
      </c>
      <c r="AV19" s="59" t="n">
        <v>7273.76</v>
      </c>
      <c r="BL19" s="59" t="n">
        <v>2043.999145</v>
      </c>
      <c r="CK19" s="59" t="n">
        <v>6204378.30418355</v>
      </c>
    </row>
    <row r="20">
      <c r="A20" s="4" t="inlineStr">
        <is>
          <t>FUNDAÇÃO SUPERFICIAL</t>
        </is>
      </c>
      <c r="AK20" s="59" t="n">
        <v>20138.34</v>
      </c>
      <c r="AL20" s="59" t="n">
        <v>304245.223792</v>
      </c>
      <c r="AM20" s="59" t="n">
        <v>700460.709287</v>
      </c>
      <c r="AN20" s="59" t="n">
        <v>1471948.085774</v>
      </c>
      <c r="AO20" s="59" t="n">
        <v>480698.82773</v>
      </c>
      <c r="AP20" s="59" t="n">
        <v>50605.812412</v>
      </c>
      <c r="AR20" s="59" t="n">
        <v>713.975288</v>
      </c>
      <c r="AS20" s="59" t="n">
        <v>19229.109229</v>
      </c>
      <c r="AT20" s="59" t="n">
        <v>22778.610497</v>
      </c>
      <c r="AU20" s="59" t="n">
        <v>2356.48</v>
      </c>
      <c r="AV20" s="59" t="n">
        <v>2007.282321</v>
      </c>
      <c r="BL20" s="59" t="n">
        <v>3351.787896</v>
      </c>
      <c r="CK20" s="59" t="n">
        <v>3293977.3676828</v>
      </c>
    </row>
    <row r="21">
      <c r="A21" s="4" t="inlineStr">
        <is>
          <t>IMPERMEABILIZAÇÃO</t>
        </is>
      </c>
      <c r="CK21" s="59" t="n">
        <v>3957653.19496534</v>
      </c>
    </row>
    <row r="22">
      <c r="A22" s="4" t="inlineStr">
        <is>
          <t>INSTALAÇÕES COMBATE INCÊNDIO</t>
        </is>
      </c>
      <c r="CK22" s="59" t="n">
        <v>787409.539205083</v>
      </c>
    </row>
    <row r="23">
      <c r="A23" s="4" t="inlineStr">
        <is>
          <t>INSTALAÇÕES ELÉTRICAS</t>
        </is>
      </c>
      <c r="AE23" s="59" t="n">
        <v>2235.2</v>
      </c>
      <c r="AK23" s="59" t="n">
        <v>209001.57</v>
      </c>
      <c r="AL23" s="59" t="n">
        <v>3214.66</v>
      </c>
      <c r="AM23" s="59" t="n">
        <v>94109.06</v>
      </c>
      <c r="AN23" s="59" t="n">
        <v>6139.34</v>
      </c>
      <c r="AO23" s="59" t="n">
        <v>6662.65</v>
      </c>
      <c r="AP23" s="59" t="n">
        <v>4679.03</v>
      </c>
      <c r="CK23" s="59" t="n">
        <v>11284021.9782979</v>
      </c>
    </row>
    <row r="24">
      <c r="A24" s="4" t="inlineStr">
        <is>
          <t>INSTALAÇÕES ESPECIAIS</t>
        </is>
      </c>
      <c r="CK24" s="59" t="n">
        <v>2704811.89207862</v>
      </c>
    </row>
    <row r="25">
      <c r="A25" s="4" t="inlineStr">
        <is>
          <t>INSTALAÇÕES HIDROSANITÁRIAS</t>
        </is>
      </c>
      <c r="AP25" s="59" t="n">
        <v>13965</v>
      </c>
      <c r="AQ25" s="59" t="n">
        <v>13965</v>
      </c>
      <c r="CK25" s="59" t="n">
        <v>7429085.25908538</v>
      </c>
    </row>
    <row r="26">
      <c r="A26" s="4" t="inlineStr">
        <is>
          <t>LIGAÇÕES PROVISÓRIAS AGUA, ENERGIA,TELEFONIA, ESGOTO</t>
        </is>
      </c>
      <c r="AB26" s="59" t="n">
        <v>625.36</v>
      </c>
      <c r="AC26" s="59" t="n">
        <v>357.65</v>
      </c>
      <c r="AD26" s="59" t="n">
        <v>1634.25</v>
      </c>
      <c r="AE26" s="59" t="n">
        <v>14678.510002</v>
      </c>
      <c r="AF26" s="59" t="n">
        <v>8642.57</v>
      </c>
      <c r="AG26" s="59" t="n">
        <v>1681.620001</v>
      </c>
      <c r="AH26" s="59" t="n">
        <v>525.75</v>
      </c>
      <c r="AI26" s="59" t="n">
        <v>5117.4</v>
      </c>
      <c r="AK26" s="59" t="n">
        <v>6926.870001</v>
      </c>
      <c r="AL26" s="59" t="n">
        <v>18523.319999</v>
      </c>
      <c r="AM26" s="59" t="n">
        <v>20.75</v>
      </c>
      <c r="AP26" s="59" t="n">
        <v>167.05</v>
      </c>
      <c r="AQ26" s="59" t="n">
        <v>568.4</v>
      </c>
      <c r="CK26" s="59" t="n">
        <v>73157.9900814109</v>
      </c>
    </row>
    <row r="27">
      <c r="A27" s="4" t="inlineStr">
        <is>
          <t>LIMPEZA FINAL DE OBRA</t>
        </is>
      </c>
      <c r="CK27" s="59" t="n">
        <v>894384.071774206</v>
      </c>
    </row>
    <row r="28">
      <c r="A28" s="4" t="inlineStr">
        <is>
          <t>LOUÇAS SANITÁRIAS</t>
        </is>
      </c>
      <c r="CK28" s="59" t="n">
        <v>2065943.36188839</v>
      </c>
    </row>
    <row r="29">
      <c r="A29" s="4" t="inlineStr">
        <is>
          <t>MÃO DE OBRA PRÓPRIA</t>
        </is>
      </c>
      <c r="C29" s="59" t="n">
        <v>2437.9</v>
      </c>
      <c r="H29" s="59" t="n">
        <v>2253.29</v>
      </c>
      <c r="K29" s="59" t="n">
        <v>8527.57</v>
      </c>
      <c r="L29" s="59" t="n">
        <v>35000</v>
      </c>
      <c r="M29" s="59" t="n">
        <v>35655</v>
      </c>
      <c r="N29" s="59" t="n">
        <v>35655</v>
      </c>
      <c r="O29" s="59" t="n">
        <v>36678.64</v>
      </c>
      <c r="P29" s="59" t="n">
        <v>39561.28</v>
      </c>
      <c r="Q29" s="59" t="n">
        <v>39540.39</v>
      </c>
      <c r="R29" s="59" t="n">
        <v>39540.39</v>
      </c>
      <c r="S29" s="59" t="n">
        <v>39790.39</v>
      </c>
      <c r="T29" s="59" t="n">
        <v>36732</v>
      </c>
      <c r="U29" s="59" t="n">
        <v>35837</v>
      </c>
      <c r="V29" s="59" t="n">
        <v>940</v>
      </c>
      <c r="W29" s="59" t="n">
        <v>61357.36</v>
      </c>
      <c r="X29" s="59" t="n">
        <v>118973.07</v>
      </c>
      <c r="Y29" s="59" t="n">
        <v>60617.36</v>
      </c>
      <c r="Z29" s="59" t="n">
        <v>23912.84</v>
      </c>
      <c r="AA29" s="59" t="n">
        <v>27131.75</v>
      </c>
      <c r="AB29" s="59" t="n">
        <v>51487.59</v>
      </c>
      <c r="AC29" s="59" t="n">
        <v>89901.3</v>
      </c>
      <c r="AD29" s="59" t="n">
        <v>109406.480001</v>
      </c>
      <c r="AE29" s="59" t="n">
        <v>164098.290001</v>
      </c>
      <c r="AF29" s="59" t="n">
        <v>234224.100003</v>
      </c>
      <c r="AG29" s="59" t="n">
        <v>187300.458433</v>
      </c>
      <c r="AH29" s="59" t="n">
        <v>207035.090002</v>
      </c>
      <c r="AI29" s="59" t="n">
        <v>189783.71</v>
      </c>
      <c r="AJ29" s="59" t="n">
        <v>215160.729998</v>
      </c>
      <c r="AK29" s="59" t="n">
        <v>203548.11</v>
      </c>
      <c r="AL29" s="59" t="n">
        <v>207785.71</v>
      </c>
      <c r="AM29" s="59" t="n">
        <v>205254.165289</v>
      </c>
      <c r="AN29" s="59" t="n">
        <v>256382.446667</v>
      </c>
      <c r="AO29" s="59" t="n">
        <v>298850.740497</v>
      </c>
      <c r="AP29" s="59" t="n">
        <v>194858.263966</v>
      </c>
      <c r="AQ29" s="59" t="n">
        <v>82753.46000000001</v>
      </c>
      <c r="AR29" s="59" t="n">
        <v>91679.554712</v>
      </c>
      <c r="AS29" s="59" t="n">
        <v>91427.863333</v>
      </c>
      <c r="AT29" s="59" t="n">
        <v>1007.809503</v>
      </c>
      <c r="AU29" s="59" t="n">
        <v>1037.4</v>
      </c>
      <c r="AV29" s="59" t="n">
        <v>3222.967601</v>
      </c>
      <c r="BC29" s="59" t="n">
        <v>863.52</v>
      </c>
      <c r="BE29" s="59" t="n">
        <v>8451.690000000001</v>
      </c>
      <c r="CK29" s="59" t="n">
        <v>20179175.4908811</v>
      </c>
    </row>
    <row r="30">
      <c r="A30" s="4" t="inlineStr">
        <is>
          <t>MARCENARIA</t>
        </is>
      </c>
      <c r="AP30" s="59" t="n">
        <v>7000</v>
      </c>
      <c r="CK30" s="59" t="n">
        <v>2999564.91260768</v>
      </c>
    </row>
    <row r="31">
      <c r="A31" s="4" t="inlineStr">
        <is>
          <t>PAISAGISMO</t>
        </is>
      </c>
      <c r="CK31" s="59" t="n">
        <v>1125347.07654875</v>
      </c>
    </row>
    <row r="32">
      <c r="A32" s="4" t="inlineStr">
        <is>
          <t>PAVIMENTAÇÃO</t>
        </is>
      </c>
      <c r="CK32" s="59" t="n">
        <v>107710.005464064</v>
      </c>
    </row>
    <row r="33">
      <c r="A33" s="4" t="inlineStr">
        <is>
          <t>PINTURA</t>
        </is>
      </c>
      <c r="CK33" s="59" t="n">
        <v>3702958.93144738</v>
      </c>
    </row>
    <row r="34">
      <c r="A34" s="4" t="inlineStr">
        <is>
          <t>PROJETOS</t>
        </is>
      </c>
      <c r="L34" s="59" t="n">
        <v>129412.72</v>
      </c>
      <c r="M34" s="59" t="n">
        <v>38210.98</v>
      </c>
      <c r="N34" s="59" t="n">
        <v>44489.71</v>
      </c>
      <c r="O34" s="59" t="n">
        <v>9769.879999999999</v>
      </c>
      <c r="P34" s="59" t="n">
        <v>53439.61</v>
      </c>
      <c r="Q34" s="59" t="n">
        <v>56848.49</v>
      </c>
      <c r="R34" s="59" t="n">
        <v>9211.24</v>
      </c>
      <c r="S34" s="59" t="n">
        <v>7608.12</v>
      </c>
      <c r="T34" s="59" t="n">
        <v>34653.4</v>
      </c>
      <c r="U34" s="59" t="n">
        <v>34950</v>
      </c>
      <c r="V34" s="59" t="n">
        <v>10917.03</v>
      </c>
      <c r="W34" s="59" t="n">
        <v>263811.08</v>
      </c>
      <c r="X34" s="59" t="n">
        <v>95377.59</v>
      </c>
      <c r="Y34" s="59" t="n">
        <v>152105.86</v>
      </c>
      <c r="Z34" s="59" t="n">
        <v>202477.1</v>
      </c>
      <c r="AA34" s="59" t="n">
        <v>65133.61</v>
      </c>
      <c r="AB34" s="59" t="n">
        <v>46336.42</v>
      </c>
      <c r="AC34" s="59" t="n">
        <v>89390.73</v>
      </c>
      <c r="AD34" s="59" t="n">
        <v>31201.11</v>
      </c>
      <c r="AE34" s="59" t="n">
        <v>59081.79</v>
      </c>
      <c r="AF34" s="59" t="n">
        <v>118743.26</v>
      </c>
      <c r="AG34" s="59" t="n">
        <v>73812.67999999999</v>
      </c>
      <c r="AH34" s="59" t="n">
        <v>141055.81</v>
      </c>
      <c r="AI34" s="59" t="n">
        <v>93013.12</v>
      </c>
      <c r="AJ34" s="59" t="n">
        <v>46600</v>
      </c>
      <c r="AK34" s="59" t="n">
        <v>145577.73</v>
      </c>
      <c r="AL34" s="59" t="n">
        <v>925</v>
      </c>
      <c r="AM34" s="59" t="n">
        <v>925</v>
      </c>
      <c r="AN34" s="59" t="n">
        <v>17537.85</v>
      </c>
      <c r="AO34" s="59" t="n">
        <v>33676.72</v>
      </c>
      <c r="AP34" s="59" t="n">
        <v>1046.09</v>
      </c>
      <c r="CK34" s="59" t="n">
        <v>2428584.55285499</v>
      </c>
    </row>
    <row r="35">
      <c r="A35" s="4" t="inlineStr">
        <is>
          <t>REEMBOLSO MATERIAIS E SERVIÇOS</t>
        </is>
      </c>
      <c r="T35" s="59" t="n">
        <v>23840.31</v>
      </c>
      <c r="V35" s="59" t="n">
        <v>4462.26</v>
      </c>
      <c r="X35" s="59" t="n">
        <v>21548.26</v>
      </c>
      <c r="AC35" s="59" t="n">
        <v>26.25</v>
      </c>
      <c r="AE35" s="59" t="n">
        <v>196.21</v>
      </c>
      <c r="AF35" s="59" t="n">
        <v>196.21</v>
      </c>
      <c r="CK35" s="59" t="n">
        <v>50269.5</v>
      </c>
    </row>
    <row r="36">
      <c r="A36" s="4" t="inlineStr">
        <is>
          <t>REVESTIMENTO DIVERSOS   FACHADA</t>
        </is>
      </c>
      <c r="CK36" s="59" t="n">
        <v>5093370.43933275</v>
      </c>
    </row>
    <row r="37">
      <c r="A37" s="4" t="inlineStr">
        <is>
          <t>REVESTIMENTOS</t>
        </is>
      </c>
      <c r="CK37" s="59" t="n">
        <v>10480010.6955231</v>
      </c>
    </row>
    <row r="38">
      <c r="A38" s="4" t="inlineStr">
        <is>
          <t>REVESTIMENTOS DE MASSA EM PISOS</t>
        </is>
      </c>
      <c r="CK38" s="59" t="n">
        <v>1104275.7781087</v>
      </c>
    </row>
    <row r="39">
      <c r="A39" s="4" t="inlineStr">
        <is>
          <t>REVESTIMENTOS DE MASSAS EM PAREDES</t>
        </is>
      </c>
      <c r="CK39" s="59" t="n">
        <v>2536976.97745316</v>
      </c>
    </row>
    <row r="40">
      <c r="A40" s="4" t="inlineStr">
        <is>
          <t>SEGUROS</t>
        </is>
      </c>
      <c r="AD40" s="59" t="n">
        <v>29594.38</v>
      </c>
      <c r="AE40" s="59" t="n">
        <v>15763.13</v>
      </c>
      <c r="AF40" s="59" t="n">
        <v>1931.88</v>
      </c>
      <c r="AG40" s="59" t="n">
        <v>29895.53</v>
      </c>
      <c r="AH40" s="59" t="n">
        <v>16064.28</v>
      </c>
      <c r="AI40" s="59" t="n">
        <v>2233.03</v>
      </c>
      <c r="AJ40" s="59" t="n">
        <v>29895.47</v>
      </c>
      <c r="AK40" s="59" t="n">
        <v>2232.98</v>
      </c>
      <c r="AL40" s="59" t="n">
        <v>301.15</v>
      </c>
      <c r="CK40" s="59" t="n">
        <v>141604.26332499</v>
      </c>
    </row>
    <row r="41">
      <c r="A41" s="4" t="inlineStr">
        <is>
          <t>SERRALHERIA</t>
        </is>
      </c>
      <c r="CK41" s="59" t="n">
        <v>486392.741187442</v>
      </c>
    </row>
    <row r="42">
      <c r="A42" s="4" t="inlineStr">
        <is>
          <t>SERVIÇOS INICIAIS</t>
        </is>
      </c>
      <c r="AA42" s="59" t="n">
        <v>29688.12</v>
      </c>
      <c r="AB42" s="59" t="n">
        <v>5465.88</v>
      </c>
      <c r="AD42" s="59" t="n">
        <v>15003.12</v>
      </c>
      <c r="AE42" s="59" t="n">
        <v>8525.879999999999</v>
      </c>
      <c r="AF42" s="59" t="n">
        <v>9755.940000000001</v>
      </c>
      <c r="AG42" s="59" t="n">
        <v>13712.62</v>
      </c>
      <c r="AH42" s="59" t="n">
        <v>9641.440000000001</v>
      </c>
      <c r="AI42" s="59" t="n">
        <v>1604.07</v>
      </c>
      <c r="AJ42" s="59" t="n">
        <v>10302.97</v>
      </c>
      <c r="AK42" s="59" t="n">
        <v>3859.6</v>
      </c>
      <c r="AL42" s="59" t="n">
        <v>140.4</v>
      </c>
      <c r="AM42" s="59" t="n">
        <v>665</v>
      </c>
      <c r="AP42" s="59" t="n">
        <v>3402</v>
      </c>
      <c r="AR42" s="59" t="n">
        <v>399</v>
      </c>
      <c r="BE42" s="59" t="n">
        <v>2905</v>
      </c>
      <c r="CK42" s="59" t="n">
        <v>180397.526415536</v>
      </c>
    </row>
    <row r="43">
      <c r="A43" s="4" t="inlineStr">
        <is>
          <t>TAXA DE ADMINISTRAÇÃO</t>
        </is>
      </c>
      <c r="O43" s="59" t="n">
        <v>45000</v>
      </c>
      <c r="P43" s="59" t="n">
        <v>55000</v>
      </c>
      <c r="R43" s="59" t="n">
        <v>37450</v>
      </c>
      <c r="V43" s="59" t="n">
        <v>36922.46</v>
      </c>
      <c r="X43" s="59" t="n">
        <v>34045.51</v>
      </c>
      <c r="Y43" s="59" t="n">
        <v>14154.82</v>
      </c>
      <c r="Z43" s="59" t="n">
        <v>71756.69</v>
      </c>
      <c r="AA43" s="59" t="n">
        <v>6521.51</v>
      </c>
      <c r="AB43" s="59" t="n">
        <v>13570.62</v>
      </c>
      <c r="AC43" s="59" t="n">
        <v>26242.32</v>
      </c>
      <c r="AD43" s="59" t="n">
        <v>34986.5</v>
      </c>
      <c r="AE43" s="59" t="n">
        <v>70987.17</v>
      </c>
      <c r="AF43" s="59" t="n">
        <v>119467.69</v>
      </c>
      <c r="CK43" s="59" t="n">
        <v>566105.29</v>
      </c>
    </row>
    <row r="44">
      <c r="A44" s="4" t="inlineStr">
        <is>
          <t>TAXAS DIVERSAS</t>
        </is>
      </c>
      <c r="Q44" s="59" t="n">
        <v>154.1</v>
      </c>
      <c r="V44" s="59" t="n">
        <v>40.62</v>
      </c>
      <c r="AA44" s="59" t="n">
        <v>64.23999999999999</v>
      </c>
      <c r="AF44" s="59" t="n">
        <v>103.03</v>
      </c>
      <c r="AO44" s="59" t="n">
        <v>5543.2</v>
      </c>
      <c r="CK44" s="59" t="n">
        <v>150778.454896953</v>
      </c>
    </row>
    <row r="45">
      <c r="A45" s="4" t="inlineStr">
        <is>
          <t>TERRAPLENAGEM</t>
        </is>
      </c>
      <c r="AF45" s="59" t="n">
        <v>3866</v>
      </c>
      <c r="AG45" s="59" t="n">
        <v>58166.5</v>
      </c>
      <c r="AH45" s="59" t="n">
        <v>21398.48</v>
      </c>
      <c r="AI45" s="59" t="n">
        <v>104829.659999</v>
      </c>
      <c r="AJ45" s="59" t="n">
        <v>21701.4925</v>
      </c>
      <c r="AK45" s="59" t="n">
        <v>203306.373205</v>
      </c>
      <c r="AL45" s="59" t="n">
        <v>269416.539511</v>
      </c>
      <c r="AM45" s="59" t="n">
        <v>202541.18027</v>
      </c>
      <c r="AN45" s="59" t="n">
        <v>53252.58</v>
      </c>
      <c r="AP45" s="59" t="n">
        <v>100529.63</v>
      </c>
      <c r="AV45" s="59" t="n">
        <v>2100</v>
      </c>
      <c r="AW45" s="59" t="n">
        <v>1023.88</v>
      </c>
      <c r="CK45" s="59" t="n">
        <v>1303192.81691756</v>
      </c>
    </row>
    <row r="46">
      <c r="A46" s="4" t="inlineStr">
        <is>
          <t>TRANSPORTES</t>
        </is>
      </c>
      <c r="L46" s="59" t="n">
        <v>116.58</v>
      </c>
      <c r="M46" s="59" t="n">
        <v>86</v>
      </c>
      <c r="N46" s="59" t="n">
        <v>26.68</v>
      </c>
      <c r="O46" s="59" t="n">
        <v>0.74</v>
      </c>
      <c r="W46" s="59" t="n">
        <v>101.63</v>
      </c>
      <c r="X46" s="59" t="n">
        <v>3.37</v>
      </c>
      <c r="Z46" s="59" t="n">
        <v>53.210005</v>
      </c>
      <c r="AA46" s="59" t="n">
        <v>50.16</v>
      </c>
      <c r="AB46" s="59" t="n">
        <v>1010.05</v>
      </c>
      <c r="AC46" s="59" t="n">
        <v>1873.32</v>
      </c>
      <c r="AD46" s="59" t="n">
        <v>15662.6</v>
      </c>
      <c r="AE46" s="59" t="n">
        <v>8416.58</v>
      </c>
      <c r="AF46" s="59" t="n">
        <v>4003.5</v>
      </c>
      <c r="AG46" s="59" t="n">
        <v>7558.47095</v>
      </c>
      <c r="AH46" s="59" t="n">
        <v>4295.23195</v>
      </c>
      <c r="AI46" s="59" t="n">
        <v>3977.9982</v>
      </c>
      <c r="AJ46" s="59" t="n">
        <v>8413.923065999999</v>
      </c>
      <c r="AK46" s="59" t="n">
        <v>2007.600167</v>
      </c>
      <c r="AL46" s="59" t="n">
        <v>2550.0485</v>
      </c>
      <c r="AM46" s="59" t="n">
        <v>3240.6235</v>
      </c>
      <c r="AN46" s="59" t="n">
        <v>1114.34</v>
      </c>
      <c r="AO46" s="59" t="n">
        <v>5722.118</v>
      </c>
      <c r="AP46" s="59" t="n">
        <v>1969.59</v>
      </c>
      <c r="AQ46" s="59" t="n">
        <v>47.77</v>
      </c>
      <c r="CK46" s="59" t="n">
        <v>841283.631451756</v>
      </c>
    </row>
  </sheetData>
  <conditionalFormatting sqref="A3:A500">
    <cfRule type="expression" priority="1" dxfId="0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PL'!D11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HISTORICOS'!D5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PL'!F11</f>
        <v/>
      </c>
      <c r="K5" s="37">
        <f>'VALOR POR PL'!G11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HISTORICOS'!E5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RESUMO'!E5-'CP RESUMO'!D5)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HISTORICOS'!F5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PL'!L11</f>
        <v/>
      </c>
      <c r="M7" s="62">
        <f>MAX(0,'CP RESUMO'!F5-'CP RESUMO'!E5)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HISTORICOS'!G5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RESUMO'!G5-'CP RESUMO'!F5)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HISTORICOS'!H5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RESUMO'!H5-'CP RESUMO'!G5)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HISTORICOS'!I5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RESUMO'!I5-'CP RESUMO'!H5)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HISTORICOS'!J5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RESUMO'!J5-'CP RESUMO'!I5)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HISTORICOS'!K5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RESUMO'!K5-'CP RESUMO'!J5)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HISTORICOS'!L5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RESUMO'!L5-'CP RESUMO'!K5)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HISTORICOS'!M5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RESUMO'!M5-'CP RESUMO'!L5)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HISTORICOS'!N5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RESUMO'!N5-'CP RESUMO'!M5)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HISTORICOS'!O5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RESUMO'!O5-'CP RESUMO'!N5)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HISTORICOS'!P5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RESUMO'!P5-'CP RESUMO'!O5)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HISTORICOS'!Q5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RESUMO'!Q5-'CP RESUMO'!P5)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HISTORICOS'!R5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RESUMO'!R5-'CP RESUMO'!Q5)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HISTORICOS'!S5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RESUMO'!S5-'CP RESUMO'!R5)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HISTORICOS'!T5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RESUMO'!T5-'CP RESUMO'!S5)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HISTORICOS'!U5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RESUMO'!U5-'CP RESUMO'!T5)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HISTORICOS'!V5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RESUMO'!V5-'CP RESUMO'!U5)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HISTORICOS'!W5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RESUMO'!W5-'CP RESUMO'!V5)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HISTORICOS'!X5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RESUMO'!X5-'CP RESUMO'!W5)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HISTORICOS'!Y5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>
        <v>14833</v>
      </c>
      <c r="M26" s="62">
        <f>MAX(0,'CP RESUMO'!Y5-'CP RESUMO'!X5)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HISTORICOS'!Z5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100000</v>
      </c>
      <c r="M27" s="62">
        <f>MAX(0,'CP RESUMO'!Z5-'CP RESUMO'!Y5)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HISTORICOS'!AA5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100000</v>
      </c>
      <c r="M28" s="62">
        <f>MAX(0,'CP RESUMO'!AA5-'CP RESUMO'!Z5)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HISTORICOS'!AB5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14833</v>
      </c>
      <c r="M29" s="62">
        <f>MAX(0,'CP RESUMO'!AB5-'CP RESUMO'!AA5)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HISTORICOS'!AC5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14833</v>
      </c>
      <c r="M30" s="62">
        <f>MAX(0,'CP RESUMO'!AC5-'CP RESUMO'!AB5)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HISTORICOS'!AD5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1100</v>
      </c>
      <c r="M31" s="62">
        <f>MAX(0,'CP RESUMO'!AD5-'CP RESUMO'!AC5)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HISTORICOS'!AE5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1100</v>
      </c>
      <c r="M32" s="62">
        <f>MAX(0,'CP RESUMO'!AE5-'CP RESUMO'!AD5)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HISTORICOS'!AF5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1100</v>
      </c>
      <c r="M33" s="62">
        <f>MAX(0,'CP RESUMO'!AF5-'CP RESUMO'!AE5)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HISTORICOS'!AG5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1100</v>
      </c>
      <c r="M34" s="62">
        <f>MAX(0,'CP RESUMO'!AG5-'CP RESUMO'!AF5)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HISTORICOS'!AH5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1100</v>
      </c>
      <c r="M35" s="62">
        <f>MAX(0,'CP RESUMO'!AH5-'CP RESUMO'!AG5)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HISTORICOS'!AI5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1100</v>
      </c>
      <c r="M36" s="62">
        <f>MAX(0,'CP RESUMO'!AI5-'CP RESUMO'!AH5)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HISTORICOS'!AJ5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1100</v>
      </c>
      <c r="M37" s="62">
        <f>MAX(0,'CP RESUMO'!AJ5-'CP RESUMO'!AI5)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HISTORICOS'!AK5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1100</v>
      </c>
      <c r="M38" s="62">
        <f>MAX(0,'CP RESUMO'!AK5-'CP RESUMO'!AJ5)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HISTORICOS'!AL5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1100</v>
      </c>
      <c r="M39" s="62">
        <f>MAX(0,'CP RESUMO'!AL5-'CP RESUMO'!AK5)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HISTORICOS'!AM5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1100</v>
      </c>
      <c r="M40" s="62">
        <f>MAX(0,'CP RESUMO'!AM5-'CP RESUMO'!AL5)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HISTORICOS'!AN5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1100</v>
      </c>
      <c r="M41" s="62">
        <f>MAX(0,'CP RESUMO'!AN5-'CP RESUMO'!AM5)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HISTORICOS'!AO5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1100</v>
      </c>
      <c r="M42" s="62">
        <f>MAX(0,'CP RESUMO'!AO5-'CP RESUMO'!AN5)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HISTORICOS'!AP5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1100</v>
      </c>
      <c r="M43" s="62">
        <f>MAX(0,'CP RESUMO'!AP5-'CP RESUMO'!AO5)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HISTORICOS'!AQ5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1100</v>
      </c>
      <c r="M44" s="62">
        <f>MAX(0,'CP RESUMO'!AQ5-'CP RESUMO'!AP5)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HISTORICOS'!AR5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1100</v>
      </c>
      <c r="M45" s="62">
        <f>MAX(0,'CP RESUMO'!AR5-'CP RESUMO'!AQ5)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HISTORICOS'!AS5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1100</v>
      </c>
      <c r="M46" s="62">
        <f>MAX(0,'CP RESUMO'!AS5-'CP RESUMO'!AR5)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HISTORICOS'!AT5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1100</v>
      </c>
      <c r="M47" s="62">
        <f>MAX(0,'CP RESUMO'!AT5-'CP RESUMO'!AS5)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HISTORICOS'!AU5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1100</v>
      </c>
      <c r="M48" s="62">
        <f>MAX(0,'CP RESUMO'!AU5-'CP RESUMO'!AT5)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HISTORICOS'!AV5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1100</v>
      </c>
      <c r="M49" s="62">
        <f>MAX(0,'CP RESUMO'!AV5-'CP RESUMO'!AU5)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HISTORICOS'!AW5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1100</v>
      </c>
      <c r="M50" s="62">
        <f>MAX(0,'CP RESUMO'!AW5-'CP RESUMO'!AV5)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HISTORICOS'!AX5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1100</v>
      </c>
      <c r="M51" s="62">
        <f>MAX(0,'CP RESUMO'!AX5-'CP RESUMO'!AW5)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HISTORICOS'!AY5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264616.27</v>
      </c>
      <c r="M52" s="62">
        <f>MAX(0,'CP RESUMO'!AY5-'CP RESUMO'!AX5)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HISTORICOS'!AZ5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1100</v>
      </c>
      <c r="M53" s="62">
        <f>MAX(0,'CP RESUMO'!AZ5-'CP RESUMO'!AY5)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HISTORICOS'!BA5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RESUMO'!BA5-'CP RESUMO'!AZ5)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HISTORICOS'!BB5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RESUMO'!BB5-'CP RESUMO'!BA5)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HISTORICOS'!BC5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RESUMO'!BC5-'CP RESUMO'!BB5)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HISTORICOS'!BD5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RESUMO'!BD5-'CP RESUMO'!BC5)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HISTORICOS'!BE5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RESUMO'!BE5-'CP RESUMO'!BD5)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HISTORICOS'!BF5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RESUMO'!BF5-'CP RESUMO'!BE5)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HISTORICOS'!BG5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RESUMO'!BG5-'CP RESUMO'!BF5)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HISTORICOS'!BH5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RESUMO'!BH5-'CP RESUMO'!BG5)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HISTORICOS'!BI5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RESUMO'!BI5-'CP RESUMO'!BH5)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HISTORICOS'!BJ5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RESUMO'!BJ5-'CP RESUMO'!BI5)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HISTORICOS'!BK5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RESUMO'!BK5-'CP RESUMO'!BJ5)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HISTORICOS'!BL5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RESUMO'!BL5-'CP RESUMO'!BK5)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HISTORICOS'!BM5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RESUMO'!BM5-'CP RESUMO'!BL5)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HISTORICOS'!BN5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RESUMO'!BN5-'CP RESUMO'!BM5)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HISTORICOS'!BO5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RESUMO'!BO5-'CP RESUMO'!BN5)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HISTORICOS'!BP5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RESUMO'!BP5-'CP RESUMO'!BO5)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HISTORICOS'!BQ5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RESUMO'!BQ5-'CP RESUMO'!BP5)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HISTORICOS'!BR5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RESUMO'!BR5-'CP RESUMO'!BQ5)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HISTORICOS'!BS5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RESUMO'!BS5-'CP RESUMO'!BR5)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HISTORICOS'!BT5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RESUMO'!BT5-'CP RESUMO'!BS5)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HISTORICOS'!BU5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RESUMO'!BU5-'CP RESUMO'!BT5)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HISTORICOS'!BV5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RESUMO'!BV5-'CP RESUMO'!BU5)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HISTORICOS'!BW5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RESUMO'!BW5-'CP RESUMO'!BV5)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PL'!D48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HISTORICOS'!D42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PL'!F48</f>
        <v/>
      </c>
      <c r="K5" s="37">
        <f>'VALOR POR PL'!G48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HISTORICOS'!E42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RESUMO'!E42-'CP RESUMO'!D42)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HISTORICOS'!F42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PL'!L48</f>
        <v/>
      </c>
      <c r="M7" s="62">
        <f>MAX(0,'CP RESUMO'!F42-'CP RESUMO'!E42)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HISTORICOS'!G42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RESUMO'!G42-'CP RESUMO'!F42)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HISTORICOS'!H42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RESUMO'!H42-'CP RESUMO'!G42)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HISTORICOS'!I42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RESUMO'!I42-'CP RESUMO'!H42)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HISTORICOS'!J42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RESUMO'!J42-'CP RESUMO'!I42)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HISTORICOS'!K42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RESUMO'!K42-'CP RESUMO'!J42)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HISTORICOS'!L42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RESUMO'!L42-'CP RESUMO'!K42)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HISTORICOS'!M42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RESUMO'!M42-'CP RESUMO'!L42)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HISTORICOS'!N42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RESUMO'!N42-'CP RESUMO'!M42)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HISTORICOS'!O42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RESUMO'!O42-'CP RESUMO'!N42)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HISTORICOS'!P42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RESUMO'!P42-'CP RESUMO'!O42)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HISTORICOS'!Q42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RESUMO'!Q42-'CP RESUMO'!P42)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HISTORICOS'!R42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RESUMO'!R42-'CP RESUMO'!Q42)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HISTORICOS'!S42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RESUMO'!S42-'CP RESUMO'!R42)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HISTORICOS'!T42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RESUMO'!T42-'CP RESUMO'!S42)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HISTORICOS'!U42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RESUMO'!U42-'CP RESUMO'!T42)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HISTORICOS'!V42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RESUMO'!V42-'CP RESUMO'!U42)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HISTORICOS'!W42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RESUMO'!W42-'CP RESUMO'!V42)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HISTORICOS'!X42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RESUMO'!X42-'CP RESUMO'!W42)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HISTORICOS'!Y42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RESUMO'!Y42-'CP RESUMO'!X42)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HISTORICOS'!Z42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RESUMO'!Z42-'CP RESUMO'!Y42)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HISTORICOS'!AA42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RESUMO'!AA42-'CP RESUMO'!Z42)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HISTORICOS'!AB42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RESUMO'!AB42-'CP RESUMO'!AA42)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HISTORICOS'!AC42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RESUMO'!AC42-'CP RESUMO'!AB42)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HISTORICOS'!AD42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RESUMO'!AD42-'CP RESUMO'!AC42)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HISTORICOS'!AE42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RESUMO'!AE42-'CP RESUMO'!AD42)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HISTORICOS'!AF42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RESUMO'!AF42-'CP RESUMO'!AE42)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HISTORICOS'!AG42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RESUMO'!AG42-'CP RESUMO'!AF42)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HISTORICOS'!AH42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RESUMO'!AH42-'CP RESUMO'!AG42)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HISTORICOS'!AI42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RESUMO'!AI42-'CP RESUMO'!AH42)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HISTORICOS'!AJ42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RESUMO'!AJ42-'CP RESUMO'!AI42)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HISTORICOS'!AK42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RESUMO'!AK42-'CP RESUMO'!AJ42)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HISTORICOS'!AL42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RESUMO'!AL42-'CP RESUMO'!AK42)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HISTORICOS'!AM42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RESUMO'!AM42-'CP RESUMO'!AL42)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HISTORICOS'!AN42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RESUMO'!AN42-'CP RESUMO'!AM42)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HISTORICOS'!AO42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RESUMO'!AO42-'CP RESUMO'!AN42)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HISTORICOS'!AP42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RESUMO'!AP42-'CP RESUMO'!AO42)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HISTORICOS'!AQ42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RESUMO'!AQ42-'CP RESUMO'!AP42)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HISTORICOS'!AR42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/>
      <c r="M45" s="62">
        <f>MAX(0,'CP RESUMO'!AR42-'CP RESUMO'!AQ42)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HISTORICOS'!AS42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RESUMO'!AS42-'CP RESUMO'!AR42)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HISTORICOS'!AT42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RESUMO'!AT42-'CP RESUMO'!AS42)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HISTORICOS'!AU42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RESUMO'!AU42-'CP RESUMO'!AT42)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HISTORICOS'!AV42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RESUMO'!AV42-'CP RESUMO'!AU42)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HISTORICOS'!AW42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RESUMO'!AW42-'CP RESUMO'!AV42)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HISTORICOS'!AX42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RESUMO'!AX42-'CP RESUMO'!AW42)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HISTORICOS'!AY42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RESUMO'!AY42-'CP RESUMO'!AX42)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HISTORICOS'!AZ42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RESUMO'!AZ42-'CP RESUMO'!AY42)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HISTORICOS'!BA42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RESUMO'!BA42-'CP RESUMO'!AZ42)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HISTORICOS'!BB42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RESUMO'!BB42-'CP RESUMO'!BA42)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HISTORICOS'!BC42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RESUMO'!BC42-'CP RESUMO'!BB42)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HISTORICOS'!BD42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RESUMO'!BD42-'CP RESUMO'!BC42)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HISTORICOS'!BE42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RESUMO'!BE42-'CP RESUMO'!BD42)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HISTORICOS'!BF42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RESUMO'!BF42-'CP RESUMO'!BE42)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HISTORICOS'!BG42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RESUMO'!BG42-'CP RESUMO'!BF42)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HISTORICOS'!BH42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RESUMO'!BH42-'CP RESUMO'!BG42)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HISTORICOS'!BI42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RESUMO'!BI42-'CP RESUMO'!BH42)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HISTORICOS'!BJ42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RESUMO'!BJ42-'CP RESUMO'!BI42)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HISTORICOS'!BK42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RESUMO'!BK42-'CP RESUMO'!BJ42)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HISTORICOS'!BL42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RESUMO'!BL42-'CP RESUMO'!BK42)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HISTORICOS'!BM42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RESUMO'!BM42-'CP RESUMO'!BL42)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HISTORICOS'!BN42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RESUMO'!BN42-'CP RESUMO'!BM42)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HISTORICOS'!BO42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RESUMO'!BO42-'CP RESUMO'!BN42)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HISTORICOS'!BP42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RESUMO'!BP42-'CP RESUMO'!BO42)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HISTORICOS'!BQ42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RESUMO'!BQ42-'CP RESUMO'!BP42)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HISTORICOS'!BR42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RESUMO'!BR42-'CP RESUMO'!BQ42)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HISTORICOS'!BS42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RESUMO'!BS42-'CP RESUMO'!BR42)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HISTORICOS'!BT42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RESUMO'!BT42-'CP RESUMO'!BS42)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HISTORICOS'!BU42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RESUMO'!BU42-'CP RESUMO'!BT42)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HISTORICOS'!BV42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RESUMO'!BV42-'CP RESUMO'!BU42)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HISTORICOS'!BW42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RESUMO'!BW42-'CP RESUMO'!BV42)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PL'!D12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HISTORICOS'!D6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PL'!F12</f>
        <v/>
      </c>
      <c r="K5" s="37">
        <f>'VALOR POR PL'!G12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HISTORICOS'!E6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RESUMO'!E6-'CP RESUMO'!D6)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HISTORICOS'!F6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PL'!L12</f>
        <v/>
      </c>
      <c r="M7" s="62">
        <f>MAX(0,'CP RESUMO'!F6-'CP RESUMO'!E6)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HISTORICOS'!G6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RESUMO'!G6-'CP RESUMO'!F6)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HISTORICOS'!H6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RESUMO'!H6-'CP RESUMO'!G6)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HISTORICOS'!I6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RESUMO'!I6-'CP RESUMO'!H6)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HISTORICOS'!J6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RESUMO'!J6-'CP RESUMO'!I6)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HISTORICOS'!K6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RESUMO'!K6-'CP RESUMO'!J6)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HISTORICOS'!L6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RESUMO'!L6-'CP RESUMO'!K6)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HISTORICOS'!M6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RESUMO'!M6-'CP RESUMO'!L6)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HISTORICOS'!N6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RESUMO'!N6-'CP RESUMO'!M6)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HISTORICOS'!O6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RESUMO'!O6-'CP RESUMO'!N6)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HISTORICOS'!P6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RESUMO'!P6-'CP RESUMO'!O6)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HISTORICOS'!Q6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RESUMO'!Q6-'CP RESUMO'!P6)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HISTORICOS'!R6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RESUMO'!R6-'CP RESUMO'!Q6)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HISTORICOS'!S6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RESUMO'!S6-'CP RESUMO'!R6)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HISTORICOS'!T6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RESUMO'!T6-'CP RESUMO'!S6)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HISTORICOS'!U6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RESUMO'!U6-'CP RESUMO'!T6)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HISTORICOS'!V6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RESUMO'!V6-'CP RESUMO'!U6)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HISTORICOS'!W6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RESUMO'!W6-'CP RESUMO'!V6)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HISTORICOS'!X6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RESUMO'!X6-'CP RESUMO'!W6)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HISTORICOS'!Y6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RESUMO'!Y6-'CP RESUMO'!X6)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HISTORICOS'!Z6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RESUMO'!Z6-'CP RESUMO'!Y6)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HISTORICOS'!AA6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RESUMO'!AA6-'CP RESUMO'!Z6)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HISTORICOS'!AB6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RESUMO'!AB6-'CP RESUMO'!AA6)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HISTORICOS'!AC6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RESUMO'!AC6-'CP RESUMO'!AB6)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HISTORICOS'!AD6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RESUMO'!AD6-'CP RESUMO'!AC6)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HISTORICOS'!AE6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RESUMO'!AE6-'CP RESUMO'!AD6)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HISTORICOS'!AF6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RESUMO'!AF6-'CP RESUMO'!AE6)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HISTORICOS'!AG6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RESUMO'!AG6-'CP RESUMO'!AF6)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HISTORICOS'!AH6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RESUMO'!AH6-'CP RESUMO'!AG6)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HISTORICOS'!AI6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RESUMO'!AI6-'CP RESUMO'!AH6)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HISTORICOS'!AJ6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RESUMO'!AJ6-'CP RESUMO'!AI6)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HISTORICOS'!AK6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RESUMO'!AK6-'CP RESUMO'!AJ6)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HISTORICOS'!AL6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RESUMO'!AL6-'CP RESUMO'!AK6)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HISTORICOS'!AM6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RESUMO'!AM6-'CP RESUMO'!AL6)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HISTORICOS'!AN6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RESUMO'!AN6-'CP RESUMO'!AM6)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HISTORICOS'!AO6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RESUMO'!AO6-'CP RESUMO'!AN6)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HISTORICOS'!AP6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RESUMO'!AP6-'CP RESUMO'!AO6)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HISTORICOS'!AQ6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RESUMO'!AQ6-'CP RESUMO'!AP6)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HISTORICOS'!AR6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/>
      <c r="M45" s="62">
        <f>MAX(0,'CP RESUMO'!AR6-'CP RESUMO'!AQ6)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HISTORICOS'!AS6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RESUMO'!AS6-'CP RESUMO'!AR6)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HISTORICOS'!AT6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RESUMO'!AT6-'CP RESUMO'!AS6)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HISTORICOS'!AU6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RESUMO'!AU6-'CP RESUMO'!AT6)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HISTORICOS'!AV6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RESUMO'!AV6-'CP RESUMO'!AU6)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HISTORICOS'!AW6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RESUMO'!AW6-'CP RESUMO'!AV6)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HISTORICOS'!AX6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RESUMO'!AX6-'CP RESUMO'!AW6)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HISTORICOS'!AY6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RESUMO'!AY6-'CP RESUMO'!AX6)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HISTORICOS'!AZ6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RESUMO'!AZ6-'CP RESUMO'!AY6)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HISTORICOS'!BA6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RESUMO'!BA6-'CP RESUMO'!AZ6)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HISTORICOS'!BB6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RESUMO'!BB6-'CP RESUMO'!BA6)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HISTORICOS'!BC6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RESUMO'!BC6-'CP RESUMO'!BB6)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HISTORICOS'!BD6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RESUMO'!BD6-'CP RESUMO'!BC6)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HISTORICOS'!BE6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RESUMO'!BE6-'CP RESUMO'!BD6)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HISTORICOS'!BF6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RESUMO'!BF6-'CP RESUMO'!BE6)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HISTORICOS'!BG6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RESUMO'!BG6-'CP RESUMO'!BF6)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HISTORICOS'!BH6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RESUMO'!BH6-'CP RESUMO'!BG6)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HISTORICOS'!BI6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RESUMO'!BI6-'CP RESUMO'!BH6)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HISTORICOS'!BJ6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RESUMO'!BJ6-'CP RESUMO'!BI6)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HISTORICOS'!BK6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RESUMO'!BK6-'CP RESUMO'!BJ6)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HISTORICOS'!BL6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RESUMO'!BL6-'CP RESUMO'!BK6)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HISTORICOS'!BM6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RESUMO'!BM6-'CP RESUMO'!BL6)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HISTORICOS'!BN6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RESUMO'!BN6-'CP RESUMO'!BM6)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HISTORICOS'!BO6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RESUMO'!BO6-'CP RESUMO'!BN6)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HISTORICOS'!BP6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RESUMO'!BP6-'CP RESUMO'!BO6)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HISTORICOS'!BQ6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RESUMO'!BQ6-'CP RESUMO'!BP6)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HISTORICOS'!BR6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RESUMO'!BR6-'CP RESUMO'!BQ6)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HISTORICOS'!BS6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RESUMO'!BS6-'CP RESUMO'!BR6)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HISTORICOS'!BT6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RESUMO'!BT6-'CP RESUMO'!BS6)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HISTORICOS'!BU6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RESUMO'!BU6-'CP RESUMO'!BT6)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HISTORICOS'!BV6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RESUMO'!BV6-'CP RESUMO'!BU6)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HISTORICOS'!BW6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RESUMO'!BW6-'CP RESUMO'!BV6)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PL'!D13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HISTORICOS'!D7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PL'!F13</f>
        <v/>
      </c>
      <c r="K5" s="37">
        <f>'VALOR POR PL'!G13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HISTORICOS'!E7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RESUMO'!E7-'CP RESUMO'!D7)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HISTORICOS'!F7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PL'!L13</f>
        <v/>
      </c>
      <c r="M7" s="62">
        <f>MAX(0,'CP RESUMO'!F7-'CP RESUMO'!E7)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HISTORICOS'!G7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RESUMO'!G7-'CP RESUMO'!F7)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HISTORICOS'!H7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RESUMO'!H7-'CP RESUMO'!G7)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HISTORICOS'!I7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RESUMO'!I7-'CP RESUMO'!H7)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HISTORICOS'!J7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RESUMO'!J7-'CP RESUMO'!I7)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HISTORICOS'!K7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RESUMO'!K7-'CP RESUMO'!J7)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HISTORICOS'!L7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RESUMO'!L7-'CP RESUMO'!K7)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HISTORICOS'!M7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RESUMO'!M7-'CP RESUMO'!L7)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HISTORICOS'!N7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RESUMO'!N7-'CP RESUMO'!M7)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HISTORICOS'!O7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RESUMO'!O7-'CP RESUMO'!N7)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HISTORICOS'!P7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RESUMO'!P7-'CP RESUMO'!O7)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HISTORICOS'!Q7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RESUMO'!Q7-'CP RESUMO'!P7)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HISTORICOS'!R7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RESUMO'!R7-'CP RESUMO'!Q7)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HISTORICOS'!S7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RESUMO'!S7-'CP RESUMO'!R7)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HISTORICOS'!T7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RESUMO'!T7-'CP RESUMO'!S7)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HISTORICOS'!U7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RESUMO'!U7-'CP RESUMO'!T7)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HISTORICOS'!V7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RESUMO'!V7-'CP RESUMO'!U7)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HISTORICOS'!W7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RESUMO'!W7-'CP RESUMO'!V7)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HISTORICOS'!X7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RESUMO'!X7-'CP RESUMO'!W7)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HISTORICOS'!Y7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>
        <v>924.76</v>
      </c>
      <c r="M26" s="62">
        <f>MAX(0,'CP RESUMO'!Y7-'CP RESUMO'!X7)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HISTORICOS'!Z7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RESUMO'!Z7-'CP RESUMO'!Y7)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HISTORICOS'!AA7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RESUMO'!AA7-'CP RESUMO'!Z7)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HISTORICOS'!AB7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924.76</v>
      </c>
      <c r="M29" s="62">
        <f>MAX(0,'CP RESUMO'!AB7-'CP RESUMO'!AA7)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HISTORICOS'!AC7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RESUMO'!AC7-'CP RESUMO'!AB7)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HISTORICOS'!AD7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RESUMO'!AD7-'CP RESUMO'!AC7)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HISTORICOS'!AE7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924.76</v>
      </c>
      <c r="M32" s="62">
        <f>MAX(0,'CP RESUMO'!AE7-'CP RESUMO'!AD7)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HISTORICOS'!AF7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RESUMO'!AF7-'CP RESUMO'!AE7)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HISTORICOS'!AG7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RESUMO'!AG7-'CP RESUMO'!AF7)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HISTORICOS'!AH7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924.76</v>
      </c>
      <c r="M35" s="62">
        <f>MAX(0,'CP RESUMO'!AH7-'CP RESUMO'!AG7)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HISTORICOS'!AI7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RESUMO'!AI7-'CP RESUMO'!AH7)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HISTORICOS'!AJ7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RESUMO'!AJ7-'CP RESUMO'!AI7)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HISTORICOS'!AK7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924.76</v>
      </c>
      <c r="M38" s="62">
        <f>MAX(0,'CP RESUMO'!AK7-'CP RESUMO'!AJ7)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HISTORICOS'!AL7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RESUMO'!AL7-'CP RESUMO'!AK7)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HISTORICOS'!AM7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RESUMO'!AM7-'CP RESUMO'!AL7)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HISTORICOS'!AN7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RESUMO'!AN7-'CP RESUMO'!AM7)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HISTORICOS'!AO7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RESUMO'!AO7-'CP RESUMO'!AN7)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HISTORICOS'!AP7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RESUMO'!AP7-'CP RESUMO'!AO7)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HISTORICOS'!AQ7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RESUMO'!AQ7-'CP RESUMO'!AP7)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HISTORICOS'!AR7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/>
      <c r="M45" s="62">
        <f>MAX(0,'CP RESUMO'!AR7-'CP RESUMO'!AQ7)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HISTORICOS'!AS7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RESUMO'!AS7-'CP RESUMO'!AR7)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HISTORICOS'!AT7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RESUMO'!AT7-'CP RESUMO'!AS7)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HISTORICOS'!AU7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RESUMO'!AU7-'CP RESUMO'!AT7)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HISTORICOS'!AV7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RESUMO'!AV7-'CP RESUMO'!AU7)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HISTORICOS'!AW7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RESUMO'!AW7-'CP RESUMO'!AV7)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HISTORICOS'!AX7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15961.4</v>
      </c>
      <c r="M51" s="62">
        <f>MAX(0,'CP RESUMO'!AX7-'CP RESUMO'!AW7)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HISTORICOS'!AY7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24939.69</v>
      </c>
      <c r="M52" s="62">
        <f>MAX(0,'CP RESUMO'!AY7-'CP RESUMO'!AX7)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HISTORICOS'!AZ7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299.28</v>
      </c>
      <c r="M53" s="62">
        <f>MAX(0,'CP RESUMO'!AZ7-'CP RESUMO'!AY7)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HISTORICOS'!BA7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44891.44</v>
      </c>
      <c r="M54" s="62">
        <f>MAX(0,'CP RESUMO'!BA7-'CP RESUMO'!AZ7)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HISTORICOS'!BB7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60501.89</v>
      </c>
      <c r="M55" s="62">
        <f>MAX(0,'CP RESUMO'!BB7-'CP RESUMO'!BA7)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HISTORICOS'!BC7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RESUMO'!BC7-'CP RESUMO'!BB7)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HISTORICOS'!BD7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RESUMO'!BD7-'CP RESUMO'!BC7)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HISTORICOS'!BE7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RESUMO'!BE7-'CP RESUMO'!BD7)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HISTORICOS'!BF7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RESUMO'!BF7-'CP RESUMO'!BE7)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HISTORICOS'!BG7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RESUMO'!BG7-'CP RESUMO'!BF7)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HISTORICOS'!BH7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RESUMO'!BH7-'CP RESUMO'!BG7)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HISTORICOS'!BI7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RESUMO'!BI7-'CP RESUMO'!BH7)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HISTORICOS'!BJ7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RESUMO'!BJ7-'CP RESUMO'!BI7)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HISTORICOS'!BK7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RESUMO'!BK7-'CP RESUMO'!BJ7)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HISTORICOS'!BL7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RESUMO'!BL7-'CP RESUMO'!BK7)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HISTORICOS'!BM7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RESUMO'!BM7-'CP RESUMO'!BL7)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HISTORICOS'!BN7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RESUMO'!BN7-'CP RESUMO'!BM7)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HISTORICOS'!BO7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RESUMO'!BO7-'CP RESUMO'!BN7)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HISTORICOS'!BP7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RESUMO'!BP7-'CP RESUMO'!BO7)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HISTORICOS'!BQ7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RESUMO'!BQ7-'CP RESUMO'!BP7)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HISTORICOS'!BR7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RESUMO'!BR7-'CP RESUMO'!BQ7)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HISTORICOS'!BS7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RESUMO'!BS7-'CP RESUMO'!BR7)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HISTORICOS'!BT7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RESUMO'!BT7-'CP RESUMO'!BS7)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HISTORICOS'!BU7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RESUMO'!BU7-'CP RESUMO'!BT7)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HISTORICOS'!BV7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RESUMO'!BV7-'CP RESUMO'!BU7)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HISTORICOS'!BW7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RESUMO'!BW7-'CP RESUMO'!BV7)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PL'!D14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HISTORICOS'!D8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PL'!F14</f>
        <v/>
      </c>
      <c r="K5" s="37">
        <f>'VALOR POR PL'!G14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HISTORICOS'!E8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RESUMO'!E8-'CP RESUMO'!D8)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HISTORICOS'!F8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PL'!L14</f>
        <v/>
      </c>
      <c r="M7" s="62">
        <f>MAX(0,'CP RESUMO'!F8-'CP RESUMO'!E8)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HISTORICOS'!G8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RESUMO'!G8-'CP RESUMO'!F8)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HISTORICOS'!H8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RESUMO'!H8-'CP RESUMO'!G8)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HISTORICOS'!I8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RESUMO'!I8-'CP RESUMO'!H8)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HISTORICOS'!J8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RESUMO'!J8-'CP RESUMO'!I8)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HISTORICOS'!K8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RESUMO'!K8-'CP RESUMO'!J8)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HISTORICOS'!L8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RESUMO'!L8-'CP RESUMO'!K8)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HISTORICOS'!M8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RESUMO'!M8-'CP RESUMO'!L8)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HISTORICOS'!N8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RESUMO'!N8-'CP RESUMO'!M8)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HISTORICOS'!O8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RESUMO'!O8-'CP RESUMO'!N8)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HISTORICOS'!P8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RESUMO'!P8-'CP RESUMO'!O8)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HISTORICOS'!Q8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RESUMO'!Q8-'CP RESUMO'!P8)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HISTORICOS'!R8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RESUMO'!R8-'CP RESUMO'!Q8)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HISTORICOS'!S8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RESUMO'!S8-'CP RESUMO'!R8)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HISTORICOS'!T8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RESUMO'!T8-'CP RESUMO'!S8)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HISTORICOS'!U8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RESUMO'!U8-'CP RESUMO'!T8)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HISTORICOS'!V8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RESUMO'!V8-'CP RESUMO'!U8)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HISTORICOS'!W8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RESUMO'!W8-'CP RESUMO'!V8)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HISTORICOS'!X8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RESUMO'!X8-'CP RESUMO'!W8)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HISTORICOS'!Y8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>
        <v>12388.74</v>
      </c>
      <c r="M26" s="62">
        <f>MAX(0,'CP RESUMO'!Y8-'CP RESUMO'!X8)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HISTORICOS'!Z8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12388.74</v>
      </c>
      <c r="M27" s="62">
        <f>MAX(0,'CP RESUMO'!Z8-'CP RESUMO'!Y8)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HISTORICOS'!AA8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12388.74</v>
      </c>
      <c r="M28" s="62">
        <f>MAX(0,'CP RESUMO'!AA8-'CP RESUMO'!Z8)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HISTORICOS'!AB8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12388.74</v>
      </c>
      <c r="M29" s="62">
        <f>MAX(0,'CP RESUMO'!AB8-'CP RESUMO'!AA8)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HISTORICOS'!AC8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12388.74</v>
      </c>
      <c r="M30" s="62">
        <f>MAX(0,'CP RESUMO'!AC8-'CP RESUMO'!AB8)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HISTORICOS'!AD8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102388.74</v>
      </c>
      <c r="M31" s="62">
        <f>MAX(0,'CP RESUMO'!AD8-'CP RESUMO'!AC8)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HISTORICOS'!AE8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102388.74</v>
      </c>
      <c r="M32" s="62">
        <f>MAX(0,'CP RESUMO'!AE8-'CP RESUMO'!AD8)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HISTORICOS'!AF8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52388.74</v>
      </c>
      <c r="M33" s="62">
        <f>MAX(0,'CP RESUMO'!AF8-'CP RESUMO'!AE8)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HISTORICOS'!AG8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12388.74</v>
      </c>
      <c r="M34" s="62">
        <f>MAX(0,'CP RESUMO'!AG8-'CP RESUMO'!AF8)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HISTORICOS'!AH8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12388.74</v>
      </c>
      <c r="M35" s="62">
        <f>MAX(0,'CP RESUMO'!AH8-'CP RESUMO'!AG8)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HISTORICOS'!AI8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12388.74</v>
      </c>
      <c r="M36" s="62">
        <f>MAX(0,'CP RESUMO'!AI8-'CP RESUMO'!AH8)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HISTORICOS'!AJ8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12388.74</v>
      </c>
      <c r="M37" s="62">
        <f>MAX(0,'CP RESUMO'!AJ8-'CP RESUMO'!AI8)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HISTORICOS'!AK8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12388.74</v>
      </c>
      <c r="M38" s="62">
        <f>MAX(0,'CP RESUMO'!AK8-'CP RESUMO'!AJ8)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HISTORICOS'!AL8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12388.74</v>
      </c>
      <c r="M39" s="62">
        <f>MAX(0,'CP RESUMO'!AL8-'CP RESUMO'!AK8)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HISTORICOS'!AM8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12388.74</v>
      </c>
      <c r="M40" s="62">
        <f>MAX(0,'CP RESUMO'!AM8-'CP RESUMO'!AL8)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HISTORICOS'!AN8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12388.74</v>
      </c>
      <c r="M41" s="62">
        <f>MAX(0,'CP RESUMO'!AN8-'CP RESUMO'!AM8)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HISTORICOS'!AO8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12388.74</v>
      </c>
      <c r="M42" s="62">
        <f>MAX(0,'CP RESUMO'!AO8-'CP RESUMO'!AN8)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HISTORICOS'!AP8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12388.74</v>
      </c>
      <c r="M43" s="62">
        <f>MAX(0,'CP RESUMO'!AP8-'CP RESUMO'!AO8)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HISTORICOS'!AQ8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12388.74</v>
      </c>
      <c r="M44" s="62">
        <f>MAX(0,'CP RESUMO'!AQ8-'CP RESUMO'!AP8)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HISTORICOS'!AR8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12388.74</v>
      </c>
      <c r="M45" s="62">
        <f>MAX(0,'CP RESUMO'!AR8-'CP RESUMO'!AQ8)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HISTORICOS'!AS8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12388.74</v>
      </c>
      <c r="M46" s="62">
        <f>MAX(0,'CP RESUMO'!AS8-'CP RESUMO'!AR8)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HISTORICOS'!AT8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12388.74</v>
      </c>
      <c r="M47" s="62">
        <f>MAX(0,'CP RESUMO'!AT8-'CP RESUMO'!AS8)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HISTORICOS'!AU8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12388.74</v>
      </c>
      <c r="M48" s="62">
        <f>MAX(0,'CP RESUMO'!AU8-'CP RESUMO'!AT8)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HISTORICOS'!AV8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12388.74</v>
      </c>
      <c r="M49" s="62">
        <f>MAX(0,'CP RESUMO'!AV8-'CP RESUMO'!AU8)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HISTORICOS'!AW8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1300</v>
      </c>
      <c r="M50" s="62">
        <f>MAX(0,'CP RESUMO'!AW8-'CP RESUMO'!AV8)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HISTORICOS'!AX8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1300</v>
      </c>
      <c r="M51" s="62">
        <f>MAX(0,'CP RESUMO'!AX8-'CP RESUMO'!AW8)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HISTORICOS'!AY8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1300</v>
      </c>
      <c r="M52" s="62">
        <f>MAX(0,'CP RESUMO'!AY8-'CP RESUMO'!AX8)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HISTORICOS'!AZ8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1771.78</v>
      </c>
      <c r="M53" s="62">
        <f>MAX(0,'CP RESUMO'!AZ8-'CP RESUMO'!AY8)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HISTORICOS'!BA8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1729.71</v>
      </c>
      <c r="M54" s="62">
        <f>MAX(0,'CP RESUMO'!BA8-'CP RESUMO'!AZ8)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HISTORICOS'!BB8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1729.71</v>
      </c>
      <c r="M55" s="62">
        <f>MAX(0,'CP RESUMO'!BB8-'CP RESUMO'!BA8)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HISTORICOS'!BC8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70650.34</v>
      </c>
      <c r="M56" s="62">
        <f>MAX(0,'CP RESUMO'!BC8-'CP RESUMO'!BB8)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HISTORICOS'!BD8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RESUMO'!BD8-'CP RESUMO'!BC8)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HISTORICOS'!BE8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RESUMO'!BE8-'CP RESUMO'!BD8)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HISTORICOS'!BF8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RESUMO'!BF8-'CP RESUMO'!BE8)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HISTORICOS'!BG8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RESUMO'!BG8-'CP RESUMO'!BF8)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HISTORICOS'!BH8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RESUMO'!BH8-'CP RESUMO'!BG8)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HISTORICOS'!BI8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RESUMO'!BI8-'CP RESUMO'!BH8)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HISTORICOS'!BJ8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RESUMO'!BJ8-'CP RESUMO'!BI8)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HISTORICOS'!BK8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RESUMO'!BK8-'CP RESUMO'!BJ8)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HISTORICOS'!BL8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RESUMO'!BL8-'CP RESUMO'!BK8)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HISTORICOS'!BM8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RESUMO'!BM8-'CP RESUMO'!BL8)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HISTORICOS'!BN8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RESUMO'!BN8-'CP RESUMO'!BM8)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HISTORICOS'!BO8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RESUMO'!BO8-'CP RESUMO'!BN8)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HISTORICOS'!BP8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RESUMO'!BP8-'CP RESUMO'!BO8)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HISTORICOS'!BQ8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RESUMO'!BQ8-'CP RESUMO'!BP8)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HISTORICOS'!BR8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RESUMO'!BR8-'CP RESUMO'!BQ8)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HISTORICOS'!BS8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RESUMO'!BS8-'CP RESUMO'!BR8)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HISTORICOS'!BT8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RESUMO'!BT8-'CP RESUMO'!BS8)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HISTORICOS'!BU8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RESUMO'!BU8-'CP RESUMO'!BT8)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HISTORICOS'!BV8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RESUMO'!BV8-'CP RESUMO'!BU8)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HISTORICOS'!BW8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RESUMO'!BW8-'CP RESUMO'!BV8)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PL'!D15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HISTORICOS'!D9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PL'!F15</f>
        <v/>
      </c>
      <c r="K5" s="37">
        <f>'VALOR POR PL'!G15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HISTORICOS'!E9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RESUMO'!E9-'CP RESUMO'!D9)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HISTORICOS'!F9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PL'!L15</f>
        <v/>
      </c>
      <c r="M7" s="62">
        <f>MAX(0,'CP RESUMO'!F9-'CP RESUMO'!E9)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HISTORICOS'!G9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RESUMO'!G9-'CP RESUMO'!F9)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HISTORICOS'!H9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RESUMO'!H9-'CP RESUMO'!G9)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HISTORICOS'!I9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RESUMO'!I9-'CP RESUMO'!H9)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HISTORICOS'!J9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RESUMO'!J9-'CP RESUMO'!I9)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HISTORICOS'!K9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RESUMO'!K9-'CP RESUMO'!J9)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HISTORICOS'!L9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RESUMO'!L9-'CP RESUMO'!K9)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HISTORICOS'!M9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RESUMO'!M9-'CP RESUMO'!L9)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HISTORICOS'!N9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RESUMO'!N9-'CP RESUMO'!M9)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HISTORICOS'!O9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RESUMO'!O9-'CP RESUMO'!N9)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HISTORICOS'!P9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RESUMO'!P9-'CP RESUMO'!O9)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HISTORICOS'!Q9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RESUMO'!Q9-'CP RESUMO'!P9)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HISTORICOS'!R9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RESUMO'!R9-'CP RESUMO'!Q9)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HISTORICOS'!S9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RESUMO'!S9-'CP RESUMO'!R9)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HISTORICOS'!T9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RESUMO'!T9-'CP RESUMO'!S9)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HISTORICOS'!U9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RESUMO'!U9-'CP RESUMO'!T9)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HISTORICOS'!V9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RESUMO'!V9-'CP RESUMO'!U9)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HISTORICOS'!W9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RESUMO'!W9-'CP RESUMO'!V9)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HISTORICOS'!X9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RESUMO'!X9-'CP RESUMO'!W9)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HISTORICOS'!Y9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RESUMO'!Y9-'CP RESUMO'!X9)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HISTORICOS'!Z9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RESUMO'!Z9-'CP RESUMO'!Y9)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HISTORICOS'!AA9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RESUMO'!AA9-'CP RESUMO'!Z9)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HISTORICOS'!AB9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RESUMO'!AB9-'CP RESUMO'!AA9)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HISTORICOS'!AC9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RESUMO'!AC9-'CP RESUMO'!AB9)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HISTORICOS'!AD9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RESUMO'!AD9-'CP RESUMO'!AC9)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HISTORICOS'!AE9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RESUMO'!AE9-'CP RESUMO'!AD9)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HISTORICOS'!AF9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RESUMO'!AF9-'CP RESUMO'!AE9)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HISTORICOS'!AG9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RESUMO'!AG9-'CP RESUMO'!AF9)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HISTORICOS'!AH9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RESUMO'!AH9-'CP RESUMO'!AG9)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HISTORICOS'!AI9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RESUMO'!AI9-'CP RESUMO'!AH9)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HISTORICOS'!AJ9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RESUMO'!AJ9-'CP RESUMO'!AI9)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HISTORICOS'!AK9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RESUMO'!AK9-'CP RESUMO'!AJ9)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HISTORICOS'!AL9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RESUMO'!AL9-'CP RESUMO'!AK9)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HISTORICOS'!AM9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RESUMO'!AM9-'CP RESUMO'!AL9)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HISTORICOS'!AN9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RESUMO'!AN9-'CP RESUMO'!AM9)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HISTORICOS'!AO9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RESUMO'!AO9-'CP RESUMO'!AN9)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HISTORICOS'!AP9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RESUMO'!AP9-'CP RESUMO'!AO9)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HISTORICOS'!AQ9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RESUMO'!AQ9-'CP RESUMO'!AP9)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HISTORICOS'!AR9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/>
      <c r="M45" s="62">
        <f>MAX(0,'CP RESUMO'!AR9-'CP RESUMO'!AQ9)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HISTORICOS'!AS9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RESUMO'!AS9-'CP RESUMO'!AR9)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HISTORICOS'!AT9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RESUMO'!AT9-'CP RESUMO'!AS9)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HISTORICOS'!AU9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RESUMO'!AU9-'CP RESUMO'!AT9)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HISTORICOS'!AV9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RESUMO'!AV9-'CP RESUMO'!AU9)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HISTORICOS'!AW9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RESUMO'!AW9-'CP RESUMO'!AV9)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HISTORICOS'!AX9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RESUMO'!AX9-'CP RESUMO'!AW9)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HISTORICOS'!AY9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RESUMO'!AY9-'CP RESUMO'!AX9)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HISTORICOS'!AZ9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RESUMO'!AZ9-'CP RESUMO'!AY9)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HISTORICOS'!BA9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RESUMO'!BA9-'CP RESUMO'!AZ9)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HISTORICOS'!BB9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RESUMO'!BB9-'CP RESUMO'!BA9)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HISTORICOS'!BC9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RESUMO'!BC9-'CP RESUMO'!BB9)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HISTORICOS'!BD9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RESUMO'!BD9-'CP RESUMO'!BC9)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HISTORICOS'!BE9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RESUMO'!BE9-'CP RESUMO'!BD9)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HISTORICOS'!BF9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RESUMO'!BF9-'CP RESUMO'!BE9)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HISTORICOS'!BG9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RESUMO'!BG9-'CP RESUMO'!BF9)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HISTORICOS'!BH9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RESUMO'!BH9-'CP RESUMO'!BG9)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HISTORICOS'!BI9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RESUMO'!BI9-'CP RESUMO'!BH9)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HISTORICOS'!BJ9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RESUMO'!BJ9-'CP RESUMO'!BI9)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HISTORICOS'!BK9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RESUMO'!BK9-'CP RESUMO'!BJ9)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HISTORICOS'!BL9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RESUMO'!BL9-'CP RESUMO'!BK9)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HISTORICOS'!BM9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RESUMO'!BM9-'CP RESUMO'!BL9)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HISTORICOS'!BN9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RESUMO'!BN9-'CP RESUMO'!BM9)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HISTORICOS'!BO9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RESUMO'!BO9-'CP RESUMO'!BN9)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HISTORICOS'!BP9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RESUMO'!BP9-'CP RESUMO'!BO9)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HISTORICOS'!BQ9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RESUMO'!BQ9-'CP RESUMO'!BP9)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HISTORICOS'!BR9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RESUMO'!BR9-'CP RESUMO'!BQ9)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HISTORICOS'!BS9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RESUMO'!BS9-'CP RESUMO'!BR9)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HISTORICOS'!BT9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RESUMO'!BT9-'CP RESUMO'!BS9)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HISTORICOS'!BU9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RESUMO'!BU9-'CP RESUMO'!BT9)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HISTORICOS'!BV9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RESUMO'!BV9-'CP RESUMO'!BU9)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HISTORICOS'!BW9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RESUMO'!BW9-'CP RESUMO'!BV9)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PL'!D16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HISTORICOS'!D10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PL'!F16</f>
        <v/>
      </c>
      <c r="K5" s="37">
        <f>'VALOR POR PL'!G16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HISTORICOS'!E10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RESUMO'!E10-'CP RESUMO'!D10)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HISTORICOS'!F10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PL'!L16</f>
        <v/>
      </c>
      <c r="M7" s="62">
        <f>MAX(0,'CP RESUMO'!F10-'CP RESUMO'!E10)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HISTORICOS'!G10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RESUMO'!G10-'CP RESUMO'!F10)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HISTORICOS'!H10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RESUMO'!H10-'CP RESUMO'!G10)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HISTORICOS'!I10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RESUMO'!I10-'CP RESUMO'!H10)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HISTORICOS'!J10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RESUMO'!J10-'CP RESUMO'!I10)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HISTORICOS'!K10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RESUMO'!K10-'CP RESUMO'!J10)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HISTORICOS'!L10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RESUMO'!L10-'CP RESUMO'!K10)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HISTORICOS'!M10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RESUMO'!M10-'CP RESUMO'!L10)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HISTORICOS'!N10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RESUMO'!N10-'CP RESUMO'!M10)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HISTORICOS'!O10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RESUMO'!O10-'CP RESUMO'!N10)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HISTORICOS'!P10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RESUMO'!P10-'CP RESUMO'!O10)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HISTORICOS'!Q10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RESUMO'!Q10-'CP RESUMO'!P10)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HISTORICOS'!R10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RESUMO'!R10-'CP RESUMO'!Q10)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HISTORICOS'!S10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RESUMO'!S10-'CP RESUMO'!R10)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HISTORICOS'!T10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RESUMO'!T10-'CP RESUMO'!S10)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HISTORICOS'!U10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RESUMO'!U10-'CP RESUMO'!T10)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HISTORICOS'!V10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RESUMO'!V10-'CP RESUMO'!U10)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HISTORICOS'!W10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RESUMO'!W10-'CP RESUMO'!V10)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HISTORICOS'!X10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RESUMO'!X10-'CP RESUMO'!W10)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HISTORICOS'!Y10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>
        <v>10541.48</v>
      </c>
      <c r="M26" s="62">
        <f>MAX(0,'CP RESUMO'!Y10-'CP RESUMO'!X10)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HISTORICOS'!Z10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11379.4</v>
      </c>
      <c r="M27" s="62">
        <f>MAX(0,'CP RESUMO'!Z10-'CP RESUMO'!Y10)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HISTORICOS'!AA10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11128.35</v>
      </c>
      <c r="M28" s="62">
        <f>MAX(0,'CP RESUMO'!AA10-'CP RESUMO'!Z10)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HISTORICOS'!AB10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10642.17</v>
      </c>
      <c r="M29" s="62">
        <f>MAX(0,'CP RESUMO'!AB10-'CP RESUMO'!AA10)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HISTORICOS'!AC10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10269.24</v>
      </c>
      <c r="M30" s="62">
        <f>MAX(0,'CP RESUMO'!AC10-'CP RESUMO'!AB10)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HISTORICOS'!AD10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11105.6</v>
      </c>
      <c r="M31" s="62">
        <f>MAX(0,'CP RESUMO'!AD10-'CP RESUMO'!AC10)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HISTORICOS'!AE10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11301.04</v>
      </c>
      <c r="M32" s="62">
        <f>MAX(0,'CP RESUMO'!AE10-'CP RESUMO'!AD10)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HISTORICOS'!AF10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10888.96</v>
      </c>
      <c r="M33" s="62">
        <f>MAX(0,'CP RESUMO'!AF10-'CP RESUMO'!AE10)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HISTORICOS'!AG10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11189.99</v>
      </c>
      <c r="M34" s="62">
        <f>MAX(0,'CP RESUMO'!AG10-'CP RESUMO'!AF10)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HISTORICOS'!AH10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11332.57</v>
      </c>
      <c r="M35" s="62">
        <f>MAX(0,'CP RESUMO'!AH10-'CP RESUMO'!AG10)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HISTORICOS'!AI10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11583.14</v>
      </c>
      <c r="M36" s="62">
        <f>MAX(0,'CP RESUMO'!AI10-'CP RESUMO'!AH10)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HISTORICOS'!AJ10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11935.17</v>
      </c>
      <c r="M37" s="62">
        <f>MAX(0,'CP RESUMO'!AJ10-'CP RESUMO'!AI10)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HISTORICOS'!AK10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12480.22</v>
      </c>
      <c r="M38" s="62">
        <f>MAX(0,'CP RESUMO'!AK10-'CP RESUMO'!AJ10)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HISTORICOS'!AL10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12867.83</v>
      </c>
      <c r="M39" s="62">
        <f>MAX(0,'CP RESUMO'!AL10-'CP RESUMO'!AK10)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HISTORICOS'!AM10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12853.32</v>
      </c>
      <c r="M40" s="62">
        <f>MAX(0,'CP RESUMO'!AM10-'CP RESUMO'!AL10)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HISTORICOS'!AN10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13195.68</v>
      </c>
      <c r="M41" s="62">
        <f>MAX(0,'CP RESUMO'!AN10-'CP RESUMO'!AM10)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HISTORICOS'!AO10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12006.76</v>
      </c>
      <c r="M42" s="62">
        <f>MAX(0,'CP RESUMO'!AO10-'CP RESUMO'!AN10)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HISTORICOS'!AP10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12952.12</v>
      </c>
      <c r="M43" s="62">
        <f>MAX(0,'CP RESUMO'!AP10-'CP RESUMO'!AO10)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HISTORICOS'!AQ10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12741.85</v>
      </c>
      <c r="M44" s="62">
        <f>MAX(0,'CP RESUMO'!AQ10-'CP RESUMO'!AP10)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HISTORICOS'!AR10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12613.6</v>
      </c>
      <c r="M45" s="62">
        <f>MAX(0,'CP RESUMO'!AR10-'CP RESUMO'!AQ10)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HISTORICOS'!AS10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12214.28</v>
      </c>
      <c r="M46" s="62">
        <f>MAX(0,'CP RESUMO'!AS10-'CP RESUMO'!AR10)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HISTORICOS'!AT10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12961.71</v>
      </c>
      <c r="M47" s="62">
        <f>MAX(0,'CP RESUMO'!AT10-'CP RESUMO'!AS10)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HISTORICOS'!AU10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12457.67</v>
      </c>
      <c r="M48" s="62">
        <f>MAX(0,'CP RESUMO'!AU10-'CP RESUMO'!AT10)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HISTORICOS'!AV10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12316.4</v>
      </c>
      <c r="M49" s="62">
        <f>MAX(0,'CP RESUMO'!AV10-'CP RESUMO'!AU10)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HISTORICOS'!AW10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12207.86</v>
      </c>
      <c r="M50" s="62">
        <f>MAX(0,'CP RESUMO'!AW10-'CP RESUMO'!AV10)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HISTORICOS'!AX10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11610.73</v>
      </c>
      <c r="M51" s="62">
        <f>MAX(0,'CP RESUMO'!AX10-'CP RESUMO'!AW10)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HISTORICOS'!AY10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11025.61</v>
      </c>
      <c r="M52" s="62">
        <f>MAX(0,'CP RESUMO'!AY10-'CP RESUMO'!AX10)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HISTORICOS'!AZ10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10312.1</v>
      </c>
      <c r="M53" s="62">
        <f>MAX(0,'CP RESUMO'!AZ10-'CP RESUMO'!AY10)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HISTORICOS'!BA10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9972.52</v>
      </c>
      <c r="M54" s="62">
        <f>MAX(0,'CP RESUMO'!BA10-'CP RESUMO'!AZ10)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HISTORICOS'!BB10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9937.309999999999</v>
      </c>
      <c r="M55" s="62">
        <f>MAX(0,'CP RESUMO'!BB10-'CP RESUMO'!BA10)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HISTORICOS'!BC10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9524.9</v>
      </c>
      <c r="M56" s="62">
        <f>MAX(0,'CP RESUMO'!BC10-'CP RESUMO'!BB10)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HISTORICOS'!BD10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>
        <v>9124.110000000001</v>
      </c>
      <c r="M57" s="62">
        <f>MAX(0,'CP RESUMO'!BD10-'CP RESUMO'!BC10)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HISTORICOS'!BE10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>
        <v>9124.110000000001</v>
      </c>
      <c r="M58" s="62">
        <f>MAX(0,'CP RESUMO'!BE10-'CP RESUMO'!BD10)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HISTORICOS'!BF10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>
        <v>9124.110000000001</v>
      </c>
      <c r="M59" s="62">
        <f>MAX(0,'CP RESUMO'!BF10-'CP RESUMO'!BE10)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HISTORICOS'!BG10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RESUMO'!BG10-'CP RESUMO'!BF10)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HISTORICOS'!BH10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>
        <v>107586.39</v>
      </c>
      <c r="M61" s="62">
        <f>MAX(0,'CP RESUMO'!BH10-'CP RESUMO'!BG10)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HISTORICOS'!BI10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RESUMO'!BI10-'CP RESUMO'!BH10)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HISTORICOS'!BJ10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RESUMO'!BJ10-'CP RESUMO'!BI10)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HISTORICOS'!BK10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RESUMO'!BK10-'CP RESUMO'!BJ10)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HISTORICOS'!BL10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RESUMO'!BL10-'CP RESUMO'!BK10)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HISTORICOS'!BM10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RESUMO'!BM10-'CP RESUMO'!BL10)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HISTORICOS'!BN10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RESUMO'!BN10-'CP RESUMO'!BM10)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HISTORICOS'!BO10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RESUMO'!BO10-'CP RESUMO'!BN10)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HISTORICOS'!BP10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RESUMO'!BP10-'CP RESUMO'!BO10)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HISTORICOS'!BQ10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RESUMO'!BQ10-'CP RESUMO'!BP10)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HISTORICOS'!BR10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RESUMO'!BR10-'CP RESUMO'!BQ10)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HISTORICOS'!BS10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RESUMO'!BS10-'CP RESUMO'!BR10)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HISTORICOS'!BT10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RESUMO'!BT10-'CP RESUMO'!BS10)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HISTORICOS'!BU10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RESUMO'!BU10-'CP RESUMO'!BT10)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HISTORICOS'!BV10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RESUMO'!BV10-'CP RESUMO'!BU10)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HISTORICOS'!BW10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RESUMO'!BW10-'CP RESUMO'!BV10)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PL'!D17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HISTORICOS'!D11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PL'!F17</f>
        <v/>
      </c>
      <c r="K5" s="37">
        <f>'VALOR POR PL'!G17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HISTORICOS'!E11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RESUMO'!E11-'CP RESUMO'!D11)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HISTORICOS'!F11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PL'!L17</f>
        <v/>
      </c>
      <c r="M7" s="62">
        <f>MAX(0,'CP RESUMO'!F11-'CP RESUMO'!E11)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HISTORICOS'!G11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RESUMO'!G11-'CP RESUMO'!F11)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HISTORICOS'!H11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RESUMO'!H11-'CP RESUMO'!G11)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HISTORICOS'!I11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RESUMO'!I11-'CP RESUMO'!H11)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HISTORICOS'!J11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RESUMO'!J11-'CP RESUMO'!I11)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HISTORICOS'!K11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RESUMO'!K11-'CP RESUMO'!J11)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HISTORICOS'!L11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RESUMO'!L11-'CP RESUMO'!K11)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HISTORICOS'!M11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RESUMO'!M11-'CP RESUMO'!L11)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HISTORICOS'!N11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RESUMO'!N11-'CP RESUMO'!M11)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HISTORICOS'!O11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RESUMO'!O11-'CP RESUMO'!N11)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HISTORICOS'!P11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RESUMO'!P11-'CP RESUMO'!O11)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HISTORICOS'!Q11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RESUMO'!Q11-'CP RESUMO'!P11)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HISTORICOS'!R11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RESUMO'!R11-'CP RESUMO'!Q11)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HISTORICOS'!S11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RESUMO'!S11-'CP RESUMO'!R11)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HISTORICOS'!T11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RESUMO'!T11-'CP RESUMO'!S11)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HISTORICOS'!U11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RESUMO'!U11-'CP RESUMO'!T11)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HISTORICOS'!V11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RESUMO'!V11-'CP RESUMO'!U11)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HISTORICOS'!W11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RESUMO'!W11-'CP RESUMO'!V11)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HISTORICOS'!X11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RESUMO'!X11-'CP RESUMO'!W11)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HISTORICOS'!Y11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>
        <v>860.64</v>
      </c>
      <c r="M26" s="62">
        <f>MAX(0,'CP RESUMO'!Y11-'CP RESUMO'!X11)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HISTORICOS'!Z11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3259.22</v>
      </c>
      <c r="M27" s="62">
        <f>MAX(0,'CP RESUMO'!Z11-'CP RESUMO'!Y11)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HISTORICOS'!AA11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4542.16</v>
      </c>
      <c r="M28" s="62">
        <f>MAX(0,'CP RESUMO'!AA11-'CP RESUMO'!Z11)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HISTORICOS'!AB11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4253.68</v>
      </c>
      <c r="M29" s="62">
        <f>MAX(0,'CP RESUMO'!AB11-'CP RESUMO'!AA11)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HISTORICOS'!AC11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4032.4</v>
      </c>
      <c r="M30" s="62">
        <f>MAX(0,'CP RESUMO'!AC11-'CP RESUMO'!AB11)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HISTORICOS'!AD11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4890.72</v>
      </c>
      <c r="M31" s="62">
        <f>MAX(0,'CP RESUMO'!AD11-'CP RESUMO'!AC11)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HISTORICOS'!AE11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5097.2</v>
      </c>
      <c r="M32" s="62">
        <f>MAX(0,'CP RESUMO'!AE11-'CP RESUMO'!AD11)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HISTORICOS'!AF11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4852.69</v>
      </c>
      <c r="M33" s="62">
        <f>MAX(0,'CP RESUMO'!AF11-'CP RESUMO'!AE11)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HISTORICOS'!AG11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5121.82</v>
      </c>
      <c r="M34" s="62">
        <f>MAX(0,'CP RESUMO'!AG11-'CP RESUMO'!AF11)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HISTORICOS'!AH11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5296.94</v>
      </c>
      <c r="M35" s="62">
        <f>MAX(0,'CP RESUMO'!AH11-'CP RESUMO'!AG11)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HISTORICOS'!AI11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5355.1</v>
      </c>
      <c r="M36" s="62">
        <f>MAX(0,'CP RESUMO'!AI11-'CP RESUMO'!AH11)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HISTORICOS'!AJ11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5563.98</v>
      </c>
      <c r="M37" s="62">
        <f>MAX(0,'CP RESUMO'!AJ11-'CP RESUMO'!AI11)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HISTORICOS'!AK11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5977.91</v>
      </c>
      <c r="M38" s="62">
        <f>MAX(0,'CP RESUMO'!AK11-'CP RESUMO'!AJ11)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HISTORICOS'!AL11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6207.91</v>
      </c>
      <c r="M39" s="62">
        <f>MAX(0,'CP RESUMO'!AL11-'CP RESUMO'!AK11)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HISTORICOS'!AM11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6018.27</v>
      </c>
      <c r="M40" s="62">
        <f>MAX(0,'CP RESUMO'!AM11-'CP RESUMO'!AL11)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HISTORICOS'!AN11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6221.41</v>
      </c>
      <c r="M41" s="62">
        <f>MAX(0,'CP RESUMO'!AN11-'CP RESUMO'!AM11)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HISTORICOS'!AO11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5515.95</v>
      </c>
      <c r="M42" s="62">
        <f>MAX(0,'CP RESUMO'!AO11-'CP RESUMO'!AN11)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HISTORICOS'!AP11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6076.89</v>
      </c>
      <c r="M43" s="62">
        <f>MAX(0,'CP RESUMO'!AP11-'CP RESUMO'!AO11)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HISTORICOS'!AQ11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5861.61</v>
      </c>
      <c r="M44" s="62">
        <f>MAX(0,'CP RESUMO'!AQ11-'CP RESUMO'!AP11)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HISTORICOS'!AR11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5785.51</v>
      </c>
      <c r="M45" s="62">
        <f>MAX(0,'CP RESUMO'!AR11-'CP RESUMO'!AQ11)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HISTORICOS'!AS11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5458.06</v>
      </c>
      <c r="M46" s="62">
        <f>MAX(0,'CP RESUMO'!AS11-'CP RESUMO'!AR11)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HISTORICOS'!AT11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5901.55</v>
      </c>
      <c r="M47" s="62">
        <f>MAX(0,'CP RESUMO'!AT11-'CP RESUMO'!AS11)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HISTORICOS'!AU11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5602.48</v>
      </c>
      <c r="M48" s="62">
        <f>MAX(0,'CP RESUMO'!AU11-'CP RESUMO'!AT11)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HISTORICOS'!AV11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5518.65</v>
      </c>
      <c r="M49" s="62">
        <f>MAX(0,'CP RESUMO'!AV11-'CP RESUMO'!AU11)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HISTORICOS'!AW11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5273.22</v>
      </c>
      <c r="M50" s="62">
        <f>MAX(0,'CP RESUMO'!AW11-'CP RESUMO'!AV11)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HISTORICOS'!AX11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4918.9</v>
      </c>
      <c r="M51" s="62">
        <f>MAX(0,'CP RESUMO'!AX11-'CP RESUMO'!AW11)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HISTORICOS'!AY11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4571.72</v>
      </c>
      <c r="M52" s="62">
        <f>MAX(0,'CP RESUMO'!AY11-'CP RESUMO'!AX11)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HISTORICOS'!AZ11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3695.77</v>
      </c>
      <c r="M53" s="62">
        <f>MAX(0,'CP RESUMO'!AZ11-'CP RESUMO'!AY11)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HISTORICOS'!BA11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3222.74</v>
      </c>
      <c r="M54" s="62">
        <f>MAX(0,'CP RESUMO'!BA11-'CP RESUMO'!AZ11)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HISTORICOS'!BB11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3201.84</v>
      </c>
      <c r="M55" s="62">
        <f>MAX(0,'CP RESUMO'!BB11-'CP RESUMO'!BA11)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HISTORICOS'!BC11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2504.57</v>
      </c>
      <c r="M56" s="62">
        <f>MAX(0,'CP RESUMO'!BC11-'CP RESUMO'!BB11)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HISTORICOS'!BD11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>
        <v>4419.96</v>
      </c>
      <c r="M57" s="62">
        <f>MAX(0,'CP RESUMO'!BD11-'CP RESUMO'!BC11)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HISTORICOS'!BE11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RESUMO'!BE11-'CP RESUMO'!BD11)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HISTORICOS'!BF11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RESUMO'!BF11-'CP RESUMO'!BE11)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HISTORICOS'!BG11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RESUMO'!BG11-'CP RESUMO'!BF11)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HISTORICOS'!BH11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RESUMO'!BH11-'CP RESUMO'!BG11)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HISTORICOS'!BI11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RESUMO'!BI11-'CP RESUMO'!BH11)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HISTORICOS'!BJ11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RESUMO'!BJ11-'CP RESUMO'!BI11)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HISTORICOS'!BK11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RESUMO'!BK11-'CP RESUMO'!BJ11)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HISTORICOS'!BL11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RESUMO'!BL11-'CP RESUMO'!BK11)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HISTORICOS'!BM11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RESUMO'!BM11-'CP RESUMO'!BL11)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HISTORICOS'!BN11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RESUMO'!BN11-'CP RESUMO'!BM11)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HISTORICOS'!BO11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RESUMO'!BO11-'CP RESUMO'!BN11)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HISTORICOS'!BP11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RESUMO'!BP11-'CP RESUMO'!BO11)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HISTORICOS'!BQ11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RESUMO'!BQ11-'CP RESUMO'!BP11)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HISTORICOS'!BR11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RESUMO'!BR11-'CP RESUMO'!BQ11)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HISTORICOS'!BS11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RESUMO'!BS11-'CP RESUMO'!BR11)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HISTORICOS'!BT11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RESUMO'!BT11-'CP RESUMO'!BS11)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HISTORICOS'!BU11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RESUMO'!BU11-'CP RESUMO'!BT11)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HISTORICOS'!BV11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RESUMO'!BV11-'CP RESUMO'!BU11)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HISTORICOS'!BW11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RESUMO'!BW11-'CP RESUMO'!BV11)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PL'!D18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HISTORICOS'!D12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PL'!F18</f>
        <v/>
      </c>
      <c r="K5" s="37">
        <f>'VALOR POR PL'!G18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HISTORICOS'!E12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RESUMO'!E12-'CP RESUMO'!D12)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HISTORICOS'!F12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PL'!L18</f>
        <v/>
      </c>
      <c r="M7" s="62">
        <f>MAX(0,'CP RESUMO'!F12-'CP RESUMO'!E12)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HISTORICOS'!G12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RESUMO'!G12-'CP RESUMO'!F12)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HISTORICOS'!H12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RESUMO'!H12-'CP RESUMO'!G12)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HISTORICOS'!I12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RESUMO'!I12-'CP RESUMO'!H12)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HISTORICOS'!J12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RESUMO'!J12-'CP RESUMO'!I12)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HISTORICOS'!K12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RESUMO'!K12-'CP RESUMO'!J12)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HISTORICOS'!L12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RESUMO'!L12-'CP RESUMO'!K12)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HISTORICOS'!M12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RESUMO'!M12-'CP RESUMO'!L12)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HISTORICOS'!N12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RESUMO'!N12-'CP RESUMO'!M12)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HISTORICOS'!O12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RESUMO'!O12-'CP RESUMO'!N12)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HISTORICOS'!P12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RESUMO'!P12-'CP RESUMO'!O12)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HISTORICOS'!Q12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RESUMO'!Q12-'CP RESUMO'!P12)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HISTORICOS'!R12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RESUMO'!R12-'CP RESUMO'!Q12)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HISTORICOS'!S12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RESUMO'!S12-'CP RESUMO'!R12)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HISTORICOS'!T12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RESUMO'!T12-'CP RESUMO'!S12)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HISTORICOS'!U12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RESUMO'!U12-'CP RESUMO'!T12)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HISTORICOS'!V12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RESUMO'!V12-'CP RESUMO'!U12)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HISTORICOS'!W12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RESUMO'!W12-'CP RESUMO'!V12)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HISTORICOS'!X12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RESUMO'!X12-'CP RESUMO'!W12)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HISTORICOS'!Y12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>
        <v>14226.77</v>
      </c>
      <c r="M26" s="62">
        <f>MAX(0,'CP RESUMO'!Y12-'CP RESUMO'!X12)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HISTORICOS'!Z12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17910.28</v>
      </c>
      <c r="M27" s="62">
        <f>MAX(0,'CP RESUMO'!Z12-'CP RESUMO'!Y12)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HISTORICOS'!AA12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12060.18</v>
      </c>
      <c r="M28" s="62">
        <f>MAX(0,'CP RESUMO'!AA12-'CP RESUMO'!Z12)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HISTORICOS'!AB12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12369.16</v>
      </c>
      <c r="M29" s="62">
        <f>MAX(0,'CP RESUMO'!AB12-'CP RESUMO'!AA12)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HISTORICOS'!AC12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16309.5</v>
      </c>
      <c r="M30" s="62">
        <f>MAX(0,'CP RESUMO'!AC12-'CP RESUMO'!AB12)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HISTORICOS'!AD12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28235.87</v>
      </c>
      <c r="M31" s="62">
        <f>MAX(0,'CP RESUMO'!AD12-'CP RESUMO'!AC12)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HISTORICOS'!AE12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25515.02</v>
      </c>
      <c r="M32" s="62">
        <f>MAX(0,'CP RESUMO'!AE12-'CP RESUMO'!AD12)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HISTORICOS'!AF12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29900.88</v>
      </c>
      <c r="M33" s="62">
        <f>MAX(0,'CP RESUMO'!AF12-'CP RESUMO'!AE12)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HISTORICOS'!AG12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30199.63</v>
      </c>
      <c r="M34" s="62">
        <f>MAX(0,'CP RESUMO'!AG12-'CP RESUMO'!AF12)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HISTORICOS'!AH12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34501.02</v>
      </c>
      <c r="M35" s="62">
        <f>MAX(0,'CP RESUMO'!AH12-'CP RESUMO'!AG12)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HISTORICOS'!AI12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32780.44</v>
      </c>
      <c r="M36" s="62">
        <f>MAX(0,'CP RESUMO'!AI12-'CP RESUMO'!AH12)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HISTORICOS'!AJ12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31177.91</v>
      </c>
      <c r="M37" s="62">
        <f>MAX(0,'CP RESUMO'!AJ12-'CP RESUMO'!AI12)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HISTORICOS'!AK12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34021.99</v>
      </c>
      <c r="M38" s="62">
        <f>MAX(0,'CP RESUMO'!AK12-'CP RESUMO'!AJ12)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HISTORICOS'!AL12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29443.74</v>
      </c>
      <c r="M39" s="62">
        <f>MAX(0,'CP RESUMO'!AL12-'CP RESUMO'!AK12)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HISTORICOS'!AM12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26464.19</v>
      </c>
      <c r="M40" s="62">
        <f>MAX(0,'CP RESUMO'!AM12-'CP RESUMO'!AL12)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HISTORICOS'!AN12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29004.48</v>
      </c>
      <c r="M41" s="62">
        <f>MAX(0,'CP RESUMO'!AN12-'CP RESUMO'!AM12)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HISTORICOS'!AO12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31522.3</v>
      </c>
      <c r="M42" s="62">
        <f>MAX(0,'CP RESUMO'!AO12-'CP RESUMO'!AN12)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HISTORICOS'!AP12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31011.94</v>
      </c>
      <c r="M43" s="62">
        <f>MAX(0,'CP RESUMO'!AP12-'CP RESUMO'!AO12)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HISTORICOS'!AQ12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20653.6</v>
      </c>
      <c r="M44" s="62">
        <f>MAX(0,'CP RESUMO'!AQ12-'CP RESUMO'!AP12)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HISTORICOS'!AR12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12928.22</v>
      </c>
      <c r="M45" s="62">
        <f>MAX(0,'CP RESUMO'!AR12-'CP RESUMO'!AQ12)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HISTORICOS'!AS12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12928.22</v>
      </c>
      <c r="M46" s="62">
        <f>MAX(0,'CP RESUMO'!AS12-'CP RESUMO'!AR12)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HISTORICOS'!AT12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12928.22</v>
      </c>
      <c r="M47" s="62">
        <f>MAX(0,'CP RESUMO'!AT12-'CP RESUMO'!AS12)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HISTORICOS'!AU12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12928.22</v>
      </c>
      <c r="M48" s="62">
        <f>MAX(0,'CP RESUMO'!AU12-'CP RESUMO'!AT12)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HISTORICOS'!AV12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12928.22</v>
      </c>
      <c r="M49" s="62">
        <f>MAX(0,'CP RESUMO'!AV12-'CP RESUMO'!AU12)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HISTORICOS'!AW12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12928.22</v>
      </c>
      <c r="M50" s="62">
        <f>MAX(0,'CP RESUMO'!AW12-'CP RESUMO'!AV12)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HISTORICOS'!AX12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12928.22</v>
      </c>
      <c r="M51" s="62">
        <f>MAX(0,'CP RESUMO'!AX12-'CP RESUMO'!AW12)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HISTORICOS'!AY12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12928.22</v>
      </c>
      <c r="M52" s="62">
        <f>MAX(0,'CP RESUMO'!AY12-'CP RESUMO'!AX12)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HISTORICOS'!AZ12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12928.22</v>
      </c>
      <c r="M53" s="62">
        <f>MAX(0,'CP RESUMO'!AZ12-'CP RESUMO'!AY12)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HISTORICOS'!BA12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12928.22</v>
      </c>
      <c r="M54" s="62">
        <f>MAX(0,'CP RESUMO'!BA12-'CP RESUMO'!AZ12)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HISTORICOS'!BB12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6000</v>
      </c>
      <c r="M55" s="62">
        <f>MAX(0,'CP RESUMO'!BB12-'CP RESUMO'!BA12)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HISTORICOS'!BC12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65559.00999999999</v>
      </c>
      <c r="M56" s="62">
        <f>MAX(0,'CP RESUMO'!BC12-'CP RESUMO'!BB12)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HISTORICOS'!BD12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>
        <v>19438.3</v>
      </c>
      <c r="M57" s="62">
        <f>MAX(0,'CP RESUMO'!BD12-'CP RESUMO'!BC12)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HISTORICOS'!BE12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>
        <v>37708.87</v>
      </c>
      <c r="M58" s="62">
        <f>MAX(0,'CP RESUMO'!BE12-'CP RESUMO'!BD12)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HISTORICOS'!BF12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RESUMO'!BF12-'CP RESUMO'!BE12)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HISTORICOS'!BG12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RESUMO'!BG12-'CP RESUMO'!BF12)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HISTORICOS'!BH12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RESUMO'!BH12-'CP RESUMO'!BG12)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HISTORICOS'!BI12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RESUMO'!BI12-'CP RESUMO'!BH12)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HISTORICOS'!BJ12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RESUMO'!BJ12-'CP RESUMO'!BI12)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HISTORICOS'!BK12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RESUMO'!BK12-'CP RESUMO'!BJ12)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HISTORICOS'!BL12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RESUMO'!BL12-'CP RESUMO'!BK12)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HISTORICOS'!BM12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RESUMO'!BM12-'CP RESUMO'!BL12)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HISTORICOS'!BN12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RESUMO'!BN12-'CP RESUMO'!BM12)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HISTORICOS'!BO12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RESUMO'!BO12-'CP RESUMO'!BN12)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HISTORICOS'!BP12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RESUMO'!BP12-'CP RESUMO'!BO12)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HISTORICOS'!BQ12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RESUMO'!BQ12-'CP RESUMO'!BP12)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HISTORICOS'!BR12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RESUMO'!BR12-'CP RESUMO'!BQ12)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HISTORICOS'!BS12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RESUMO'!BS12-'CP RESUMO'!BR12)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HISTORICOS'!BT12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RESUMO'!BT12-'CP RESUMO'!BS12)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HISTORICOS'!BU12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RESUMO'!BU12-'CP RESUMO'!BT12)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HISTORICOS'!BV12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RESUMO'!BV12-'CP RESUMO'!BU12)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HISTORICOS'!BW12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RESUMO'!BW12-'CP RESUMO'!BV12)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PL'!D19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HISTORICOS'!D13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PL'!F19</f>
        <v/>
      </c>
      <c r="K5" s="37">
        <f>'VALOR POR PL'!G19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HISTORICOS'!E13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RESUMO'!E13-'CP RESUMO'!D13)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HISTORICOS'!F13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PL'!L19</f>
        <v/>
      </c>
      <c r="M7" s="62">
        <f>MAX(0,'CP RESUMO'!F13-'CP RESUMO'!E13)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HISTORICOS'!G13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RESUMO'!G13-'CP RESUMO'!F13)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HISTORICOS'!H13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RESUMO'!H13-'CP RESUMO'!G13)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HISTORICOS'!I13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RESUMO'!I13-'CP RESUMO'!H13)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HISTORICOS'!J13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RESUMO'!J13-'CP RESUMO'!I13)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HISTORICOS'!K13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RESUMO'!K13-'CP RESUMO'!J13)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HISTORICOS'!L13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RESUMO'!L13-'CP RESUMO'!K13)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HISTORICOS'!M13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RESUMO'!M13-'CP RESUMO'!L13)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HISTORICOS'!N13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RESUMO'!N13-'CP RESUMO'!M13)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HISTORICOS'!O13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RESUMO'!O13-'CP RESUMO'!N13)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HISTORICOS'!P13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RESUMO'!P13-'CP RESUMO'!O13)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HISTORICOS'!Q13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RESUMO'!Q13-'CP RESUMO'!P13)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HISTORICOS'!R13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RESUMO'!R13-'CP RESUMO'!Q13)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HISTORICOS'!S13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RESUMO'!S13-'CP RESUMO'!R13)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HISTORICOS'!T13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RESUMO'!T13-'CP RESUMO'!S13)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HISTORICOS'!U13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RESUMO'!U13-'CP RESUMO'!T13)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HISTORICOS'!V13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RESUMO'!V13-'CP RESUMO'!U13)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HISTORICOS'!W13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RESUMO'!W13-'CP RESUMO'!V13)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HISTORICOS'!X13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RESUMO'!X13-'CP RESUMO'!W13)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HISTORICOS'!Y13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>
        <v>29236.97</v>
      </c>
      <c r="M26" s="62">
        <f>MAX(0,'CP RESUMO'!Y13-'CP RESUMO'!X13)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HISTORICOS'!Z13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24991.46</v>
      </c>
      <c r="M27" s="62">
        <f>MAX(0,'CP RESUMO'!Z13-'CP RESUMO'!Y13)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HISTORICOS'!AA13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22791.46</v>
      </c>
      <c r="M28" s="62">
        <f>MAX(0,'CP RESUMO'!AA13-'CP RESUMO'!Z13)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HISTORICOS'!AB13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22791.46</v>
      </c>
      <c r="M29" s="62">
        <f>MAX(0,'CP RESUMO'!AB13-'CP RESUMO'!AA13)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HISTORICOS'!AC13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25692.74</v>
      </c>
      <c r="M30" s="62">
        <f>MAX(0,'CP RESUMO'!AC13-'CP RESUMO'!AB13)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HISTORICOS'!AD13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19492.74</v>
      </c>
      <c r="M31" s="62">
        <f>MAX(0,'CP RESUMO'!AD13-'CP RESUMO'!AC13)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HISTORICOS'!AE13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19492.74</v>
      </c>
      <c r="M32" s="62">
        <f>MAX(0,'CP RESUMO'!AE13-'CP RESUMO'!AD13)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HISTORICOS'!AF13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21692.74</v>
      </c>
      <c r="M33" s="62">
        <f>MAX(0,'CP RESUMO'!AF13-'CP RESUMO'!AE13)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HISTORICOS'!AG13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19492.74</v>
      </c>
      <c r="M34" s="62">
        <f>MAX(0,'CP RESUMO'!AG13-'CP RESUMO'!AF13)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HISTORICOS'!AH13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24517.74</v>
      </c>
      <c r="M35" s="62">
        <f>MAX(0,'CP RESUMO'!AH13-'CP RESUMO'!AG13)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HISTORICOS'!AI13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21692.74</v>
      </c>
      <c r="M36" s="62">
        <f>MAX(0,'CP RESUMO'!AI13-'CP RESUMO'!AH13)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HISTORICOS'!AJ13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19492.74</v>
      </c>
      <c r="M37" s="62">
        <f>MAX(0,'CP RESUMO'!AJ13-'CP RESUMO'!AI13)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HISTORICOS'!AK13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19492.74</v>
      </c>
      <c r="M38" s="62">
        <f>MAX(0,'CP RESUMO'!AK13-'CP RESUMO'!AJ13)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HISTORICOS'!AL13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21692.74</v>
      </c>
      <c r="M39" s="62">
        <f>MAX(0,'CP RESUMO'!AL13-'CP RESUMO'!AK13)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HISTORICOS'!AM13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19492.74</v>
      </c>
      <c r="M40" s="62">
        <f>MAX(0,'CP RESUMO'!AM13-'CP RESUMO'!AL13)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HISTORICOS'!AN13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15610.78</v>
      </c>
      <c r="M41" s="62">
        <f>MAX(0,'CP RESUMO'!AN13-'CP RESUMO'!AM13)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HISTORICOS'!AO13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17385.68</v>
      </c>
      <c r="M42" s="62">
        <f>MAX(0,'CP RESUMO'!AO13-'CP RESUMO'!AN13)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HISTORICOS'!AP13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15185.68</v>
      </c>
      <c r="M43" s="62">
        <f>MAX(0,'CP RESUMO'!AP13-'CP RESUMO'!AO13)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HISTORICOS'!AQ13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11185.68</v>
      </c>
      <c r="M44" s="62">
        <f>MAX(0,'CP RESUMO'!AQ13-'CP RESUMO'!AP13)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HISTORICOS'!AR13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13385.68</v>
      </c>
      <c r="M45" s="62">
        <f>MAX(0,'CP RESUMO'!AR13-'CP RESUMO'!AQ13)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HISTORICOS'!AS13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11185.68</v>
      </c>
      <c r="M46" s="62">
        <f>MAX(0,'CP RESUMO'!AS13-'CP RESUMO'!AR13)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HISTORICOS'!AT13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16210.68</v>
      </c>
      <c r="M47" s="62">
        <f>MAX(0,'CP RESUMO'!AT13-'CP RESUMO'!AS13)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HISTORICOS'!AU13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13385.68</v>
      </c>
      <c r="M48" s="62">
        <f>MAX(0,'CP RESUMO'!AU13-'CP RESUMO'!AT13)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HISTORICOS'!AV13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48685.68</v>
      </c>
      <c r="M49" s="62">
        <f>MAX(0,'CP RESUMO'!AV13-'CP RESUMO'!AU13)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HISTORICOS'!AW13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50885.68</v>
      </c>
      <c r="M50" s="62">
        <f>MAX(0,'CP RESUMO'!AW13-'CP RESUMO'!AV13)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HISTORICOS'!AX13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11185.68</v>
      </c>
      <c r="M51" s="62">
        <f>MAX(0,'CP RESUMO'!AX13-'CP RESUMO'!AW13)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HISTORICOS'!AY13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10483.68</v>
      </c>
      <c r="M52" s="62">
        <f>MAX(0,'CP RESUMO'!AY13-'CP RESUMO'!AX13)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HISTORICOS'!AZ13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12683.68</v>
      </c>
      <c r="M53" s="62">
        <f>MAX(0,'CP RESUMO'!AZ13-'CP RESUMO'!AY13)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HISTORICOS'!BA13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9485.68</v>
      </c>
      <c r="M54" s="62">
        <f>MAX(0,'CP RESUMO'!BA13-'CP RESUMO'!AZ13)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HISTORICOS'!BB13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5685.68</v>
      </c>
      <c r="M55" s="62">
        <f>MAX(0,'CP RESUMO'!BB13-'CP RESUMO'!BA13)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HISTORICOS'!BC13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77255.59</v>
      </c>
      <c r="M56" s="62">
        <f>MAX(0,'CP RESUMO'!BC13-'CP RESUMO'!BB13)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HISTORICOS'!BD13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RESUMO'!BD13-'CP RESUMO'!BC13)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HISTORICOS'!BE13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RESUMO'!BE13-'CP RESUMO'!BD13)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HISTORICOS'!BF13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RESUMO'!BF13-'CP RESUMO'!BE13)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HISTORICOS'!BG13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RESUMO'!BG13-'CP RESUMO'!BF13)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HISTORICOS'!BH13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RESUMO'!BH13-'CP RESUMO'!BG13)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HISTORICOS'!BI13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RESUMO'!BI13-'CP RESUMO'!BH13)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HISTORICOS'!BJ13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RESUMO'!BJ13-'CP RESUMO'!BI13)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HISTORICOS'!BK13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RESUMO'!BK13-'CP RESUMO'!BJ13)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HISTORICOS'!BL13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RESUMO'!BL13-'CP RESUMO'!BK13)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HISTORICOS'!BM13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RESUMO'!BM13-'CP RESUMO'!BL13)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HISTORICOS'!BN13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RESUMO'!BN13-'CP RESUMO'!BM13)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HISTORICOS'!BO13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RESUMO'!BO13-'CP RESUMO'!BN13)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HISTORICOS'!BP13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RESUMO'!BP13-'CP RESUMO'!BO13)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HISTORICOS'!BQ13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RESUMO'!BQ13-'CP RESUMO'!BP13)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HISTORICOS'!BR13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RESUMO'!BR13-'CP RESUMO'!BQ13)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HISTORICOS'!BS13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RESUMO'!BS13-'CP RESUMO'!BR13)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HISTORICOS'!BT13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RESUMO'!BT13-'CP RESUMO'!BS13)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HISTORICOS'!BU13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RESUMO'!BU13-'CP RESUMO'!BT13)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HISTORICOS'!BV13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RESUMO'!BV13-'CP RESUMO'!BU13)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HISTORICOS'!BW13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RESUMO'!BW13-'CP RESUMO'!BV13)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PL'!D20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HISTORICOS'!D14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PL'!F20</f>
        <v/>
      </c>
      <c r="K5" s="37">
        <f>'VALOR POR PL'!G20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HISTORICOS'!E14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RESUMO'!E14-'CP RESUMO'!D14)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HISTORICOS'!F14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PL'!L20</f>
        <v/>
      </c>
      <c r="M7" s="62">
        <f>MAX(0,'CP RESUMO'!F14-'CP RESUMO'!E14)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HISTORICOS'!G14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RESUMO'!G14-'CP RESUMO'!F14)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HISTORICOS'!H14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RESUMO'!H14-'CP RESUMO'!G14)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HISTORICOS'!I14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RESUMO'!I14-'CP RESUMO'!H14)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HISTORICOS'!J14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RESUMO'!J14-'CP RESUMO'!I14)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HISTORICOS'!K14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RESUMO'!K14-'CP RESUMO'!J14)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HISTORICOS'!L14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RESUMO'!L14-'CP RESUMO'!K14)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HISTORICOS'!M14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RESUMO'!M14-'CP RESUMO'!L14)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HISTORICOS'!N14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RESUMO'!N14-'CP RESUMO'!M14)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HISTORICOS'!O14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RESUMO'!O14-'CP RESUMO'!N14)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HISTORICOS'!P14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RESUMO'!P14-'CP RESUMO'!O14)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HISTORICOS'!Q14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RESUMO'!Q14-'CP RESUMO'!P14)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HISTORICOS'!R14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RESUMO'!R14-'CP RESUMO'!Q14)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HISTORICOS'!S14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RESUMO'!S14-'CP RESUMO'!R14)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HISTORICOS'!T14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RESUMO'!T14-'CP RESUMO'!S14)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HISTORICOS'!U14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RESUMO'!U14-'CP RESUMO'!T14)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HISTORICOS'!V14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RESUMO'!V14-'CP RESUMO'!U14)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HISTORICOS'!W14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RESUMO'!W14-'CP RESUMO'!V14)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HISTORICOS'!X14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RESUMO'!X14-'CP RESUMO'!W14)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HISTORICOS'!Y14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>
        <v>140080.31</v>
      </c>
      <c r="M26" s="62">
        <f>MAX(0,'CP RESUMO'!Y14-'CP RESUMO'!X14)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HISTORICOS'!Z14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252136.45</v>
      </c>
      <c r="M27" s="62">
        <f>MAX(0,'CP RESUMO'!Z14-'CP RESUMO'!Y14)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HISTORICOS'!AA14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284644.73</v>
      </c>
      <c r="M28" s="62">
        <f>MAX(0,'CP RESUMO'!AA14-'CP RESUMO'!Z14)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HISTORICOS'!AB14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328768.1</v>
      </c>
      <c r="M29" s="62">
        <f>MAX(0,'CP RESUMO'!AB14-'CP RESUMO'!AA14)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HISTORICOS'!AC14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488589.71</v>
      </c>
      <c r="M30" s="62">
        <f>MAX(0,'CP RESUMO'!AC14-'CP RESUMO'!AB14)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HISTORICOS'!AD14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439669.52</v>
      </c>
      <c r="M31" s="62">
        <f>MAX(0,'CP RESUMO'!AD14-'CP RESUMO'!AC14)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HISTORICOS'!AE14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437483.96</v>
      </c>
      <c r="M32" s="62">
        <f>MAX(0,'CP RESUMO'!AE14-'CP RESUMO'!AD14)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HISTORICOS'!AF14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450976.08</v>
      </c>
      <c r="M33" s="62">
        <f>MAX(0,'CP RESUMO'!AF14-'CP RESUMO'!AE14)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HISTORICOS'!AG14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456518.18</v>
      </c>
      <c r="M34" s="62">
        <f>MAX(0,'CP RESUMO'!AG14-'CP RESUMO'!AF14)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HISTORICOS'!AH14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456518.18</v>
      </c>
      <c r="M35" s="62">
        <f>MAX(0,'CP RESUMO'!AH14-'CP RESUMO'!AG14)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HISTORICOS'!AI14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456518.18</v>
      </c>
      <c r="M36" s="62">
        <f>MAX(0,'CP RESUMO'!AI14-'CP RESUMO'!AH14)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HISTORICOS'!AJ14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464593.44</v>
      </c>
      <c r="M37" s="62">
        <f>MAX(0,'CP RESUMO'!AJ14-'CP RESUMO'!AI14)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HISTORICOS'!AK14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464593.44</v>
      </c>
      <c r="M38" s="62">
        <f>MAX(0,'CP RESUMO'!AK14-'CP RESUMO'!AJ14)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HISTORICOS'!AL14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463729.92</v>
      </c>
      <c r="M39" s="62">
        <f>MAX(0,'CP RESUMO'!AL14-'CP RESUMO'!AK14)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HISTORICOS'!AM14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592235.9300000001</v>
      </c>
      <c r="M40" s="62">
        <f>MAX(0,'CP RESUMO'!AM14-'CP RESUMO'!AL14)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HISTORICOS'!AN14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583784.24</v>
      </c>
      <c r="M41" s="62">
        <f>MAX(0,'CP RESUMO'!AN14-'CP RESUMO'!AM14)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HISTORICOS'!AO14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464593.44</v>
      </c>
      <c r="M42" s="62">
        <f>MAX(0,'CP RESUMO'!AO14-'CP RESUMO'!AN14)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HISTORICOS'!AP14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464593.44</v>
      </c>
      <c r="M43" s="62">
        <f>MAX(0,'CP RESUMO'!AP14-'CP RESUMO'!AO14)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HISTORICOS'!AQ14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464593.44</v>
      </c>
      <c r="M44" s="62">
        <f>MAX(0,'CP RESUMO'!AQ14-'CP RESUMO'!AP14)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HISTORICOS'!AR14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446460.19</v>
      </c>
      <c r="M45" s="62">
        <f>MAX(0,'CP RESUMO'!AR14-'CP RESUMO'!AQ14)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HISTORICOS'!AS14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446460.19</v>
      </c>
      <c r="M46" s="62">
        <f>MAX(0,'CP RESUMO'!AS14-'CP RESUMO'!AR14)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HISTORICOS'!AT14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446460.19</v>
      </c>
      <c r="M47" s="62">
        <f>MAX(0,'CP RESUMO'!AT14-'CP RESUMO'!AS14)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HISTORICOS'!AU14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430208.77</v>
      </c>
      <c r="M48" s="62">
        <f>MAX(0,'CP RESUMO'!AU14-'CP RESUMO'!AT14)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HISTORICOS'!AV14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409025.96</v>
      </c>
      <c r="M49" s="62">
        <f>MAX(0,'CP RESUMO'!AV14-'CP RESUMO'!AU14)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HISTORICOS'!AW14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409025.96</v>
      </c>
      <c r="M50" s="62">
        <f>MAX(0,'CP RESUMO'!AW14-'CP RESUMO'!AV14)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HISTORICOS'!AX14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409025.96</v>
      </c>
      <c r="M51" s="62">
        <f>MAX(0,'CP RESUMO'!AX14-'CP RESUMO'!AW14)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HISTORICOS'!AY14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580495.28</v>
      </c>
      <c r="M52" s="62">
        <f>MAX(0,'CP RESUMO'!AY14-'CP RESUMO'!AX14)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HISTORICOS'!AZ14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605762.34</v>
      </c>
      <c r="M53" s="62">
        <f>MAX(0,'CP RESUMO'!AZ14-'CP RESUMO'!AY14)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HISTORICOS'!BA14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473473.39</v>
      </c>
      <c r="M54" s="62">
        <f>MAX(0,'CP RESUMO'!BA14-'CP RESUMO'!AZ14)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HISTORICOS'!BB14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437920</v>
      </c>
      <c r="M55" s="62">
        <f>MAX(0,'CP RESUMO'!BB14-'CP RESUMO'!BA14)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HISTORICOS'!BC14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437920</v>
      </c>
      <c r="M56" s="62">
        <f>MAX(0,'CP RESUMO'!BC14-'CP RESUMO'!BB14)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HISTORICOS'!BD14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>
        <v>615518.9300000001</v>
      </c>
      <c r="M57" s="62">
        <f>MAX(0,'CP RESUMO'!BD14-'CP RESUMO'!BC14)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HISTORICOS'!BE14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>
        <v>163135.14</v>
      </c>
      <c r="M58" s="62">
        <f>MAX(0,'CP RESUMO'!BE14-'CP RESUMO'!BD14)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HISTORICOS'!BF14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>
        <v>63372.54</v>
      </c>
      <c r="M59" s="62">
        <f>MAX(0,'CP RESUMO'!BF14-'CP RESUMO'!BE14)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HISTORICOS'!BG14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>
        <v>63372.54</v>
      </c>
      <c r="M60" s="62">
        <f>MAX(0,'CP RESUMO'!BG14-'CP RESUMO'!BF14)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HISTORICOS'!BH14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RESUMO'!BH14-'CP RESUMO'!BG14)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HISTORICOS'!BI14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RESUMO'!BI14-'CP RESUMO'!BH14)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HISTORICOS'!BJ14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>
        <v>2465795.78</v>
      </c>
      <c r="M63" s="62">
        <f>MAX(0,'CP RESUMO'!BJ14-'CP RESUMO'!BI14)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HISTORICOS'!BK14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RESUMO'!BK14-'CP RESUMO'!BJ14)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HISTORICOS'!BL14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RESUMO'!BL14-'CP RESUMO'!BK14)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HISTORICOS'!BM14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RESUMO'!BM14-'CP RESUMO'!BL14)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HISTORICOS'!BN14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RESUMO'!BN14-'CP RESUMO'!BM14)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HISTORICOS'!BO14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RESUMO'!BO14-'CP RESUMO'!BN14)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HISTORICOS'!BP14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RESUMO'!BP14-'CP RESUMO'!BO14)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HISTORICOS'!BQ14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RESUMO'!BQ14-'CP RESUMO'!BP14)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HISTORICOS'!BR14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RESUMO'!BR14-'CP RESUMO'!BQ14)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HISTORICOS'!BS14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RESUMO'!BS14-'CP RESUMO'!BR14)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HISTORICOS'!BT14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RESUMO'!BT14-'CP RESUMO'!BS14)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HISTORICOS'!BU14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RESUMO'!BU14-'CP RESUMO'!BT14)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HISTORICOS'!BV14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RESUMO'!BV14-'CP RESUMO'!BU14)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HISTORICOS'!BW14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RESUMO'!BW14-'CP RESUMO'!BV14)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PL'!D21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HISTORICOS'!D15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PL'!F21</f>
        <v/>
      </c>
      <c r="K5" s="37">
        <f>'VALOR POR PL'!G21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HISTORICOS'!E15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RESUMO'!E15-'CP RESUMO'!D15)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HISTORICOS'!F15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PL'!L21</f>
        <v/>
      </c>
      <c r="M7" s="62">
        <f>MAX(0,'CP RESUMO'!F15-'CP RESUMO'!E15)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HISTORICOS'!G15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RESUMO'!G15-'CP RESUMO'!F15)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HISTORICOS'!H15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RESUMO'!H15-'CP RESUMO'!G15)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HISTORICOS'!I15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RESUMO'!I15-'CP RESUMO'!H15)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HISTORICOS'!J15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RESUMO'!J15-'CP RESUMO'!I15)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HISTORICOS'!K15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RESUMO'!K15-'CP RESUMO'!J15)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HISTORICOS'!L15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RESUMO'!L15-'CP RESUMO'!K15)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HISTORICOS'!M15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RESUMO'!M15-'CP RESUMO'!L15)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HISTORICOS'!N15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RESUMO'!N15-'CP RESUMO'!M15)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HISTORICOS'!O15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RESUMO'!O15-'CP RESUMO'!N15)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HISTORICOS'!P15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RESUMO'!P15-'CP RESUMO'!O15)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HISTORICOS'!Q15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RESUMO'!Q15-'CP RESUMO'!P15)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HISTORICOS'!R15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RESUMO'!R15-'CP RESUMO'!Q15)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HISTORICOS'!S15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RESUMO'!S15-'CP RESUMO'!R15)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HISTORICOS'!T15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RESUMO'!T15-'CP RESUMO'!S15)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HISTORICOS'!U15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RESUMO'!U15-'CP RESUMO'!T15)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HISTORICOS'!V15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RESUMO'!V15-'CP RESUMO'!U15)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HISTORICOS'!W15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RESUMO'!W15-'CP RESUMO'!V15)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HISTORICOS'!X15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RESUMO'!X15-'CP RESUMO'!W15)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HISTORICOS'!Y15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>
        <v>94939.97</v>
      </c>
      <c r="M26" s="62">
        <f>MAX(0,'CP RESUMO'!Y15-'CP RESUMO'!X15)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HISTORICOS'!Z15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158564.58</v>
      </c>
      <c r="M27" s="62">
        <f>MAX(0,'CP RESUMO'!Z15-'CP RESUMO'!Y15)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HISTORICOS'!AA15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95745</v>
      </c>
      <c r="M28" s="62">
        <f>MAX(0,'CP RESUMO'!AA15-'CP RESUMO'!Z15)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HISTORICOS'!AB15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201083.08</v>
      </c>
      <c r="M29" s="62">
        <f>MAX(0,'CP RESUMO'!AB15-'CP RESUMO'!AA15)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HISTORICOS'!AC15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98138.38</v>
      </c>
      <c r="M30" s="62">
        <f>MAX(0,'CP RESUMO'!AC15-'CP RESUMO'!AB15)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HISTORICOS'!AD15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197907.52</v>
      </c>
      <c r="M31" s="62">
        <f>MAX(0,'CP RESUMO'!AD15-'CP RESUMO'!AC15)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HISTORICOS'!AE15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162918.89</v>
      </c>
      <c r="M32" s="62">
        <f>MAX(0,'CP RESUMO'!AE15-'CP RESUMO'!AD15)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HISTORICOS'!AF15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169058.89</v>
      </c>
      <c r="M33" s="62">
        <f>MAX(0,'CP RESUMO'!AF15-'CP RESUMO'!AE15)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HISTORICOS'!AG15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273009.59</v>
      </c>
      <c r="M34" s="62">
        <f>MAX(0,'CP RESUMO'!AG15-'CP RESUMO'!AF15)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HISTORICOS'!AH15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218406.22</v>
      </c>
      <c r="M35" s="62">
        <f>MAX(0,'CP RESUMO'!AH15-'CP RESUMO'!AG15)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HISTORICOS'!AI15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267270.57</v>
      </c>
      <c r="M36" s="62">
        <f>MAX(0,'CP RESUMO'!AI15-'CP RESUMO'!AH15)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HISTORICOS'!AJ15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233262.22</v>
      </c>
      <c r="M37" s="62">
        <f>MAX(0,'CP RESUMO'!AJ15-'CP RESUMO'!AI15)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HISTORICOS'!AK15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229592.22</v>
      </c>
      <c r="M38" s="62">
        <f>MAX(0,'CP RESUMO'!AK15-'CP RESUMO'!AJ15)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HISTORICOS'!AL15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286769.57</v>
      </c>
      <c r="M39" s="62">
        <f>MAX(0,'CP RESUMO'!AL15-'CP RESUMO'!AK15)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HISTORICOS'!AM15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327219.86</v>
      </c>
      <c r="M40" s="62">
        <f>MAX(0,'CP RESUMO'!AM15-'CP RESUMO'!AL15)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HISTORICOS'!AN15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263647.68</v>
      </c>
      <c r="M41" s="62">
        <f>MAX(0,'CP RESUMO'!AN15-'CP RESUMO'!AM15)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HISTORICOS'!AO15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245007.68</v>
      </c>
      <c r="M42" s="62">
        <f>MAX(0,'CP RESUMO'!AO15-'CP RESUMO'!AN15)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HISTORICOS'!AP15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249007.68</v>
      </c>
      <c r="M43" s="62">
        <f>MAX(0,'CP RESUMO'!AP15-'CP RESUMO'!AO15)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HISTORICOS'!AQ15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239688.68</v>
      </c>
      <c r="M44" s="62">
        <f>MAX(0,'CP RESUMO'!AQ15-'CP RESUMO'!AP15)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HISTORICOS'!AR15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250628.68</v>
      </c>
      <c r="M45" s="62">
        <f>MAX(0,'CP RESUMO'!AR15-'CP RESUMO'!AQ15)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HISTORICOS'!AS15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263254.68</v>
      </c>
      <c r="M46" s="62">
        <f>MAX(0,'CP RESUMO'!AS15-'CP RESUMO'!AR15)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HISTORICOS'!AT15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249749.3</v>
      </c>
      <c r="M47" s="62">
        <f>MAX(0,'CP RESUMO'!AT15-'CP RESUMO'!AS15)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HISTORICOS'!AU15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260865.91</v>
      </c>
      <c r="M48" s="62">
        <f>MAX(0,'CP RESUMO'!AU15-'CP RESUMO'!AT15)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HISTORICOS'!AV15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318689.62</v>
      </c>
      <c r="M49" s="62">
        <f>MAX(0,'CP RESUMO'!AV15-'CP RESUMO'!AU15)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HISTORICOS'!AW15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209920.3</v>
      </c>
      <c r="M50" s="62">
        <f>MAX(0,'CP RESUMO'!AW15-'CP RESUMO'!AV15)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HISTORICOS'!AX15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233466.97</v>
      </c>
      <c r="M51" s="62">
        <f>MAX(0,'CP RESUMO'!AX15-'CP RESUMO'!AW15)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HISTORICOS'!AY15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18744.2</v>
      </c>
      <c r="M52" s="62">
        <f>MAX(0,'CP RESUMO'!AY15-'CP RESUMO'!AX15)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HISTORICOS'!AZ15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109412.33</v>
      </c>
      <c r="M53" s="62">
        <f>MAX(0,'CP RESUMO'!AZ15-'CP RESUMO'!AY15)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HISTORICOS'!BA15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104432.33</v>
      </c>
      <c r="M54" s="62">
        <f>MAX(0,'CP RESUMO'!BA15-'CP RESUMO'!AZ15)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HISTORICOS'!BB15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86124.89</v>
      </c>
      <c r="M55" s="62">
        <f>MAX(0,'CP RESUMO'!BB15-'CP RESUMO'!BA15)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HISTORICOS'!BC15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6352.27</v>
      </c>
      <c r="M56" s="62">
        <f>MAX(0,'CP RESUMO'!BC15-'CP RESUMO'!BB15)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HISTORICOS'!BD15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>
        <v>2864.27</v>
      </c>
      <c r="M57" s="62">
        <f>MAX(0,'CP RESUMO'!BD15-'CP RESUMO'!BC15)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HISTORICOS'!BE15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>
        <v>2864.27</v>
      </c>
      <c r="M58" s="62">
        <f>MAX(0,'CP RESUMO'!BE15-'CP RESUMO'!BD15)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HISTORICOS'!BF15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RESUMO'!BF15-'CP RESUMO'!BE15)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HISTORICOS'!BG15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RESUMO'!BG15-'CP RESUMO'!BF15)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HISTORICOS'!BH15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RESUMO'!BH15-'CP RESUMO'!BG15)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HISTORICOS'!BI15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RESUMO'!BI15-'CP RESUMO'!BH15)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HISTORICOS'!BJ15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RESUMO'!BJ15-'CP RESUMO'!BI15)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HISTORICOS'!BK15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RESUMO'!BK15-'CP RESUMO'!BJ15)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HISTORICOS'!BL15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RESUMO'!BL15-'CP RESUMO'!BK15)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HISTORICOS'!BM15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RESUMO'!BM15-'CP RESUMO'!BL15)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HISTORICOS'!BN15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RESUMO'!BN15-'CP RESUMO'!BM15)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HISTORICOS'!BO15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RESUMO'!BO15-'CP RESUMO'!BN15)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HISTORICOS'!BP15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RESUMO'!BP15-'CP RESUMO'!BO15)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HISTORICOS'!BQ15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RESUMO'!BQ15-'CP RESUMO'!BP15)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HISTORICOS'!BR15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RESUMO'!BR15-'CP RESUMO'!BQ15)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HISTORICOS'!BS15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RESUMO'!BS15-'CP RESUMO'!BR15)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HISTORICOS'!BT15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RESUMO'!BT15-'CP RESUMO'!BS15)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HISTORICOS'!BU15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RESUMO'!BU15-'CP RESUMO'!BT15)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HISTORICOS'!BV15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RESUMO'!BV15-'CP RESUMO'!BU15)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HISTORICOS'!BW15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RESUMO'!BW15-'CP RESUMO'!BV15)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PL'!D22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HISTORICOS'!D16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PL'!F22</f>
        <v/>
      </c>
      <c r="K5" s="37">
        <f>'VALOR POR PL'!G22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HISTORICOS'!E16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RESUMO'!E16-'CP RESUMO'!D16)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HISTORICOS'!F16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PL'!L22</f>
        <v/>
      </c>
      <c r="M7" s="62">
        <f>MAX(0,'CP RESUMO'!F16-'CP RESUMO'!E16)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HISTORICOS'!G16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RESUMO'!G16-'CP RESUMO'!F16)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HISTORICOS'!H16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RESUMO'!H16-'CP RESUMO'!G16)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HISTORICOS'!I16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RESUMO'!I16-'CP RESUMO'!H16)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HISTORICOS'!J16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RESUMO'!J16-'CP RESUMO'!I16)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HISTORICOS'!K16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RESUMO'!K16-'CP RESUMO'!J16)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HISTORICOS'!L16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RESUMO'!L16-'CP RESUMO'!K16)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HISTORICOS'!M16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RESUMO'!M16-'CP RESUMO'!L16)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HISTORICOS'!N16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RESUMO'!N16-'CP RESUMO'!M16)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HISTORICOS'!O16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RESUMO'!O16-'CP RESUMO'!N16)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HISTORICOS'!P16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RESUMO'!P16-'CP RESUMO'!O16)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HISTORICOS'!Q16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RESUMO'!Q16-'CP RESUMO'!P16)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HISTORICOS'!R16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RESUMO'!R16-'CP RESUMO'!Q16)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HISTORICOS'!S16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RESUMO'!S16-'CP RESUMO'!R16)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HISTORICOS'!T16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RESUMO'!T16-'CP RESUMO'!S16)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HISTORICOS'!U16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RESUMO'!U16-'CP RESUMO'!T16)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HISTORICOS'!V16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RESUMO'!V16-'CP RESUMO'!U16)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HISTORICOS'!W16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RESUMO'!W16-'CP RESUMO'!V16)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HISTORICOS'!X16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RESUMO'!X16-'CP RESUMO'!W16)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HISTORICOS'!Y16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RESUMO'!Y16-'CP RESUMO'!X16)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HISTORICOS'!Z16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RESUMO'!Z16-'CP RESUMO'!Y16)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HISTORICOS'!AA16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RESUMO'!AA16-'CP RESUMO'!Z16)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HISTORICOS'!AB16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RESUMO'!AB16-'CP RESUMO'!AA16)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HISTORICOS'!AC16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RESUMO'!AC16-'CP RESUMO'!AB16)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HISTORICOS'!AD16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RESUMO'!AD16-'CP RESUMO'!AC16)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HISTORICOS'!AE16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RESUMO'!AE16-'CP RESUMO'!AD16)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HISTORICOS'!AF16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56654.6</v>
      </c>
      <c r="M33" s="62">
        <f>MAX(0,'CP RESUMO'!AF16-'CP RESUMO'!AE16)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HISTORICOS'!AG16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RESUMO'!AG16-'CP RESUMO'!AF16)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HISTORICOS'!AH16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RESUMO'!AH16-'CP RESUMO'!AG16)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HISTORICOS'!AI16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RESUMO'!AI16-'CP RESUMO'!AH16)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HISTORICOS'!AJ16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RESUMO'!AJ16-'CP RESUMO'!AI16)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HISTORICOS'!AK16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RESUMO'!AK16-'CP RESUMO'!AJ16)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HISTORICOS'!AL16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RESUMO'!AL16-'CP RESUMO'!AK16)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HISTORICOS'!AM16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RESUMO'!AM16-'CP RESUMO'!AL16)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HISTORICOS'!AN16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RESUMO'!AN16-'CP RESUMO'!AM16)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HISTORICOS'!AO16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RESUMO'!AO16-'CP RESUMO'!AN16)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HISTORICOS'!AP16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RESUMO'!AP16-'CP RESUMO'!AO16)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HISTORICOS'!AQ16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RESUMO'!AQ16-'CP RESUMO'!AP16)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HISTORICOS'!AR16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/>
      <c r="M45" s="62">
        <f>MAX(0,'CP RESUMO'!AR16-'CP RESUMO'!AQ16)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HISTORICOS'!AS16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RESUMO'!AS16-'CP RESUMO'!AR16)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HISTORICOS'!AT16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RESUMO'!AT16-'CP RESUMO'!AS16)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HISTORICOS'!AU16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RESUMO'!AU16-'CP RESUMO'!AT16)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HISTORICOS'!AV16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RESUMO'!AV16-'CP RESUMO'!AU16)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HISTORICOS'!AW16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RESUMO'!AW16-'CP RESUMO'!AV16)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HISTORICOS'!AX16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RESUMO'!AX16-'CP RESUMO'!AW16)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HISTORICOS'!AY16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RESUMO'!AY16-'CP RESUMO'!AX16)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HISTORICOS'!AZ16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RESUMO'!AZ16-'CP RESUMO'!AY16)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HISTORICOS'!BA16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RESUMO'!BA16-'CP RESUMO'!AZ16)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HISTORICOS'!BB16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RESUMO'!BB16-'CP RESUMO'!BA16)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HISTORICOS'!BC16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RESUMO'!BC16-'CP RESUMO'!BB16)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HISTORICOS'!BD16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RESUMO'!BD16-'CP RESUMO'!BC16)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HISTORICOS'!BE16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RESUMO'!BE16-'CP RESUMO'!BD16)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HISTORICOS'!BF16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RESUMO'!BF16-'CP RESUMO'!BE16)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HISTORICOS'!BG16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RESUMO'!BG16-'CP RESUMO'!BF16)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HISTORICOS'!BH16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RESUMO'!BH16-'CP RESUMO'!BG16)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HISTORICOS'!BI16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RESUMO'!BI16-'CP RESUMO'!BH16)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HISTORICOS'!BJ16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RESUMO'!BJ16-'CP RESUMO'!BI16)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HISTORICOS'!BK16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RESUMO'!BK16-'CP RESUMO'!BJ16)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HISTORICOS'!BL16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RESUMO'!BL16-'CP RESUMO'!BK16)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HISTORICOS'!BM16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RESUMO'!BM16-'CP RESUMO'!BL16)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HISTORICOS'!BN16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RESUMO'!BN16-'CP RESUMO'!BM16)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HISTORICOS'!BO16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RESUMO'!BO16-'CP RESUMO'!BN16)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HISTORICOS'!BP16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RESUMO'!BP16-'CP RESUMO'!BO16)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HISTORICOS'!BQ16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RESUMO'!BQ16-'CP RESUMO'!BP16)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HISTORICOS'!BR16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RESUMO'!BR16-'CP RESUMO'!BQ16)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HISTORICOS'!BS16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RESUMO'!BS16-'CP RESUMO'!BR16)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HISTORICOS'!BT16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RESUMO'!BT16-'CP RESUMO'!BS16)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HISTORICOS'!BU16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RESUMO'!BU16-'CP RESUMO'!BT16)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HISTORICOS'!BV16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RESUMO'!BV16-'CP RESUMO'!BU16)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HISTORICOS'!BW16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RESUMO'!BW16-'CP RESUMO'!BV16)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PL'!D23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HISTORICOS'!D17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PL'!F23</f>
        <v/>
      </c>
      <c r="K5" s="37">
        <f>'VALOR POR PL'!G23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HISTORICOS'!E17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RESUMO'!E17-'CP RESUMO'!D17)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HISTORICOS'!F17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PL'!L23</f>
        <v/>
      </c>
      <c r="M7" s="62">
        <f>MAX(0,'CP RESUMO'!F17-'CP RESUMO'!E17)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HISTORICOS'!G17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RESUMO'!G17-'CP RESUMO'!F17)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HISTORICOS'!H17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RESUMO'!H17-'CP RESUMO'!G17)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HISTORICOS'!I17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RESUMO'!I17-'CP RESUMO'!H17)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HISTORICOS'!J17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RESUMO'!J17-'CP RESUMO'!I17)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HISTORICOS'!K17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RESUMO'!K17-'CP RESUMO'!J17)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HISTORICOS'!L17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RESUMO'!L17-'CP RESUMO'!K17)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HISTORICOS'!M17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RESUMO'!M17-'CP RESUMO'!L17)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HISTORICOS'!N17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RESUMO'!N17-'CP RESUMO'!M17)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HISTORICOS'!O17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RESUMO'!O17-'CP RESUMO'!N17)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HISTORICOS'!P17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RESUMO'!P17-'CP RESUMO'!O17)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HISTORICOS'!Q17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RESUMO'!Q17-'CP RESUMO'!P17)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HISTORICOS'!R17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RESUMO'!R17-'CP RESUMO'!Q17)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HISTORICOS'!S17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RESUMO'!S17-'CP RESUMO'!R17)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HISTORICOS'!T17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RESUMO'!T17-'CP RESUMO'!S17)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HISTORICOS'!U17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RESUMO'!U17-'CP RESUMO'!T17)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HISTORICOS'!V17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RESUMO'!V17-'CP RESUMO'!U17)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HISTORICOS'!W17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RESUMO'!W17-'CP RESUMO'!V17)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HISTORICOS'!X17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RESUMO'!X17-'CP RESUMO'!W17)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HISTORICOS'!Y17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RESUMO'!Y17-'CP RESUMO'!X17)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HISTORICOS'!Z17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70000</v>
      </c>
      <c r="M27" s="62">
        <f>MAX(0,'CP RESUMO'!Z17-'CP RESUMO'!Y17)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HISTORICOS'!AA17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70000</v>
      </c>
      <c r="M28" s="62">
        <f>MAX(0,'CP RESUMO'!AA17-'CP RESUMO'!Z17)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HISTORICOS'!AB17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RESUMO'!AB17-'CP RESUMO'!AA17)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HISTORICOS'!AC17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130000</v>
      </c>
      <c r="M30" s="62">
        <f>MAX(0,'CP RESUMO'!AC17-'CP RESUMO'!AB17)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HISTORICOS'!AD17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114571.25</v>
      </c>
      <c r="M31" s="62">
        <f>MAX(0,'CP RESUMO'!AD17-'CP RESUMO'!AC17)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HISTORICOS'!AE17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RESUMO'!AE17-'CP RESUMO'!AD17)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HISTORICOS'!AF17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RESUMO'!AF17-'CP RESUMO'!AE17)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HISTORICOS'!AG17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RESUMO'!AG17-'CP RESUMO'!AF17)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HISTORICOS'!AH17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RESUMO'!AH17-'CP RESUMO'!AG17)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HISTORICOS'!AI17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RESUMO'!AI17-'CP RESUMO'!AH17)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HISTORICOS'!AJ17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RESUMO'!AJ17-'CP RESUMO'!AI17)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HISTORICOS'!AK17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RESUMO'!AK17-'CP RESUMO'!AJ17)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HISTORICOS'!AL17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RESUMO'!AL17-'CP RESUMO'!AK17)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HISTORICOS'!AM17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RESUMO'!AM17-'CP RESUMO'!AL17)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HISTORICOS'!AN17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RESUMO'!AN17-'CP RESUMO'!AM17)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HISTORICOS'!AO17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RESUMO'!AO17-'CP RESUMO'!AN17)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HISTORICOS'!AP17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RESUMO'!AP17-'CP RESUMO'!AO17)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HISTORICOS'!AQ17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RESUMO'!AQ17-'CP RESUMO'!AP17)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HISTORICOS'!AR17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/>
      <c r="M45" s="62">
        <f>MAX(0,'CP RESUMO'!AR17-'CP RESUMO'!AQ17)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HISTORICOS'!AS17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RESUMO'!AS17-'CP RESUMO'!AR17)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HISTORICOS'!AT17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RESUMO'!AT17-'CP RESUMO'!AS17)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HISTORICOS'!AU17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RESUMO'!AU17-'CP RESUMO'!AT17)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HISTORICOS'!AV17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RESUMO'!AV17-'CP RESUMO'!AU17)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HISTORICOS'!AW17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RESUMO'!AW17-'CP RESUMO'!AV17)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HISTORICOS'!AX17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RESUMO'!AX17-'CP RESUMO'!AW17)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HISTORICOS'!AY17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RESUMO'!AY17-'CP RESUMO'!AX17)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HISTORICOS'!AZ17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RESUMO'!AZ17-'CP RESUMO'!AY17)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HISTORICOS'!BA17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RESUMO'!BA17-'CP RESUMO'!AZ17)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HISTORICOS'!BB17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RESUMO'!BB17-'CP RESUMO'!BA17)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HISTORICOS'!BC17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RESUMO'!BC17-'CP RESUMO'!BB17)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HISTORICOS'!BD17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RESUMO'!BD17-'CP RESUMO'!BC17)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HISTORICOS'!BE17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RESUMO'!BE17-'CP RESUMO'!BD17)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HISTORICOS'!BF17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RESUMO'!BF17-'CP RESUMO'!BE17)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HISTORICOS'!BG17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RESUMO'!BG17-'CP RESUMO'!BF17)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HISTORICOS'!BH17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RESUMO'!BH17-'CP RESUMO'!BG17)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HISTORICOS'!BI17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RESUMO'!BI17-'CP RESUMO'!BH17)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HISTORICOS'!BJ17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RESUMO'!BJ17-'CP RESUMO'!BI17)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HISTORICOS'!BK17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RESUMO'!BK17-'CP RESUMO'!BJ17)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HISTORICOS'!BL17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RESUMO'!BL17-'CP RESUMO'!BK17)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HISTORICOS'!BM17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RESUMO'!BM17-'CP RESUMO'!BL17)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HISTORICOS'!BN17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RESUMO'!BN17-'CP RESUMO'!BM17)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HISTORICOS'!BO17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RESUMO'!BO17-'CP RESUMO'!BN17)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HISTORICOS'!BP17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RESUMO'!BP17-'CP RESUMO'!BO17)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HISTORICOS'!BQ17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RESUMO'!BQ17-'CP RESUMO'!BP17)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HISTORICOS'!BR17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RESUMO'!BR17-'CP RESUMO'!BQ17)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HISTORICOS'!BS17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RESUMO'!BS17-'CP RESUMO'!BR17)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HISTORICOS'!BT17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RESUMO'!BT17-'CP RESUMO'!BS17)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HISTORICOS'!BU17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RESUMO'!BU17-'CP RESUMO'!BT17)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HISTORICOS'!BV17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RESUMO'!BV17-'CP RESUMO'!BU17)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HISTORICOS'!BW17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RESUMO'!BW17-'CP RESUMO'!BV17)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PL'!D24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HISTORICOS'!D18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PL'!F24</f>
        <v/>
      </c>
      <c r="K5" s="37">
        <f>'VALOR POR PL'!G24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HISTORICOS'!E18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RESUMO'!E18-'CP RESUMO'!D18)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HISTORICOS'!F18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PL'!L24</f>
        <v/>
      </c>
      <c r="M7" s="62">
        <f>MAX(0,'CP RESUMO'!F18-'CP RESUMO'!E18)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HISTORICOS'!G18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RESUMO'!G18-'CP RESUMO'!F18)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HISTORICOS'!H18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RESUMO'!H18-'CP RESUMO'!G18)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HISTORICOS'!I18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RESUMO'!I18-'CP RESUMO'!H18)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HISTORICOS'!J18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RESUMO'!J18-'CP RESUMO'!I18)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HISTORICOS'!K18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RESUMO'!K18-'CP RESUMO'!J18)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HISTORICOS'!L18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RESUMO'!L18-'CP RESUMO'!K18)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HISTORICOS'!M18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RESUMO'!M18-'CP RESUMO'!L18)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HISTORICOS'!N18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RESUMO'!N18-'CP RESUMO'!M18)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HISTORICOS'!O18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RESUMO'!O18-'CP RESUMO'!N18)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HISTORICOS'!P18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RESUMO'!P18-'CP RESUMO'!O18)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HISTORICOS'!Q18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RESUMO'!Q18-'CP RESUMO'!P18)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HISTORICOS'!R18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RESUMO'!R18-'CP RESUMO'!Q18)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HISTORICOS'!S18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RESUMO'!S18-'CP RESUMO'!R18)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HISTORICOS'!T18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RESUMO'!T18-'CP RESUMO'!S18)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HISTORICOS'!U18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RESUMO'!U18-'CP RESUMO'!T18)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HISTORICOS'!V18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RESUMO'!V18-'CP RESUMO'!U18)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HISTORICOS'!W18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RESUMO'!W18-'CP RESUMO'!V18)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HISTORICOS'!X18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RESUMO'!X18-'CP RESUMO'!W18)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HISTORICOS'!Y18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>
        <v>50000</v>
      </c>
      <c r="M26" s="62">
        <f>MAX(0,'CP RESUMO'!Y18-'CP RESUMO'!X18)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HISTORICOS'!Z18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75000</v>
      </c>
      <c r="M27" s="62">
        <f>MAX(0,'CP RESUMO'!Z18-'CP RESUMO'!Y18)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HISTORICOS'!AA18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75000</v>
      </c>
      <c r="M28" s="62">
        <f>MAX(0,'CP RESUMO'!AA18-'CP RESUMO'!Z18)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HISTORICOS'!AB18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RESUMO'!AB18-'CP RESUMO'!AA18)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HISTORICOS'!AC18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RESUMO'!AC18-'CP RESUMO'!AB18)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HISTORICOS'!AD18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RESUMO'!AD18-'CP RESUMO'!AC18)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HISTORICOS'!AE18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RESUMO'!AE18-'CP RESUMO'!AD18)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HISTORICOS'!AF18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51741.15</v>
      </c>
      <c r="M33" s="62">
        <f>MAX(0,'CP RESUMO'!AF18-'CP RESUMO'!AE18)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HISTORICOS'!AG18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RESUMO'!AG18-'CP RESUMO'!AF18)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HISTORICOS'!AH18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RESUMO'!AH18-'CP RESUMO'!AG18)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HISTORICOS'!AI18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RESUMO'!AI18-'CP RESUMO'!AH18)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HISTORICOS'!AJ18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RESUMO'!AJ18-'CP RESUMO'!AI18)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HISTORICOS'!AK18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RESUMO'!AK18-'CP RESUMO'!AJ18)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HISTORICOS'!AL18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RESUMO'!AL18-'CP RESUMO'!AK18)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HISTORICOS'!AM18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RESUMO'!AM18-'CP RESUMO'!AL18)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HISTORICOS'!AN18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RESUMO'!AN18-'CP RESUMO'!AM18)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HISTORICOS'!AO18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RESUMO'!AO18-'CP RESUMO'!AN18)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HISTORICOS'!AP18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RESUMO'!AP18-'CP RESUMO'!AO18)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HISTORICOS'!AQ18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RESUMO'!AQ18-'CP RESUMO'!AP18)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HISTORICOS'!AR18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/>
      <c r="M45" s="62">
        <f>MAX(0,'CP RESUMO'!AR18-'CP RESUMO'!AQ18)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HISTORICOS'!AS18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RESUMO'!AS18-'CP RESUMO'!AR18)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HISTORICOS'!AT18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RESUMO'!AT18-'CP RESUMO'!AS18)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HISTORICOS'!AU18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RESUMO'!AU18-'CP RESUMO'!AT18)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HISTORICOS'!AV18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RESUMO'!AV18-'CP RESUMO'!AU18)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HISTORICOS'!AW18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RESUMO'!AW18-'CP RESUMO'!AV18)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HISTORICOS'!AX18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RESUMO'!AX18-'CP RESUMO'!AW18)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HISTORICOS'!AY18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RESUMO'!AY18-'CP RESUMO'!AX18)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HISTORICOS'!AZ18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RESUMO'!AZ18-'CP RESUMO'!AY18)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HISTORICOS'!BA18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RESUMO'!BA18-'CP RESUMO'!AZ18)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HISTORICOS'!BB18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RESUMO'!BB18-'CP RESUMO'!BA18)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HISTORICOS'!BC18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RESUMO'!BC18-'CP RESUMO'!BB18)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HISTORICOS'!BD18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RESUMO'!BD18-'CP RESUMO'!BC18)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HISTORICOS'!BE18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RESUMO'!BE18-'CP RESUMO'!BD18)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HISTORICOS'!BF18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RESUMO'!BF18-'CP RESUMO'!BE18)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HISTORICOS'!BG18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RESUMO'!BG18-'CP RESUMO'!BF18)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HISTORICOS'!BH18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RESUMO'!BH18-'CP RESUMO'!BG18)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HISTORICOS'!BI18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RESUMO'!BI18-'CP RESUMO'!BH18)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HISTORICOS'!BJ18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RESUMO'!BJ18-'CP RESUMO'!BI18)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HISTORICOS'!BK18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RESUMO'!BK18-'CP RESUMO'!BJ18)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HISTORICOS'!BL18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RESUMO'!BL18-'CP RESUMO'!BK18)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HISTORICOS'!BM18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RESUMO'!BM18-'CP RESUMO'!BL18)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HISTORICOS'!BN18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RESUMO'!BN18-'CP RESUMO'!BM18)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HISTORICOS'!BO18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RESUMO'!BO18-'CP RESUMO'!BN18)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HISTORICOS'!BP18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RESUMO'!BP18-'CP RESUMO'!BO18)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HISTORICOS'!BQ18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RESUMO'!BQ18-'CP RESUMO'!BP18)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HISTORICOS'!BR18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RESUMO'!BR18-'CP RESUMO'!BQ18)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HISTORICOS'!BS18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RESUMO'!BS18-'CP RESUMO'!BR18)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HISTORICOS'!BT18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RESUMO'!BT18-'CP RESUMO'!BS18)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HISTORICOS'!BU18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RESUMO'!BU18-'CP RESUMO'!BT18)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HISTORICOS'!BV18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RESUMO'!BV18-'CP RESUMO'!BU18)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HISTORICOS'!BW18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RESUMO'!BW18-'CP RESUMO'!BV18)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PL'!D25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HISTORICOS'!D19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PL'!F25</f>
        <v/>
      </c>
      <c r="K5" s="37">
        <f>'VALOR POR PL'!G25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HISTORICOS'!E19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RESUMO'!E19-'CP RESUMO'!D19)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HISTORICOS'!F19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PL'!L25</f>
        <v/>
      </c>
      <c r="M7" s="62">
        <f>MAX(0,'CP RESUMO'!F19-'CP RESUMO'!E19)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HISTORICOS'!G19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RESUMO'!G19-'CP RESUMO'!F19)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HISTORICOS'!H19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RESUMO'!H19-'CP RESUMO'!G19)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HISTORICOS'!I19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RESUMO'!I19-'CP RESUMO'!H19)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HISTORICOS'!J19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RESUMO'!J19-'CP RESUMO'!I19)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HISTORICOS'!K19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RESUMO'!K19-'CP RESUMO'!J19)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HISTORICOS'!L19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RESUMO'!L19-'CP RESUMO'!K19)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HISTORICOS'!M19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RESUMO'!M19-'CP RESUMO'!L19)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HISTORICOS'!N19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RESUMO'!N19-'CP RESUMO'!M19)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HISTORICOS'!O19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RESUMO'!O19-'CP RESUMO'!N19)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HISTORICOS'!P19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RESUMO'!P19-'CP RESUMO'!O19)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HISTORICOS'!Q19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RESUMO'!Q19-'CP RESUMO'!P19)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HISTORICOS'!R19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RESUMO'!R19-'CP RESUMO'!Q19)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HISTORICOS'!S19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RESUMO'!S19-'CP RESUMO'!R19)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HISTORICOS'!T19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RESUMO'!T19-'CP RESUMO'!S19)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HISTORICOS'!U19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RESUMO'!U19-'CP RESUMO'!T19)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HISTORICOS'!V19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RESUMO'!V19-'CP RESUMO'!U19)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HISTORICOS'!W19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RESUMO'!W19-'CP RESUMO'!V19)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HISTORICOS'!X19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RESUMO'!X19-'CP RESUMO'!W19)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HISTORICOS'!Y19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RESUMO'!Y19-'CP RESUMO'!X19)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HISTORICOS'!Z19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RESUMO'!Z19-'CP RESUMO'!Y19)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HISTORICOS'!AA19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RESUMO'!AA19-'CP RESUMO'!Z19)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HISTORICOS'!AB19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RESUMO'!AB19-'CP RESUMO'!AA19)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HISTORICOS'!AC19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RESUMO'!AC19-'CP RESUMO'!AB19)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HISTORICOS'!AD19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RESUMO'!AD19-'CP RESUMO'!AC19)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HISTORICOS'!AE19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RESUMO'!AE19-'CP RESUMO'!AD19)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HISTORICOS'!AF19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RESUMO'!AF19-'CP RESUMO'!AE19)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HISTORICOS'!AG19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RESUMO'!AG19-'CP RESUMO'!AF19)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HISTORICOS'!AH19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RESUMO'!AH19-'CP RESUMO'!AG19)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HISTORICOS'!AI19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RESUMO'!AI19-'CP RESUMO'!AH19)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HISTORICOS'!AJ19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RESUMO'!AJ19-'CP RESUMO'!AI19)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HISTORICOS'!AK19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RESUMO'!AK19-'CP RESUMO'!AJ19)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HISTORICOS'!AL19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RESUMO'!AL19-'CP RESUMO'!AK19)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HISTORICOS'!AM19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RESUMO'!AM19-'CP RESUMO'!AL19)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HISTORICOS'!AN19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RESUMO'!AN19-'CP RESUMO'!AM19)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HISTORICOS'!AO19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RESUMO'!AO19-'CP RESUMO'!AN19)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HISTORICOS'!AP19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RESUMO'!AP19-'CP RESUMO'!AO19)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HISTORICOS'!AQ19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RESUMO'!AQ19-'CP RESUMO'!AP19)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HISTORICOS'!AR19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/>
      <c r="M45" s="62">
        <f>MAX(0,'CP RESUMO'!AR19-'CP RESUMO'!AQ19)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HISTORICOS'!AS19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RESUMO'!AS19-'CP RESUMO'!AR19)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HISTORICOS'!AT19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RESUMO'!AT19-'CP RESUMO'!AS19)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HISTORICOS'!AU19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RESUMO'!AU19-'CP RESUMO'!AT19)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HISTORICOS'!AV19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RESUMO'!AV19-'CP RESUMO'!AU19)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HISTORICOS'!AW19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RESUMO'!AW19-'CP RESUMO'!AV19)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HISTORICOS'!AX19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RESUMO'!AX19-'CP RESUMO'!AW19)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HISTORICOS'!AY19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RESUMO'!AY19-'CP RESUMO'!AX19)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HISTORICOS'!AZ19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RESUMO'!AZ19-'CP RESUMO'!AY19)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HISTORICOS'!BA19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RESUMO'!BA19-'CP RESUMO'!AZ19)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HISTORICOS'!BB19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RESUMO'!BB19-'CP RESUMO'!BA19)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HISTORICOS'!BC19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RESUMO'!BC19-'CP RESUMO'!BB19)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HISTORICOS'!BD19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RESUMO'!BD19-'CP RESUMO'!BC19)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HISTORICOS'!BE19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RESUMO'!BE19-'CP RESUMO'!BD19)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HISTORICOS'!BF19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RESUMO'!BF19-'CP RESUMO'!BE19)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HISTORICOS'!BG19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RESUMO'!BG19-'CP RESUMO'!BF19)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HISTORICOS'!BH19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RESUMO'!BH19-'CP RESUMO'!BG19)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HISTORICOS'!BI19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RESUMO'!BI19-'CP RESUMO'!BH19)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HISTORICOS'!BJ19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RESUMO'!BJ19-'CP RESUMO'!BI19)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HISTORICOS'!BK19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RESUMO'!BK19-'CP RESUMO'!BJ19)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HISTORICOS'!BL19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RESUMO'!BL19-'CP RESUMO'!BK19)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HISTORICOS'!BM19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RESUMO'!BM19-'CP RESUMO'!BL19)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HISTORICOS'!BN19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RESUMO'!BN19-'CP RESUMO'!BM19)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HISTORICOS'!BO19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RESUMO'!BO19-'CP RESUMO'!BN19)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HISTORICOS'!BP19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RESUMO'!BP19-'CP RESUMO'!BO19)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HISTORICOS'!BQ19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RESUMO'!BQ19-'CP RESUMO'!BP19)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HISTORICOS'!BR19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RESUMO'!BR19-'CP RESUMO'!BQ19)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HISTORICOS'!BS19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RESUMO'!BS19-'CP RESUMO'!BR19)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HISTORICOS'!BT19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RESUMO'!BT19-'CP RESUMO'!BS19)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HISTORICOS'!BU19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RESUMO'!BU19-'CP RESUMO'!BT19)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HISTORICOS'!BV19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RESUMO'!BV19-'CP RESUMO'!BU19)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HISTORICOS'!BW19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RESUMO'!BW19-'CP RESUMO'!BV19)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PL'!D26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HISTORICOS'!D20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PL'!F26</f>
        <v/>
      </c>
      <c r="K5" s="37">
        <f>'VALOR POR PL'!G26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HISTORICOS'!E20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RESUMO'!E20-'CP RESUMO'!D20)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HISTORICOS'!F20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PL'!L26</f>
        <v/>
      </c>
      <c r="M7" s="62">
        <f>MAX(0,'CP RESUMO'!F20-'CP RESUMO'!E20)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HISTORICOS'!G20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RESUMO'!G20-'CP RESUMO'!F20)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HISTORICOS'!H20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RESUMO'!H20-'CP RESUMO'!G20)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HISTORICOS'!I20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RESUMO'!I20-'CP RESUMO'!H20)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HISTORICOS'!J20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RESUMO'!J20-'CP RESUMO'!I20)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HISTORICOS'!K20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RESUMO'!K20-'CP RESUMO'!J20)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HISTORICOS'!L20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RESUMO'!L20-'CP RESUMO'!K20)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HISTORICOS'!M20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RESUMO'!M20-'CP RESUMO'!L20)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HISTORICOS'!N20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RESUMO'!N20-'CP RESUMO'!M20)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HISTORICOS'!O20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RESUMO'!O20-'CP RESUMO'!N20)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HISTORICOS'!P20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RESUMO'!P20-'CP RESUMO'!O20)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HISTORICOS'!Q20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RESUMO'!Q20-'CP RESUMO'!P20)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HISTORICOS'!R20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RESUMO'!R20-'CP RESUMO'!Q20)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HISTORICOS'!S20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RESUMO'!S20-'CP RESUMO'!R20)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HISTORICOS'!T20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RESUMO'!T20-'CP RESUMO'!S20)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HISTORICOS'!U20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RESUMO'!U20-'CP RESUMO'!T20)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HISTORICOS'!V20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RESUMO'!V20-'CP RESUMO'!U20)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HISTORICOS'!W20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RESUMO'!W20-'CP RESUMO'!V20)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HISTORICOS'!X20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RESUMO'!X20-'CP RESUMO'!W20)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HISTORICOS'!Y20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RESUMO'!Y20-'CP RESUMO'!X20)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HISTORICOS'!Z20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50000</v>
      </c>
      <c r="M27" s="62">
        <f>MAX(0,'CP RESUMO'!Z20-'CP RESUMO'!Y20)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HISTORICOS'!AA20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50000</v>
      </c>
      <c r="M28" s="62">
        <f>MAX(0,'CP RESUMO'!AA20-'CP RESUMO'!Z20)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HISTORICOS'!AB20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RESUMO'!AB20-'CP RESUMO'!AA20)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HISTORICOS'!AC20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RESUMO'!AC20-'CP RESUMO'!AB20)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HISTORICOS'!AD20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RESUMO'!AD20-'CP RESUMO'!AC20)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HISTORICOS'!AE20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RESUMO'!AE20-'CP RESUMO'!AD20)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HISTORICOS'!AF20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250000</v>
      </c>
      <c r="M33" s="62">
        <f>MAX(0,'CP RESUMO'!AF20-'CP RESUMO'!AE20)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HISTORICOS'!AG20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250000</v>
      </c>
      <c r="M34" s="62">
        <f>MAX(0,'CP RESUMO'!AG20-'CP RESUMO'!AF20)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HISTORICOS'!AH20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200000</v>
      </c>
      <c r="M35" s="62">
        <f>MAX(0,'CP RESUMO'!AH20-'CP RESUMO'!AG20)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HISTORICOS'!AI20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125000</v>
      </c>
      <c r="M36" s="62">
        <f>MAX(0,'CP RESUMO'!AI20-'CP RESUMO'!AH20)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HISTORICOS'!AJ20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RESUMO'!AJ20-'CP RESUMO'!AI20)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HISTORICOS'!AK20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RESUMO'!AK20-'CP RESUMO'!AJ20)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HISTORICOS'!AL20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RESUMO'!AL20-'CP RESUMO'!AK20)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HISTORICOS'!AM20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92971.37</v>
      </c>
      <c r="M40" s="62">
        <f>MAX(0,'CP RESUMO'!AM20-'CP RESUMO'!AL20)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HISTORICOS'!AN20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RESUMO'!AN20-'CP RESUMO'!AM20)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HISTORICOS'!AO20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RESUMO'!AO20-'CP RESUMO'!AN20)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HISTORICOS'!AP20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RESUMO'!AP20-'CP RESUMO'!AO20)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HISTORICOS'!AQ20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125000</v>
      </c>
      <c r="M44" s="62">
        <f>MAX(0,'CP RESUMO'!AQ20-'CP RESUMO'!AP20)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HISTORICOS'!AR20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124994.68</v>
      </c>
      <c r="M45" s="62">
        <f>MAX(0,'CP RESUMO'!AR20-'CP RESUMO'!AQ20)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HISTORICOS'!AS20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RESUMO'!AS20-'CP RESUMO'!AR20)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HISTORICOS'!AT20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RESUMO'!AT20-'CP RESUMO'!AS20)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HISTORICOS'!AU20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RESUMO'!AU20-'CP RESUMO'!AT20)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HISTORICOS'!AV20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RESUMO'!AV20-'CP RESUMO'!AU20)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HISTORICOS'!AW20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RESUMO'!AW20-'CP RESUMO'!AV20)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HISTORICOS'!AX20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RESUMO'!AX20-'CP RESUMO'!AW20)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HISTORICOS'!AY20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RESUMO'!AY20-'CP RESUMO'!AX20)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HISTORICOS'!AZ20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RESUMO'!AZ20-'CP RESUMO'!AY20)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HISTORICOS'!BA20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RESUMO'!BA20-'CP RESUMO'!AZ20)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HISTORICOS'!BB20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RESUMO'!BB20-'CP RESUMO'!BA20)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HISTORICOS'!BC20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RESUMO'!BC20-'CP RESUMO'!BB20)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HISTORICOS'!BD20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RESUMO'!BD20-'CP RESUMO'!BC20)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HISTORICOS'!BE20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RESUMO'!BE20-'CP RESUMO'!BD20)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HISTORICOS'!BF20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RESUMO'!BF20-'CP RESUMO'!BE20)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HISTORICOS'!BG20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RESUMO'!BG20-'CP RESUMO'!BF20)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HISTORICOS'!BH20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RESUMO'!BH20-'CP RESUMO'!BG20)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HISTORICOS'!BI20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RESUMO'!BI20-'CP RESUMO'!BH20)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HISTORICOS'!BJ20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RESUMO'!BJ20-'CP RESUMO'!BI20)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HISTORICOS'!BK20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RESUMO'!BK20-'CP RESUMO'!BJ20)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HISTORICOS'!BL20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RESUMO'!BL20-'CP RESUMO'!BK20)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HISTORICOS'!BM20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RESUMO'!BM20-'CP RESUMO'!BL20)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HISTORICOS'!BN20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RESUMO'!BN20-'CP RESUMO'!BM20)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HISTORICOS'!BO20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RESUMO'!BO20-'CP RESUMO'!BN20)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HISTORICOS'!BP20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RESUMO'!BP20-'CP RESUMO'!BO20)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HISTORICOS'!BQ20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RESUMO'!BQ20-'CP RESUMO'!BP20)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HISTORICOS'!BR20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RESUMO'!BR20-'CP RESUMO'!BQ20)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HISTORICOS'!BS20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RESUMO'!BS20-'CP RESUMO'!BR20)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HISTORICOS'!BT20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RESUMO'!BT20-'CP RESUMO'!BS20)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HISTORICOS'!BU20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RESUMO'!BU20-'CP RESUMO'!BT20)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HISTORICOS'!BV20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RESUMO'!BV20-'CP RESUMO'!BU20)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HISTORICOS'!BW20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RESUMO'!BW20-'CP RESUMO'!BV20)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PL'!D27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HISTORICOS'!D21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PL'!F27</f>
        <v/>
      </c>
      <c r="K5" s="37">
        <f>'VALOR POR PL'!G27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HISTORICOS'!E21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RESUMO'!E21-'CP RESUMO'!D21)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HISTORICOS'!F21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PL'!L27</f>
        <v/>
      </c>
      <c r="M7" s="62">
        <f>MAX(0,'CP RESUMO'!F21-'CP RESUMO'!E21)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HISTORICOS'!G21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RESUMO'!G21-'CP RESUMO'!F21)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HISTORICOS'!H21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RESUMO'!H21-'CP RESUMO'!G21)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HISTORICOS'!I21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RESUMO'!I21-'CP RESUMO'!H21)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HISTORICOS'!J21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RESUMO'!J21-'CP RESUMO'!I21)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HISTORICOS'!K21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RESUMO'!K21-'CP RESUMO'!J21)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HISTORICOS'!L21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RESUMO'!L21-'CP RESUMO'!K21)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HISTORICOS'!M21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RESUMO'!M21-'CP RESUMO'!L21)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HISTORICOS'!N21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RESUMO'!N21-'CP RESUMO'!M21)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HISTORICOS'!O21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RESUMO'!O21-'CP RESUMO'!N21)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HISTORICOS'!P21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RESUMO'!P21-'CP RESUMO'!O21)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HISTORICOS'!Q21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RESUMO'!Q21-'CP RESUMO'!P21)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HISTORICOS'!R21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RESUMO'!R21-'CP RESUMO'!Q21)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HISTORICOS'!S21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RESUMO'!S21-'CP RESUMO'!R21)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HISTORICOS'!T21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RESUMO'!T21-'CP RESUMO'!S21)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HISTORICOS'!U21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RESUMO'!U21-'CP RESUMO'!T21)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HISTORICOS'!V21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RESUMO'!V21-'CP RESUMO'!U21)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HISTORICOS'!W21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RESUMO'!W21-'CP RESUMO'!V21)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HISTORICOS'!X21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RESUMO'!X21-'CP RESUMO'!W21)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HISTORICOS'!Y21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RESUMO'!Y21-'CP RESUMO'!X21)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HISTORICOS'!Z21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686964.52</v>
      </c>
      <c r="M27" s="62">
        <f>MAX(0,'CP RESUMO'!Z21-'CP RESUMO'!Y21)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HISTORICOS'!AA21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1047212.71</v>
      </c>
      <c r="M28" s="62">
        <f>MAX(0,'CP RESUMO'!AA21-'CP RESUMO'!Z21)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HISTORICOS'!AB21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1620508.15</v>
      </c>
      <c r="M29" s="62">
        <f>MAX(0,'CP RESUMO'!AB21-'CP RESUMO'!AA21)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HISTORICOS'!AC21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1912666.93</v>
      </c>
      <c r="M30" s="62">
        <f>MAX(0,'CP RESUMO'!AC21-'CP RESUMO'!AB21)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HISTORICOS'!AD21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1716911.78</v>
      </c>
      <c r="M31" s="62">
        <f>MAX(0,'CP RESUMO'!AD21-'CP RESUMO'!AC21)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HISTORICOS'!AE21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1724029.04</v>
      </c>
      <c r="M32" s="62">
        <f>MAX(0,'CP RESUMO'!AE21-'CP RESUMO'!AD21)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HISTORICOS'!AF21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1240873.84</v>
      </c>
      <c r="M33" s="62">
        <f>MAX(0,'CP RESUMO'!AF21-'CP RESUMO'!AE21)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HISTORICOS'!AG21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1377375.67</v>
      </c>
      <c r="M34" s="62">
        <f>MAX(0,'CP RESUMO'!AG21-'CP RESUMO'!AF21)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HISTORICOS'!AH21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1690022.9</v>
      </c>
      <c r="M35" s="62">
        <f>MAX(0,'CP RESUMO'!AH21-'CP RESUMO'!AG21)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HISTORICOS'!AI21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1533152.88</v>
      </c>
      <c r="M36" s="62">
        <f>MAX(0,'CP RESUMO'!AI21-'CP RESUMO'!AH21)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HISTORICOS'!AJ21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1541765.8</v>
      </c>
      <c r="M37" s="62">
        <f>MAX(0,'CP RESUMO'!AJ21-'CP RESUMO'!AI21)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HISTORICOS'!AK21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1266058.13</v>
      </c>
      <c r="M38" s="62">
        <f>MAX(0,'CP RESUMO'!AK21-'CP RESUMO'!AJ21)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HISTORICOS'!AL21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1261900.44</v>
      </c>
      <c r="M39" s="62">
        <f>MAX(0,'CP RESUMO'!AL21-'CP RESUMO'!AK21)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HISTORICOS'!AM21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1261551.82</v>
      </c>
      <c r="M40" s="62">
        <f>MAX(0,'CP RESUMO'!AM21-'CP RESUMO'!AL21)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HISTORICOS'!AN21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1261500.17</v>
      </c>
      <c r="M41" s="62">
        <f>MAX(0,'CP RESUMO'!AN21-'CP RESUMO'!AM21)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HISTORICOS'!AO21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374755.37</v>
      </c>
      <c r="M42" s="62">
        <f>MAX(0,'CP RESUMO'!AO21-'CP RESUMO'!AN21)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HISTORICOS'!AP21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374517.08</v>
      </c>
      <c r="M43" s="62">
        <f>MAX(0,'CP RESUMO'!AP21-'CP RESUMO'!AO21)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HISTORICOS'!AQ21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361591.02</v>
      </c>
      <c r="M44" s="62">
        <f>MAX(0,'CP RESUMO'!AQ21-'CP RESUMO'!AP21)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HISTORICOS'!AR21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340999.31</v>
      </c>
      <c r="M45" s="62">
        <f>MAX(0,'CP RESUMO'!AR21-'CP RESUMO'!AQ21)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HISTORICOS'!AS21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RESUMO'!AS21-'CP RESUMO'!AR21)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HISTORICOS'!AT21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RESUMO'!AT21-'CP RESUMO'!AS21)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HISTORICOS'!AU21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RESUMO'!AU21-'CP RESUMO'!AT21)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HISTORICOS'!AV21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RESUMO'!AV21-'CP RESUMO'!AU21)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HISTORICOS'!AW21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RESUMO'!AW21-'CP RESUMO'!AV21)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HISTORICOS'!AX21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RESUMO'!AX21-'CP RESUMO'!AW21)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HISTORICOS'!AY21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RESUMO'!AY21-'CP RESUMO'!AX21)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HISTORICOS'!AZ21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RESUMO'!AZ21-'CP RESUMO'!AY21)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HISTORICOS'!BA21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RESUMO'!BA21-'CP RESUMO'!AZ21)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HISTORICOS'!BB21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1178940.16</v>
      </c>
      <c r="M55" s="62">
        <f>MAX(0,'CP RESUMO'!BB21-'CP RESUMO'!BA21)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HISTORICOS'!BC21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RESUMO'!BC21-'CP RESUMO'!BB21)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HISTORICOS'!BD21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RESUMO'!BD21-'CP RESUMO'!BC21)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HISTORICOS'!BE21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RESUMO'!BE21-'CP RESUMO'!BD21)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HISTORICOS'!BF21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RESUMO'!BF21-'CP RESUMO'!BE21)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HISTORICOS'!BG21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RESUMO'!BG21-'CP RESUMO'!BF21)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HISTORICOS'!BH21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RESUMO'!BH21-'CP RESUMO'!BG21)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HISTORICOS'!BI21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RESUMO'!BI21-'CP RESUMO'!BH21)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HISTORICOS'!BJ21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RESUMO'!BJ21-'CP RESUMO'!BI21)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HISTORICOS'!BK21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RESUMO'!BK21-'CP RESUMO'!BJ21)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HISTORICOS'!BL21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RESUMO'!BL21-'CP RESUMO'!BK21)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HISTORICOS'!BM21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RESUMO'!BM21-'CP RESUMO'!BL21)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HISTORICOS'!BN21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RESUMO'!BN21-'CP RESUMO'!BM21)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HISTORICOS'!BO21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RESUMO'!BO21-'CP RESUMO'!BN21)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HISTORICOS'!BP21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RESUMO'!BP21-'CP RESUMO'!BO21)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HISTORICOS'!BQ21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RESUMO'!BQ21-'CP RESUMO'!BP21)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HISTORICOS'!BR21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RESUMO'!BR21-'CP RESUMO'!BQ21)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HISTORICOS'!BS21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RESUMO'!BS21-'CP RESUMO'!BR21)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HISTORICOS'!BT21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RESUMO'!BT21-'CP RESUMO'!BS21)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HISTORICOS'!BU21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RESUMO'!BU21-'CP RESUMO'!BT21)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HISTORICOS'!BV21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RESUMO'!BV21-'CP RESUMO'!BU21)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HISTORICOS'!BW21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RESUMO'!BW21-'CP RESUMO'!BV21)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PL'!D28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HISTORICOS'!D22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PL'!F28</f>
        <v/>
      </c>
      <c r="K5" s="37">
        <f>'VALOR POR PL'!G28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HISTORICOS'!E22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RESUMO'!E22-'CP RESUMO'!D22)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HISTORICOS'!F22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PL'!L28</f>
        <v/>
      </c>
      <c r="M7" s="62">
        <f>MAX(0,'CP RESUMO'!F22-'CP RESUMO'!E22)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HISTORICOS'!G22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RESUMO'!G22-'CP RESUMO'!F22)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HISTORICOS'!H22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RESUMO'!H22-'CP RESUMO'!G22)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HISTORICOS'!I22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RESUMO'!I22-'CP RESUMO'!H22)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HISTORICOS'!J22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RESUMO'!J22-'CP RESUMO'!I22)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HISTORICOS'!K22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RESUMO'!K22-'CP RESUMO'!J22)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HISTORICOS'!L22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RESUMO'!L22-'CP RESUMO'!K22)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HISTORICOS'!M22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RESUMO'!M22-'CP RESUMO'!L22)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HISTORICOS'!N22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RESUMO'!N22-'CP RESUMO'!M22)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HISTORICOS'!O22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RESUMO'!O22-'CP RESUMO'!N22)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HISTORICOS'!P22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RESUMO'!P22-'CP RESUMO'!O22)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HISTORICOS'!Q22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RESUMO'!Q22-'CP RESUMO'!P22)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HISTORICOS'!R22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RESUMO'!R22-'CP RESUMO'!Q22)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HISTORICOS'!S22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RESUMO'!S22-'CP RESUMO'!R22)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HISTORICOS'!T22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RESUMO'!T22-'CP RESUMO'!S22)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HISTORICOS'!U22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RESUMO'!U22-'CP RESUMO'!T22)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HISTORICOS'!V22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RESUMO'!V22-'CP RESUMO'!U22)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HISTORICOS'!W22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RESUMO'!W22-'CP RESUMO'!V22)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HISTORICOS'!X22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RESUMO'!X22-'CP RESUMO'!W22)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HISTORICOS'!Y22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RESUMO'!Y22-'CP RESUMO'!X22)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HISTORICOS'!Z22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RESUMO'!Z22-'CP RESUMO'!Y22)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HISTORICOS'!AA22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RESUMO'!AA22-'CP RESUMO'!Z22)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HISTORICOS'!AB22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RESUMO'!AB22-'CP RESUMO'!AA22)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HISTORICOS'!AC22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RESUMO'!AC22-'CP RESUMO'!AB22)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HISTORICOS'!AD22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RESUMO'!AD22-'CP RESUMO'!AC22)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HISTORICOS'!AE22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RESUMO'!AE22-'CP RESUMO'!AD22)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HISTORICOS'!AF22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70130.98</v>
      </c>
      <c r="M33" s="62">
        <f>MAX(0,'CP RESUMO'!AF22-'CP RESUMO'!AE22)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HISTORICOS'!AG22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134575.67</v>
      </c>
      <c r="M34" s="62">
        <f>MAX(0,'CP RESUMO'!AG22-'CP RESUMO'!AF22)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HISTORICOS'!AH22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221133.72</v>
      </c>
      <c r="M35" s="62">
        <f>MAX(0,'CP RESUMO'!AH22-'CP RESUMO'!AG22)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HISTORICOS'!AI22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416363.21</v>
      </c>
      <c r="M36" s="62">
        <f>MAX(0,'CP RESUMO'!AI22-'CP RESUMO'!AH22)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HISTORICOS'!AJ22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387299.92</v>
      </c>
      <c r="M37" s="62">
        <f>MAX(0,'CP RESUMO'!AJ22-'CP RESUMO'!AI22)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HISTORICOS'!AK22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545884.39</v>
      </c>
      <c r="M38" s="62">
        <f>MAX(0,'CP RESUMO'!AK22-'CP RESUMO'!AJ22)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HISTORICOS'!AL22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564206.9</v>
      </c>
      <c r="M39" s="62">
        <f>MAX(0,'CP RESUMO'!AL22-'CP RESUMO'!AK22)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HISTORICOS'!AM22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634337.88</v>
      </c>
      <c r="M40" s="62">
        <f>MAX(0,'CP RESUMO'!AM22-'CP RESUMO'!AL22)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HISTORICOS'!AN22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680460.0600000001</v>
      </c>
      <c r="M41" s="62">
        <f>MAX(0,'CP RESUMO'!AN22-'CP RESUMO'!AM22)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HISTORICOS'!AO22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484598.76</v>
      </c>
      <c r="M42" s="62">
        <f>MAX(0,'CP RESUMO'!AO22-'CP RESUMO'!AN22)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HISTORICOS'!AP22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518716.54</v>
      </c>
      <c r="M43" s="62">
        <f>MAX(0,'CP RESUMO'!AP22-'CP RESUMO'!AO22)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HISTORICOS'!AQ22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434685.72</v>
      </c>
      <c r="M44" s="62">
        <f>MAX(0,'CP RESUMO'!AQ22-'CP RESUMO'!AP22)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HISTORICOS'!AR22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521875.59</v>
      </c>
      <c r="M45" s="62">
        <f>MAX(0,'CP RESUMO'!AR22-'CP RESUMO'!AQ22)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HISTORICOS'!AS22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272310.39</v>
      </c>
      <c r="M46" s="62">
        <f>MAX(0,'CP RESUMO'!AS22-'CP RESUMO'!AR22)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HISTORICOS'!AT22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237560.8</v>
      </c>
      <c r="M47" s="62">
        <f>MAX(0,'CP RESUMO'!AT22-'CP RESUMO'!AS22)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HISTORICOS'!AU22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69499.17</v>
      </c>
      <c r="M48" s="62">
        <f>MAX(0,'CP RESUMO'!AU22-'CP RESUMO'!AT22)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HISTORICOS'!AV22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51843.25</v>
      </c>
      <c r="M49" s="62">
        <f>MAX(0,'CP RESUMO'!AV22-'CP RESUMO'!AU22)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HISTORICOS'!AW22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RESUMO'!AW22-'CP RESUMO'!AV22)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HISTORICOS'!AX22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RESUMO'!AX22-'CP RESUMO'!AW22)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HISTORICOS'!AY22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RESUMO'!AY22-'CP RESUMO'!AX22)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HISTORICOS'!AZ22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RESUMO'!AZ22-'CP RESUMO'!AY22)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HISTORICOS'!BA22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RESUMO'!BA22-'CP RESUMO'!AZ22)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HISTORICOS'!BB22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RESUMO'!BB22-'CP RESUMO'!BA22)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HISTORICOS'!BC22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RESUMO'!BC22-'CP RESUMO'!BB22)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HISTORICOS'!BD22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RESUMO'!BD22-'CP RESUMO'!BC22)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HISTORICOS'!BE22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RESUMO'!BE22-'CP RESUMO'!BD22)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HISTORICOS'!BF22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RESUMO'!BF22-'CP RESUMO'!BE22)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HISTORICOS'!BG22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RESUMO'!BG22-'CP RESUMO'!BF22)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HISTORICOS'!BH22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RESUMO'!BH22-'CP RESUMO'!BG22)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HISTORICOS'!BI22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RESUMO'!BI22-'CP RESUMO'!BH22)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HISTORICOS'!BJ22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RESUMO'!BJ22-'CP RESUMO'!BI22)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HISTORICOS'!BK22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RESUMO'!BK22-'CP RESUMO'!BJ22)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HISTORICOS'!BL22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RESUMO'!BL22-'CP RESUMO'!BK22)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HISTORICOS'!BM22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RESUMO'!BM22-'CP RESUMO'!BL22)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HISTORICOS'!BN22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RESUMO'!BN22-'CP RESUMO'!BM22)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HISTORICOS'!BO22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RESUMO'!BO22-'CP RESUMO'!BN22)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HISTORICOS'!BP22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RESUMO'!BP22-'CP RESUMO'!BO22)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HISTORICOS'!BQ22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RESUMO'!BQ22-'CP RESUMO'!BP22)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HISTORICOS'!BR22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RESUMO'!BR22-'CP RESUMO'!BQ22)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HISTORICOS'!BS22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RESUMO'!BS22-'CP RESUMO'!BR22)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HISTORICOS'!BT22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RESUMO'!BT22-'CP RESUMO'!BS22)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HISTORICOS'!BU22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RESUMO'!BU22-'CP RESUMO'!BT22)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HISTORICOS'!BV22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RESUMO'!BV22-'CP RESUMO'!BU22)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HISTORICOS'!BW22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RESUMO'!BW22-'CP RESUMO'!BV22)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PL'!D29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HISTORICOS'!D23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PL'!F29</f>
        <v/>
      </c>
      <c r="K5" s="37">
        <f>'VALOR POR PL'!G29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HISTORICOS'!E23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RESUMO'!E23-'CP RESUMO'!D23)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HISTORICOS'!F23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PL'!L29</f>
        <v/>
      </c>
      <c r="M7" s="62">
        <f>MAX(0,'CP RESUMO'!F23-'CP RESUMO'!E23)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HISTORICOS'!G23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RESUMO'!G23-'CP RESUMO'!F23)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HISTORICOS'!H23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RESUMO'!H23-'CP RESUMO'!G23)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HISTORICOS'!I23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RESUMO'!I23-'CP RESUMO'!H23)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HISTORICOS'!J23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RESUMO'!J23-'CP RESUMO'!I23)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HISTORICOS'!K23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RESUMO'!K23-'CP RESUMO'!J23)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HISTORICOS'!L23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RESUMO'!L23-'CP RESUMO'!K23)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HISTORICOS'!M23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RESUMO'!M23-'CP RESUMO'!L23)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HISTORICOS'!N23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RESUMO'!N23-'CP RESUMO'!M23)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HISTORICOS'!O23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RESUMO'!O23-'CP RESUMO'!N23)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HISTORICOS'!P23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RESUMO'!P23-'CP RESUMO'!O23)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HISTORICOS'!Q23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RESUMO'!Q23-'CP RESUMO'!P23)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HISTORICOS'!R23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RESUMO'!R23-'CP RESUMO'!Q23)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HISTORICOS'!S23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RESUMO'!S23-'CP RESUMO'!R23)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HISTORICOS'!T23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RESUMO'!T23-'CP RESUMO'!S23)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HISTORICOS'!U23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RESUMO'!U23-'CP RESUMO'!T23)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HISTORICOS'!V23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RESUMO'!V23-'CP RESUMO'!U23)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HISTORICOS'!W23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RESUMO'!W23-'CP RESUMO'!V23)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HISTORICOS'!X23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RESUMO'!X23-'CP RESUMO'!W23)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HISTORICOS'!Y23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RESUMO'!Y23-'CP RESUMO'!X23)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HISTORICOS'!Z23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RESUMO'!Z23-'CP RESUMO'!Y23)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HISTORICOS'!AA23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RESUMO'!AA23-'CP RESUMO'!Z23)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HISTORICOS'!AB23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RESUMO'!AB23-'CP RESUMO'!AA23)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HISTORICOS'!AC23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RESUMO'!AC23-'CP RESUMO'!AB23)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HISTORICOS'!AD23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RESUMO'!AD23-'CP RESUMO'!AC23)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HISTORICOS'!AE23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RESUMO'!AE23-'CP RESUMO'!AD23)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HISTORICOS'!AF23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RESUMO'!AF23-'CP RESUMO'!AE23)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HISTORICOS'!AG23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RESUMO'!AG23-'CP RESUMO'!AF23)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HISTORICOS'!AH23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RESUMO'!AH23-'CP RESUMO'!AG23)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HISTORICOS'!AI23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RESUMO'!AI23-'CP RESUMO'!AH23)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HISTORICOS'!AJ23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RESUMO'!AJ23-'CP RESUMO'!AI23)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HISTORICOS'!AK23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166232.94</v>
      </c>
      <c r="M38" s="62">
        <f>MAX(0,'CP RESUMO'!AK23-'CP RESUMO'!AJ23)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HISTORICOS'!AL23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232391.14</v>
      </c>
      <c r="M39" s="62">
        <f>MAX(0,'CP RESUMO'!AL23-'CP RESUMO'!AK23)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HISTORICOS'!AM23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221504.35</v>
      </c>
      <c r="M40" s="62">
        <f>MAX(0,'CP RESUMO'!AM23-'CP RESUMO'!AL23)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HISTORICOS'!AN23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421235.12</v>
      </c>
      <c r="M41" s="62">
        <f>MAX(0,'CP RESUMO'!AN23-'CP RESUMO'!AM23)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HISTORICOS'!AO23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177119.74</v>
      </c>
      <c r="M42" s="62">
        <f>MAX(0,'CP RESUMO'!AO23-'CP RESUMO'!AN23)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HISTORICOS'!AP23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332465.89</v>
      </c>
      <c r="M43" s="62">
        <f>MAX(0,'CP RESUMO'!AP23-'CP RESUMO'!AO23)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HISTORICOS'!AQ23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232391.14</v>
      </c>
      <c r="M44" s="62">
        <f>MAX(0,'CP RESUMO'!AQ23-'CP RESUMO'!AP23)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HISTORICOS'!AR23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574068.9300000001</v>
      </c>
      <c r="M45" s="62">
        <f>MAX(0,'CP RESUMO'!AR23-'CP RESUMO'!AQ23)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HISTORICOS'!AS23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359682.87</v>
      </c>
      <c r="M46" s="62">
        <f>MAX(0,'CP RESUMO'!AS23-'CP RESUMO'!AR23)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HISTORICOS'!AT23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430865.74</v>
      </c>
      <c r="M47" s="62">
        <f>MAX(0,'CP RESUMO'!AT23-'CP RESUMO'!AS23)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HISTORICOS'!AU23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621803.33</v>
      </c>
      <c r="M48" s="62">
        <f>MAX(0,'CP RESUMO'!AU23-'CP RESUMO'!AT23)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HISTORICOS'!AV23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317810.59</v>
      </c>
      <c r="M49" s="62">
        <f>MAX(0,'CP RESUMO'!AV23-'CP RESUMO'!AU23)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HISTORICOS'!AW23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40639.16</v>
      </c>
      <c r="M50" s="62">
        <f>MAX(0,'CP RESUMO'!AW23-'CP RESUMO'!AV23)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HISTORICOS'!AX23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10886.79</v>
      </c>
      <c r="M51" s="62">
        <f>MAX(0,'CP RESUMO'!AX23-'CP RESUMO'!AW23)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HISTORICOS'!AY23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RESUMO'!AY23-'CP RESUMO'!AX23)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HISTORICOS'!AZ23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RESUMO'!AZ23-'CP RESUMO'!AY23)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HISTORICOS'!BA23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RESUMO'!BA23-'CP RESUMO'!AZ23)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HISTORICOS'!BB23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RESUMO'!BB23-'CP RESUMO'!BA23)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HISTORICOS'!BC23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RESUMO'!BC23-'CP RESUMO'!BB23)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HISTORICOS'!BD23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RESUMO'!BD23-'CP RESUMO'!BC23)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HISTORICOS'!BE23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RESUMO'!BE23-'CP RESUMO'!BD23)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HISTORICOS'!BF23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RESUMO'!BF23-'CP RESUMO'!BE23)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HISTORICOS'!BG23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RESUMO'!BG23-'CP RESUMO'!BF23)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HISTORICOS'!BH23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RESUMO'!BH23-'CP RESUMO'!BG23)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HISTORICOS'!BI23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RESUMO'!BI23-'CP RESUMO'!BH23)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HISTORICOS'!BJ23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RESUMO'!BJ23-'CP RESUMO'!BI23)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HISTORICOS'!BK23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RESUMO'!BK23-'CP RESUMO'!BJ23)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HISTORICOS'!BL23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RESUMO'!BL23-'CP RESUMO'!BK23)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HISTORICOS'!BM23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RESUMO'!BM23-'CP RESUMO'!BL23)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HISTORICOS'!BN23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RESUMO'!BN23-'CP RESUMO'!BM23)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HISTORICOS'!BO23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RESUMO'!BO23-'CP RESUMO'!BN23)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HISTORICOS'!BP23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RESUMO'!BP23-'CP RESUMO'!BO23)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HISTORICOS'!BQ23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RESUMO'!BQ23-'CP RESUMO'!BP23)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HISTORICOS'!BR23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RESUMO'!BR23-'CP RESUMO'!BQ23)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HISTORICOS'!BS23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RESUMO'!BS23-'CP RESUMO'!BR23)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HISTORICOS'!BT23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RESUMO'!BT23-'CP RESUMO'!BS23)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HISTORICOS'!BU23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RESUMO'!BU23-'CP RESUMO'!BT23)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HISTORICOS'!BV23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RESUMO'!BV23-'CP RESUMO'!BU23)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HISTORICOS'!BW23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RESUMO'!BW23-'CP RESUMO'!BV23)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PL'!D30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HISTORICOS'!D24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PL'!F30</f>
        <v/>
      </c>
      <c r="K5" s="37">
        <f>'VALOR POR PL'!G30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HISTORICOS'!E24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RESUMO'!E24-'CP RESUMO'!D24)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HISTORICOS'!F24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PL'!L30</f>
        <v/>
      </c>
      <c r="M7" s="62">
        <f>MAX(0,'CP RESUMO'!F24-'CP RESUMO'!E24)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HISTORICOS'!G24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RESUMO'!G24-'CP RESUMO'!F24)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HISTORICOS'!H24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RESUMO'!H24-'CP RESUMO'!G24)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HISTORICOS'!I24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RESUMO'!I24-'CP RESUMO'!H24)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HISTORICOS'!J24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RESUMO'!J24-'CP RESUMO'!I24)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HISTORICOS'!K24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RESUMO'!K24-'CP RESUMO'!J24)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HISTORICOS'!L24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RESUMO'!L24-'CP RESUMO'!K24)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HISTORICOS'!M24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RESUMO'!M24-'CP RESUMO'!L24)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HISTORICOS'!N24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RESUMO'!N24-'CP RESUMO'!M24)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HISTORICOS'!O24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RESUMO'!O24-'CP RESUMO'!N24)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HISTORICOS'!P24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RESUMO'!P24-'CP RESUMO'!O24)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HISTORICOS'!Q24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RESUMO'!Q24-'CP RESUMO'!P24)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HISTORICOS'!R24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RESUMO'!R24-'CP RESUMO'!Q24)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HISTORICOS'!S24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RESUMO'!S24-'CP RESUMO'!R24)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HISTORICOS'!T24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RESUMO'!T24-'CP RESUMO'!S24)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HISTORICOS'!U24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RESUMO'!U24-'CP RESUMO'!T24)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HISTORICOS'!V24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RESUMO'!V24-'CP RESUMO'!U24)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HISTORICOS'!W24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RESUMO'!W24-'CP RESUMO'!V24)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HISTORICOS'!X24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RESUMO'!X24-'CP RESUMO'!W24)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HISTORICOS'!Y24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RESUMO'!Y24-'CP RESUMO'!X24)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HISTORICOS'!Z24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>
        <v>7000</v>
      </c>
      <c r="M27" s="62">
        <f>MAX(0,'CP RESUMO'!Z24-'CP RESUMO'!Y24)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HISTORICOS'!AA24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7000</v>
      </c>
      <c r="M28" s="62">
        <f>MAX(0,'CP RESUMO'!AA24-'CP RESUMO'!Z24)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HISTORICOS'!AB24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7000</v>
      </c>
      <c r="M29" s="62">
        <f>MAX(0,'CP RESUMO'!AB24-'CP RESUMO'!AA24)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HISTORICOS'!AC24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RESUMO'!AC24-'CP RESUMO'!AB24)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HISTORICOS'!AD24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RESUMO'!AD24-'CP RESUMO'!AC24)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HISTORICOS'!AE24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104809.94</v>
      </c>
      <c r="M32" s="62">
        <f>MAX(0,'CP RESUMO'!AE24-'CP RESUMO'!AD24)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HISTORICOS'!AF24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88705.57000000001</v>
      </c>
      <c r="M33" s="62">
        <f>MAX(0,'CP RESUMO'!AF24-'CP RESUMO'!AE24)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HISTORICOS'!AG24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55797.55</v>
      </c>
      <c r="M34" s="62">
        <f>MAX(0,'CP RESUMO'!AG24-'CP RESUMO'!AF24)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HISTORICOS'!AH24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82184.09</v>
      </c>
      <c r="M35" s="62">
        <f>MAX(0,'CP RESUMO'!AH24-'CP RESUMO'!AG24)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HISTORICOS'!AI24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81171.83</v>
      </c>
      <c r="M36" s="62">
        <f>MAX(0,'CP RESUMO'!AI24-'CP RESUMO'!AH24)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HISTORICOS'!AJ24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188717.89</v>
      </c>
      <c r="M37" s="62">
        <f>MAX(0,'CP RESUMO'!AJ24-'CP RESUMO'!AI24)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HISTORICOS'!AK24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212785.42</v>
      </c>
      <c r="M38" s="62">
        <f>MAX(0,'CP RESUMO'!AK24-'CP RESUMO'!AJ24)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HISTORICOS'!AL24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257411.13</v>
      </c>
      <c r="M39" s="62">
        <f>MAX(0,'CP RESUMO'!AL24-'CP RESUMO'!AK24)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HISTORICOS'!AM24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535693.4399999999</v>
      </c>
      <c r="M40" s="62">
        <f>MAX(0,'CP RESUMO'!AM24-'CP RESUMO'!AL24)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HISTORICOS'!AN24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467282.37</v>
      </c>
      <c r="M41" s="62">
        <f>MAX(0,'CP RESUMO'!AN24-'CP RESUMO'!AM24)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HISTORICOS'!AO24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626135.1800000001</v>
      </c>
      <c r="M42" s="62">
        <f>MAX(0,'CP RESUMO'!AO24-'CP RESUMO'!AN24)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HISTORICOS'!AP24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673675.08</v>
      </c>
      <c r="M43" s="62">
        <f>MAX(0,'CP RESUMO'!AP24-'CP RESUMO'!AO24)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HISTORICOS'!AQ24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1450546.51</v>
      </c>
      <c r="M44" s="62">
        <f>MAX(0,'CP RESUMO'!AQ24-'CP RESUMO'!AP24)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HISTORICOS'!AR24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812816.23</v>
      </c>
      <c r="M45" s="62">
        <f>MAX(0,'CP RESUMO'!AR24-'CP RESUMO'!AQ24)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HISTORICOS'!AS24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539171.96</v>
      </c>
      <c r="M46" s="62">
        <f>MAX(0,'CP RESUMO'!AS24-'CP RESUMO'!AR24)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HISTORICOS'!AT24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863834.65</v>
      </c>
      <c r="M47" s="62">
        <f>MAX(0,'CP RESUMO'!AT24-'CP RESUMO'!AS24)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HISTORICOS'!AU24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813975.74</v>
      </c>
      <c r="M48" s="62">
        <f>MAX(0,'CP RESUMO'!AU24-'CP RESUMO'!AT24)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HISTORICOS'!AV24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542650.49</v>
      </c>
      <c r="M49" s="62">
        <f>MAX(0,'CP RESUMO'!AV24-'CP RESUMO'!AU24)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HISTORICOS'!AW24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743245.65</v>
      </c>
      <c r="M50" s="62">
        <f>MAX(0,'CP RESUMO'!AW24-'CP RESUMO'!AV24)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HISTORICOS'!AX24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164650.36</v>
      </c>
      <c r="M51" s="62">
        <f>MAX(0,'CP RESUMO'!AX24-'CP RESUMO'!AW24)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HISTORICOS'!AY24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441773.16</v>
      </c>
      <c r="M52" s="62">
        <f>MAX(0,'CP RESUMO'!AY24-'CP RESUMO'!AX24)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HISTORICOS'!AZ24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288717.89</v>
      </c>
      <c r="M53" s="62">
        <f>MAX(0,'CP RESUMO'!AZ24-'CP RESUMO'!AY24)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HISTORICOS'!BA24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154214.78</v>
      </c>
      <c r="M54" s="62">
        <f>MAX(0,'CP RESUMO'!BA24-'CP RESUMO'!AZ24)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HISTORICOS'!BB24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336257.78</v>
      </c>
      <c r="M55" s="62">
        <f>MAX(0,'CP RESUMO'!BB24-'CP RESUMO'!BA24)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HISTORICOS'!BC24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721829.79</v>
      </c>
      <c r="M56" s="62">
        <f>MAX(0,'CP RESUMO'!BC24-'CP RESUMO'!BB24)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HISTORICOS'!BD24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RESUMO'!BD24-'CP RESUMO'!BC24)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HISTORICOS'!BE24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RESUMO'!BE24-'CP RESUMO'!BD24)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HISTORICOS'!BF24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RESUMO'!BF24-'CP RESUMO'!BE24)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HISTORICOS'!BG24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RESUMO'!BG24-'CP RESUMO'!BF24)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HISTORICOS'!BH24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RESUMO'!BH24-'CP RESUMO'!BG24)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HISTORICOS'!BI24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RESUMO'!BI24-'CP RESUMO'!BH24)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HISTORICOS'!BJ24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RESUMO'!BJ24-'CP RESUMO'!BI24)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HISTORICOS'!BK24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RESUMO'!BK24-'CP RESUMO'!BJ24)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HISTORICOS'!BL24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RESUMO'!BL24-'CP RESUMO'!BK24)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HISTORICOS'!BM24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RESUMO'!BM24-'CP RESUMO'!BL24)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HISTORICOS'!BN24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RESUMO'!BN24-'CP RESUMO'!BM24)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HISTORICOS'!BO24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RESUMO'!BO24-'CP RESUMO'!BN24)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HISTORICOS'!BP24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RESUMO'!BP24-'CP RESUMO'!BO24)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HISTORICOS'!BQ24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RESUMO'!BQ24-'CP RESUMO'!BP24)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HISTORICOS'!BR24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RESUMO'!BR24-'CP RESUMO'!BQ24)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HISTORICOS'!BS24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RESUMO'!BS24-'CP RESUMO'!BR24)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HISTORICOS'!BT24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RESUMO'!BT24-'CP RESUMO'!BS24)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HISTORICOS'!BU24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RESUMO'!BU24-'CP RESUMO'!BT24)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HISTORICOS'!BV24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RESUMO'!BV24-'CP RESUMO'!BU24)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HISTORICOS'!BW24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RESUMO'!BW24-'CP RESUMO'!BV24)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PL'!D31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HISTORICOS'!D25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PL'!F31</f>
        <v/>
      </c>
      <c r="K5" s="37">
        <f>'VALOR POR PL'!G31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HISTORICOS'!E25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RESUMO'!E25-'CP RESUMO'!D25)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HISTORICOS'!F25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PL'!L31</f>
        <v/>
      </c>
      <c r="M7" s="62">
        <f>MAX(0,'CP RESUMO'!F25-'CP RESUMO'!E25)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HISTORICOS'!G25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RESUMO'!G25-'CP RESUMO'!F25)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HISTORICOS'!H25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RESUMO'!H25-'CP RESUMO'!G25)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HISTORICOS'!I25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RESUMO'!I25-'CP RESUMO'!H25)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HISTORICOS'!J25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RESUMO'!J25-'CP RESUMO'!I25)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HISTORICOS'!K25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RESUMO'!K25-'CP RESUMO'!J25)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HISTORICOS'!L25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RESUMO'!L25-'CP RESUMO'!K25)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HISTORICOS'!M25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RESUMO'!M25-'CP RESUMO'!L25)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HISTORICOS'!N25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RESUMO'!N25-'CP RESUMO'!M25)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HISTORICOS'!O25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RESUMO'!O25-'CP RESUMO'!N25)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HISTORICOS'!P25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RESUMO'!P25-'CP RESUMO'!O25)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HISTORICOS'!Q25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RESUMO'!Q25-'CP RESUMO'!P25)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HISTORICOS'!R25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RESUMO'!R25-'CP RESUMO'!Q25)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HISTORICOS'!S25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RESUMO'!S25-'CP RESUMO'!R25)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HISTORICOS'!T25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RESUMO'!T25-'CP RESUMO'!S25)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HISTORICOS'!U25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RESUMO'!U25-'CP RESUMO'!T25)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HISTORICOS'!V25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RESUMO'!V25-'CP RESUMO'!U25)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HISTORICOS'!W25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RESUMO'!W25-'CP RESUMO'!V25)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HISTORICOS'!X25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RESUMO'!X25-'CP RESUMO'!W25)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HISTORICOS'!Y25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RESUMO'!Y25-'CP RESUMO'!X25)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HISTORICOS'!Z25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RESUMO'!Z25-'CP RESUMO'!Y25)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HISTORICOS'!AA25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>
        <v>150000</v>
      </c>
      <c r="M28" s="62">
        <f>MAX(0,'CP RESUMO'!AA25-'CP RESUMO'!Z25)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HISTORICOS'!AB25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>
        <v>50000</v>
      </c>
      <c r="M29" s="62">
        <f>MAX(0,'CP RESUMO'!AB25-'CP RESUMO'!AA25)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HISTORICOS'!AC25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>
        <v>50000</v>
      </c>
      <c r="M30" s="62">
        <f>MAX(0,'CP RESUMO'!AC25-'CP RESUMO'!AB25)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HISTORICOS'!AD25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>
        <v>70000</v>
      </c>
      <c r="M31" s="62">
        <f>MAX(0,'CP RESUMO'!AD25-'CP RESUMO'!AC25)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HISTORICOS'!AE25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>
        <v>120258.03</v>
      </c>
      <c r="M32" s="62">
        <f>MAX(0,'CP RESUMO'!AE25-'CP RESUMO'!AD25)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HISTORICOS'!AF25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120258.03</v>
      </c>
      <c r="M33" s="62">
        <f>MAX(0,'CP RESUMO'!AF25-'CP RESUMO'!AE25)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HISTORICOS'!AG25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87246.02</v>
      </c>
      <c r="M34" s="62">
        <f>MAX(0,'CP RESUMO'!AG25-'CP RESUMO'!AF25)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HISTORICOS'!AH25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3930</v>
      </c>
      <c r="M35" s="62">
        <f>MAX(0,'CP RESUMO'!AH25-'CP RESUMO'!AG25)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HISTORICOS'!AI25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89604.02</v>
      </c>
      <c r="M36" s="62">
        <f>MAX(0,'CP RESUMO'!AI25-'CP RESUMO'!AH25)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HISTORICOS'!AJ25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109254.03</v>
      </c>
      <c r="M37" s="62">
        <f>MAX(0,'CP RESUMO'!AJ25-'CP RESUMO'!AI25)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HISTORICOS'!AK25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195714.05</v>
      </c>
      <c r="M38" s="62">
        <f>MAX(0,'CP RESUMO'!AK25-'CP RESUMO'!AJ25)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HISTORICOS'!AL25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279816.06</v>
      </c>
      <c r="M39" s="62">
        <f>MAX(0,'CP RESUMO'!AL25-'CP RESUMO'!AK25)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HISTORICOS'!AM25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174492.04</v>
      </c>
      <c r="M40" s="62">
        <f>MAX(0,'CP RESUMO'!AM25-'CP RESUMO'!AL25)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HISTORICOS'!AN25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363132.08</v>
      </c>
      <c r="M41" s="62">
        <f>MAX(0,'CP RESUMO'!AN25-'CP RESUMO'!AM25)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HISTORICOS'!AO25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316758.07</v>
      </c>
      <c r="M42" s="62">
        <f>MAX(0,'CP RESUMO'!AO25-'CP RESUMO'!AN25)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HISTORICOS'!AP25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424440.1</v>
      </c>
      <c r="M43" s="62">
        <f>MAX(0,'CP RESUMO'!AP25-'CP RESUMO'!AO25)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HISTORICOS'!AQ25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456666.11</v>
      </c>
      <c r="M44" s="62">
        <f>MAX(0,'CP RESUMO'!AQ25-'CP RESUMO'!AP25)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HISTORICOS'!AR25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983286.23</v>
      </c>
      <c r="M45" s="62">
        <f>MAX(0,'CP RESUMO'!AR25-'CP RESUMO'!AQ25)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HISTORICOS'!AS25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550986.13</v>
      </c>
      <c r="M46" s="62">
        <f>MAX(0,'CP RESUMO'!AS25-'CP RESUMO'!AR25)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HISTORICOS'!AT25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365490.08</v>
      </c>
      <c r="M47" s="62">
        <f>MAX(0,'CP RESUMO'!AT25-'CP RESUMO'!AS25)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HISTORICOS'!AU25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585570.13</v>
      </c>
      <c r="M48" s="62">
        <f>MAX(0,'CP RESUMO'!AU25-'CP RESUMO'!AT25)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HISTORICOS'!AV25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551772.13</v>
      </c>
      <c r="M49" s="62">
        <f>MAX(0,'CP RESUMO'!AV25-'CP RESUMO'!AU25)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HISTORICOS'!AW25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367848.08</v>
      </c>
      <c r="M50" s="62">
        <f>MAX(0,'CP RESUMO'!AW25-'CP RESUMO'!AV25)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HISTORICOS'!AX25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503826.12</v>
      </c>
      <c r="M51" s="62">
        <f>MAX(0,'CP RESUMO'!AX25-'CP RESUMO'!AW25)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HISTORICOS'!AY25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111612.03</v>
      </c>
      <c r="M52" s="62">
        <f>MAX(0,'CP RESUMO'!AY25-'CP RESUMO'!AX25)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HISTORICOS'!AZ25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299466.07</v>
      </c>
      <c r="M53" s="62">
        <f>MAX(0,'CP RESUMO'!AZ25-'CP RESUMO'!AY25)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HISTORICOS'!BA25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195714.05</v>
      </c>
      <c r="M54" s="62">
        <f>MAX(0,'CP RESUMO'!BA25-'CP RESUMO'!AZ25)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HISTORICOS'!BB25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104538.02</v>
      </c>
      <c r="M55" s="62">
        <f>MAX(0,'CP RESUMO'!BB25-'CP RESUMO'!BA25)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HISTORICOS'!BC25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60047.36</v>
      </c>
      <c r="M56" s="62">
        <f>MAX(0,'CP RESUMO'!BC25-'CP RESUMO'!BB25)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HISTORICOS'!BD25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RESUMO'!BD25-'CP RESUMO'!BC25)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HISTORICOS'!BE25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RESUMO'!BE25-'CP RESUMO'!BD25)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HISTORICOS'!BF25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RESUMO'!BF25-'CP RESUMO'!BE25)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HISTORICOS'!BG25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RESUMO'!BG25-'CP RESUMO'!BF25)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HISTORICOS'!BH25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RESUMO'!BH25-'CP RESUMO'!BG25)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HISTORICOS'!BI25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RESUMO'!BI25-'CP RESUMO'!BH25)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HISTORICOS'!BJ25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RESUMO'!BJ25-'CP RESUMO'!BI25)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HISTORICOS'!BK25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RESUMO'!BK25-'CP RESUMO'!BJ25)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HISTORICOS'!BL25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RESUMO'!BL25-'CP RESUMO'!BK25)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HISTORICOS'!BM25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RESUMO'!BM25-'CP RESUMO'!BL25)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HISTORICOS'!BN25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RESUMO'!BN25-'CP RESUMO'!BM25)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HISTORICOS'!BO25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RESUMO'!BO25-'CP RESUMO'!BN25)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HISTORICOS'!BP25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RESUMO'!BP25-'CP RESUMO'!BO25)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HISTORICOS'!BQ25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RESUMO'!BQ25-'CP RESUMO'!BP25)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HISTORICOS'!BR25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RESUMO'!BR25-'CP RESUMO'!BQ25)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HISTORICOS'!BS25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RESUMO'!BS25-'CP RESUMO'!BR25)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HISTORICOS'!BT25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RESUMO'!BT25-'CP RESUMO'!BS25)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HISTORICOS'!BU25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RESUMO'!BU25-'CP RESUMO'!BT25)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HISTORICOS'!BV25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RESUMO'!BV25-'CP RESUMO'!BU25)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HISTORICOS'!BW25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RESUMO'!BW25-'CP RESUMO'!BV25)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PL'!D32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HISTORICOS'!D26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PL'!F32</f>
        <v/>
      </c>
      <c r="K5" s="37">
        <f>'VALOR POR PL'!G32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HISTORICOS'!E26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RESUMO'!E26-'CP RESUMO'!D26)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HISTORICOS'!F26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PL'!L32</f>
        <v/>
      </c>
      <c r="M7" s="62">
        <f>MAX(0,'CP RESUMO'!F26-'CP RESUMO'!E26)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HISTORICOS'!G26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RESUMO'!G26-'CP RESUMO'!F26)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HISTORICOS'!H26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RESUMO'!H26-'CP RESUMO'!G26)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HISTORICOS'!I26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RESUMO'!I26-'CP RESUMO'!H26)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HISTORICOS'!J26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RESUMO'!J26-'CP RESUMO'!I26)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HISTORICOS'!K26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RESUMO'!K26-'CP RESUMO'!J26)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HISTORICOS'!L26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RESUMO'!L26-'CP RESUMO'!K26)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HISTORICOS'!M26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RESUMO'!M26-'CP RESUMO'!L26)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HISTORICOS'!N26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RESUMO'!N26-'CP RESUMO'!M26)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HISTORICOS'!O26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RESUMO'!O26-'CP RESUMO'!N26)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HISTORICOS'!P26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RESUMO'!P26-'CP RESUMO'!O26)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HISTORICOS'!Q26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RESUMO'!Q26-'CP RESUMO'!P26)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HISTORICOS'!R26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RESUMO'!R26-'CP RESUMO'!Q26)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HISTORICOS'!S26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RESUMO'!S26-'CP RESUMO'!R26)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HISTORICOS'!T26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RESUMO'!T26-'CP RESUMO'!S26)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HISTORICOS'!U26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RESUMO'!U26-'CP RESUMO'!T26)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HISTORICOS'!V26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RESUMO'!V26-'CP RESUMO'!U26)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HISTORICOS'!W26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RESUMO'!W26-'CP RESUMO'!V26)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HISTORICOS'!X26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RESUMO'!X26-'CP RESUMO'!W26)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HISTORICOS'!Y26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RESUMO'!Y26-'CP RESUMO'!X26)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HISTORICOS'!Z26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RESUMO'!Z26-'CP RESUMO'!Y26)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HISTORICOS'!AA26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RESUMO'!AA26-'CP RESUMO'!Z26)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HISTORICOS'!AB26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RESUMO'!AB26-'CP RESUMO'!AA26)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HISTORICOS'!AC26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RESUMO'!AC26-'CP RESUMO'!AB26)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HISTORICOS'!AD26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RESUMO'!AD26-'CP RESUMO'!AC26)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HISTORICOS'!AE26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RESUMO'!AE26-'CP RESUMO'!AD26)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HISTORICOS'!AF26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4858.59</v>
      </c>
      <c r="M33" s="62">
        <f>MAX(0,'CP RESUMO'!AF26-'CP RESUMO'!AE26)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HISTORICOS'!AG26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51303.46</v>
      </c>
      <c r="M34" s="62">
        <f>MAX(0,'CP RESUMO'!AG26-'CP RESUMO'!AF26)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HISTORICOS'!AH26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48915.33</v>
      </c>
      <c r="M35" s="62">
        <f>MAX(0,'CP RESUMO'!AH26-'CP RESUMO'!AG26)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HISTORICOS'!AI26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53691.58</v>
      </c>
      <c r="M36" s="62">
        <f>MAX(0,'CP RESUMO'!AI26-'CP RESUMO'!AH26)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HISTORICOS'!AJ26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57973.73</v>
      </c>
      <c r="M37" s="62">
        <f>MAX(0,'CP RESUMO'!AJ26-'CP RESUMO'!AI26)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HISTORICOS'!AK26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62667.62</v>
      </c>
      <c r="M38" s="62">
        <f>MAX(0,'CP RESUMO'!AK26-'CP RESUMO'!AJ26)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HISTORICOS'!AL26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58632.52</v>
      </c>
      <c r="M39" s="62">
        <f>MAX(0,'CP RESUMO'!AL26-'CP RESUMO'!AK26)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HISTORICOS'!AM26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70490.78</v>
      </c>
      <c r="M40" s="62">
        <f>MAX(0,'CP RESUMO'!AM26-'CP RESUMO'!AL26)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HISTORICOS'!AN26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67773.27</v>
      </c>
      <c r="M41" s="62">
        <f>MAX(0,'CP RESUMO'!AN26-'CP RESUMO'!AM26)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HISTORICOS'!AO26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60444.2</v>
      </c>
      <c r="M42" s="62">
        <f>MAX(0,'CP RESUMO'!AO26-'CP RESUMO'!AN26)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HISTORICOS'!AP26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60526.55</v>
      </c>
      <c r="M43" s="62">
        <f>MAX(0,'CP RESUMO'!AP26-'CP RESUMO'!AO26)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HISTORICOS'!AQ26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68349.71000000001</v>
      </c>
      <c r="M44" s="62">
        <f>MAX(0,'CP RESUMO'!AQ26-'CP RESUMO'!AP26)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HISTORICOS'!AR26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85807.71000000001</v>
      </c>
      <c r="M45" s="62">
        <f>MAX(0,'CP RESUMO'!AR26-'CP RESUMO'!AQ26)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HISTORICOS'!AS26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33186.67</v>
      </c>
      <c r="M46" s="62">
        <f>MAX(0,'CP RESUMO'!AS26-'CP RESUMO'!AR26)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HISTORICOS'!AT26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7905.51</v>
      </c>
      <c r="M47" s="62">
        <f>MAX(0,'CP RESUMO'!AT26-'CP RESUMO'!AS26)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HISTORICOS'!AU26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15234.57</v>
      </c>
      <c r="M48" s="62">
        <f>MAX(0,'CP RESUMO'!AU26-'CP RESUMO'!AT26)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HISTORICOS'!AV26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2305.77</v>
      </c>
      <c r="M49" s="62">
        <f>MAX(0,'CP RESUMO'!AV26-'CP RESUMO'!AU26)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HISTORICOS'!AW26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2305.77</v>
      </c>
      <c r="M50" s="62">
        <f>MAX(0,'CP RESUMO'!AW26-'CP RESUMO'!AV26)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HISTORICOS'!AX26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2223.42</v>
      </c>
      <c r="M51" s="62">
        <f>MAX(0,'CP RESUMO'!AX26-'CP RESUMO'!AW26)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HISTORICOS'!AY26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2305.77</v>
      </c>
      <c r="M52" s="62">
        <f>MAX(0,'CP RESUMO'!AY26-'CP RESUMO'!AX26)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HISTORICOS'!AZ26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2223.42</v>
      </c>
      <c r="M53" s="62">
        <f>MAX(0,'CP RESUMO'!AZ26-'CP RESUMO'!AY26)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HISTORICOS'!BA26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1894.03</v>
      </c>
      <c r="M54" s="62">
        <f>MAX(0,'CP RESUMO'!BA26-'CP RESUMO'!AZ26)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HISTORICOS'!BB26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2141.08</v>
      </c>
      <c r="M55" s="62">
        <f>MAX(0,'CP RESUMO'!BB26-'CP RESUMO'!BA26)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HISTORICOS'!BC26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329.4</v>
      </c>
      <c r="M56" s="62">
        <f>MAX(0,'CP RESUMO'!BC26-'CP RESUMO'!BB26)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HISTORICOS'!BD26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RESUMO'!BD26-'CP RESUMO'!BC26)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HISTORICOS'!BE26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RESUMO'!BE26-'CP RESUMO'!BD26)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HISTORICOS'!BF26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RESUMO'!BF26-'CP RESUMO'!BE26)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HISTORICOS'!BG26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RESUMO'!BG26-'CP RESUMO'!BF26)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HISTORICOS'!BH26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RESUMO'!BH26-'CP RESUMO'!BG26)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HISTORICOS'!BI26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RESUMO'!BI26-'CP RESUMO'!BH26)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HISTORICOS'!BJ26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RESUMO'!BJ26-'CP RESUMO'!BI26)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HISTORICOS'!BK26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RESUMO'!BK26-'CP RESUMO'!BJ26)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HISTORICOS'!BL26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RESUMO'!BL26-'CP RESUMO'!BK26)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HISTORICOS'!BM26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RESUMO'!BM26-'CP RESUMO'!BL26)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HISTORICOS'!BN26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RESUMO'!BN26-'CP RESUMO'!BM26)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HISTORICOS'!BO26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RESUMO'!BO26-'CP RESUMO'!BN26)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HISTORICOS'!BP26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RESUMO'!BP26-'CP RESUMO'!BO26)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HISTORICOS'!BQ26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RESUMO'!BQ26-'CP RESUMO'!BP26)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HISTORICOS'!BR26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RESUMO'!BR26-'CP RESUMO'!BQ26)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HISTORICOS'!BS26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RESUMO'!BS26-'CP RESUMO'!BR26)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HISTORICOS'!BT26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RESUMO'!BT26-'CP RESUMO'!BS26)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HISTORICOS'!BU26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RESUMO'!BU26-'CP RESUMO'!BT26)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HISTORICOS'!BV26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RESUMO'!BV26-'CP RESUMO'!BU26)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HISTORICOS'!BW26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RESUMO'!BW26-'CP RESUMO'!BV26)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PL'!D33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HISTORICOS'!D27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PL'!F33</f>
        <v/>
      </c>
      <c r="K5" s="37">
        <f>'VALOR POR PL'!G33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HISTORICOS'!E27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RESUMO'!E27-'CP RESUMO'!D27)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HISTORICOS'!F27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PL'!L33</f>
        <v/>
      </c>
      <c r="M7" s="62">
        <f>MAX(0,'CP RESUMO'!F27-'CP RESUMO'!E27)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HISTORICOS'!G27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RESUMO'!G27-'CP RESUMO'!F27)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HISTORICOS'!H27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RESUMO'!H27-'CP RESUMO'!G27)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HISTORICOS'!I27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RESUMO'!I27-'CP RESUMO'!H27)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HISTORICOS'!J27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RESUMO'!J27-'CP RESUMO'!I27)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HISTORICOS'!K27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RESUMO'!K27-'CP RESUMO'!J27)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HISTORICOS'!L27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RESUMO'!L27-'CP RESUMO'!K27)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HISTORICOS'!M27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RESUMO'!M27-'CP RESUMO'!L27)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HISTORICOS'!N27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RESUMO'!N27-'CP RESUMO'!M27)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HISTORICOS'!O27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RESUMO'!O27-'CP RESUMO'!N27)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HISTORICOS'!P27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RESUMO'!P27-'CP RESUMO'!O27)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HISTORICOS'!Q27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RESUMO'!Q27-'CP RESUMO'!P27)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HISTORICOS'!R27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RESUMO'!R27-'CP RESUMO'!Q27)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HISTORICOS'!S27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RESUMO'!S27-'CP RESUMO'!R27)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HISTORICOS'!T27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RESUMO'!T27-'CP RESUMO'!S27)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HISTORICOS'!U27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RESUMO'!U27-'CP RESUMO'!T27)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HISTORICOS'!V27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RESUMO'!V27-'CP RESUMO'!U27)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HISTORICOS'!W27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RESUMO'!W27-'CP RESUMO'!V27)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HISTORICOS'!X27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RESUMO'!X27-'CP RESUMO'!W27)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HISTORICOS'!Y27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RESUMO'!Y27-'CP RESUMO'!X27)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HISTORICOS'!Z27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RESUMO'!Z27-'CP RESUMO'!Y27)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HISTORICOS'!AA27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RESUMO'!AA27-'CP RESUMO'!Z27)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HISTORICOS'!AB27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RESUMO'!AB27-'CP RESUMO'!AA27)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HISTORICOS'!AC27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RESUMO'!AC27-'CP RESUMO'!AB27)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HISTORICOS'!AD27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RESUMO'!AD27-'CP RESUMO'!AC27)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HISTORICOS'!AE27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RESUMO'!AE27-'CP RESUMO'!AD27)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HISTORICOS'!AF27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RESUMO'!AF27-'CP RESUMO'!AE27)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HISTORICOS'!AG27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RESUMO'!AG27-'CP RESUMO'!AF27)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HISTORICOS'!AH27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RESUMO'!AH27-'CP RESUMO'!AG27)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HISTORICOS'!AI27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15275.52</v>
      </c>
      <c r="M36" s="62">
        <f>MAX(0,'CP RESUMO'!AI27-'CP RESUMO'!AH27)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HISTORICOS'!AJ27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96462.07000000001</v>
      </c>
      <c r="M37" s="62">
        <f>MAX(0,'CP RESUMO'!AJ27-'CP RESUMO'!AI27)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HISTORICOS'!AK27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145117.42</v>
      </c>
      <c r="M38" s="62">
        <f>MAX(0,'CP RESUMO'!AK27-'CP RESUMO'!AJ27)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HISTORICOS'!AL27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138894.06</v>
      </c>
      <c r="M39" s="62">
        <f>MAX(0,'CP RESUMO'!AL27-'CP RESUMO'!AK27)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HISTORICOS'!AM27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143703.02</v>
      </c>
      <c r="M40" s="62">
        <f>MAX(0,'CP RESUMO'!AM27-'CP RESUMO'!AL27)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HISTORICOS'!AN27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242711.01</v>
      </c>
      <c r="M41" s="62">
        <f>MAX(0,'CP RESUMO'!AN27-'CP RESUMO'!AM27)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HISTORICOS'!AO27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167182.06</v>
      </c>
      <c r="M42" s="62">
        <f>MAX(0,'CP RESUMO'!AO27-'CP RESUMO'!AN27)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HISTORICOS'!AP27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140591.34</v>
      </c>
      <c r="M43" s="62">
        <f>MAX(0,'CP RESUMO'!AP27-'CP RESUMO'!AO27)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HISTORICOS'!AQ27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140025.58</v>
      </c>
      <c r="M44" s="62">
        <f>MAX(0,'CP RESUMO'!AQ27-'CP RESUMO'!AP27)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HISTORICOS'!AR27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216403.17</v>
      </c>
      <c r="M45" s="62">
        <f>MAX(0,'CP RESUMO'!AR27-'CP RESUMO'!AQ27)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HISTORICOS'!AS27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153320.94</v>
      </c>
      <c r="M46" s="62">
        <f>MAX(0,'CP RESUMO'!AS27-'CP RESUMO'!AR27)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HISTORICOS'!AT27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121072.63</v>
      </c>
      <c r="M47" s="62">
        <f>MAX(0,'CP RESUMO'!AT27-'CP RESUMO'!AS27)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HISTORICOS'!AU27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186135.02</v>
      </c>
      <c r="M48" s="62">
        <f>MAX(0,'CP RESUMO'!AU27-'CP RESUMO'!AT27)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HISTORICOS'!AV27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138328.3</v>
      </c>
      <c r="M49" s="62">
        <f>MAX(0,'CP RESUMO'!AV27-'CP RESUMO'!AU27)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HISTORICOS'!AW27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273262.05</v>
      </c>
      <c r="M50" s="62">
        <f>MAX(0,'CP RESUMO'!AW27-'CP RESUMO'!AV27)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HISTORICOS'!AX27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155018.22</v>
      </c>
      <c r="M51" s="62">
        <f>MAX(0,'CP RESUMO'!AX27-'CP RESUMO'!AW27)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HISTORICOS'!AY27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40451.84</v>
      </c>
      <c r="M52" s="62">
        <f>MAX(0,'CP RESUMO'!AY27-'CP RESUMO'!AX27)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HISTORICOS'!AZ27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79489.27</v>
      </c>
      <c r="M53" s="62">
        <f>MAX(0,'CP RESUMO'!AZ27-'CP RESUMO'!AY27)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HISTORICOS'!BA27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44129.27</v>
      </c>
      <c r="M54" s="62">
        <f>MAX(0,'CP RESUMO'!BA27-'CP RESUMO'!AZ27)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HISTORICOS'!BB27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95896.31</v>
      </c>
      <c r="M55" s="62">
        <f>MAX(0,'CP RESUMO'!BB27-'CP RESUMO'!BA27)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HISTORICOS'!BC27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68174.07000000001</v>
      </c>
      <c r="M56" s="62">
        <f>MAX(0,'CP RESUMO'!BC27-'CP RESUMO'!BB27)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HISTORICOS'!BD27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>
        <v>27156.48</v>
      </c>
      <c r="M57" s="62">
        <f>MAX(0,'CP RESUMO'!BD27-'CP RESUMO'!BC27)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HISTORICOS'!BE27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RESUMO'!BE27-'CP RESUMO'!BD27)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HISTORICOS'!BF27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RESUMO'!BF27-'CP RESUMO'!BE27)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HISTORICOS'!BG27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RESUMO'!BG27-'CP RESUMO'!BF27)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HISTORICOS'!BH27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RESUMO'!BH27-'CP RESUMO'!BG27)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HISTORICOS'!BI27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RESUMO'!BI27-'CP RESUMO'!BH27)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HISTORICOS'!BJ27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RESUMO'!BJ27-'CP RESUMO'!BI27)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HISTORICOS'!BK27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RESUMO'!BK27-'CP RESUMO'!BJ27)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HISTORICOS'!BL27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RESUMO'!BL27-'CP RESUMO'!BK27)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HISTORICOS'!BM27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RESUMO'!BM27-'CP RESUMO'!BL27)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HISTORICOS'!BN27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RESUMO'!BN27-'CP RESUMO'!BM27)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HISTORICOS'!BO27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RESUMO'!BO27-'CP RESUMO'!BN27)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HISTORICOS'!BP27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RESUMO'!BP27-'CP RESUMO'!BO27)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HISTORICOS'!BQ27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RESUMO'!BQ27-'CP RESUMO'!BP27)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HISTORICOS'!BR27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RESUMO'!BR27-'CP RESUMO'!BQ27)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HISTORICOS'!BS27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RESUMO'!BS27-'CP RESUMO'!BR27)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HISTORICOS'!BT27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RESUMO'!BT27-'CP RESUMO'!BS27)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HISTORICOS'!BU27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RESUMO'!BU27-'CP RESUMO'!BT27)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HISTORICOS'!BV27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RESUMO'!BV27-'CP RESUMO'!BU27)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HISTORICOS'!BW27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RESUMO'!BW27-'CP RESUMO'!BV27)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PL'!D34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HISTORICOS'!D28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PL'!F34</f>
        <v/>
      </c>
      <c r="K5" s="37">
        <f>'VALOR POR PL'!G34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HISTORICOS'!E28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RESUMO'!E28-'CP RESUMO'!D28)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HISTORICOS'!F28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PL'!L34</f>
        <v/>
      </c>
      <c r="M7" s="62">
        <f>MAX(0,'CP RESUMO'!F28-'CP RESUMO'!E28)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HISTORICOS'!G28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RESUMO'!G28-'CP RESUMO'!F28)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HISTORICOS'!H28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RESUMO'!H28-'CP RESUMO'!G28)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HISTORICOS'!I28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RESUMO'!I28-'CP RESUMO'!H28)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HISTORICOS'!J28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RESUMO'!J28-'CP RESUMO'!I28)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HISTORICOS'!K28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RESUMO'!K28-'CP RESUMO'!J28)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HISTORICOS'!L28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RESUMO'!L28-'CP RESUMO'!K28)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HISTORICOS'!M28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RESUMO'!M28-'CP RESUMO'!L28)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HISTORICOS'!N28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RESUMO'!N28-'CP RESUMO'!M28)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HISTORICOS'!O28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RESUMO'!O28-'CP RESUMO'!N28)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HISTORICOS'!P28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RESUMO'!P28-'CP RESUMO'!O28)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HISTORICOS'!Q28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RESUMO'!Q28-'CP RESUMO'!P28)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HISTORICOS'!R28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RESUMO'!R28-'CP RESUMO'!Q28)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HISTORICOS'!S28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RESUMO'!S28-'CP RESUMO'!R28)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HISTORICOS'!T28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RESUMO'!T28-'CP RESUMO'!S28)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HISTORICOS'!U28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RESUMO'!U28-'CP RESUMO'!T28)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HISTORICOS'!V28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RESUMO'!V28-'CP RESUMO'!U28)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HISTORICOS'!W28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RESUMO'!W28-'CP RESUMO'!V28)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HISTORICOS'!X28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RESUMO'!X28-'CP RESUMO'!W28)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HISTORICOS'!Y28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RESUMO'!Y28-'CP RESUMO'!X28)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HISTORICOS'!Z28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RESUMO'!Z28-'CP RESUMO'!Y28)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HISTORICOS'!AA28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RESUMO'!AA28-'CP RESUMO'!Z28)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HISTORICOS'!AB28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RESUMO'!AB28-'CP RESUMO'!AA28)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HISTORICOS'!AC28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RESUMO'!AC28-'CP RESUMO'!AB28)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HISTORICOS'!AD28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RESUMO'!AD28-'CP RESUMO'!AC28)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HISTORICOS'!AE28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RESUMO'!AE28-'CP RESUMO'!AD28)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HISTORICOS'!AF28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RESUMO'!AF28-'CP RESUMO'!AE28)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HISTORICOS'!AG28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RESUMO'!AG28-'CP RESUMO'!AF28)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HISTORICOS'!AH28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RESUMO'!AH28-'CP RESUMO'!AG28)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HISTORICOS'!AI28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RESUMO'!AI28-'CP RESUMO'!AH28)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HISTORICOS'!AJ28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305454.55</v>
      </c>
      <c r="M37" s="62">
        <f>MAX(0,'CP RESUMO'!AJ28-'CP RESUMO'!AI28)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HISTORICOS'!AK28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305454.55</v>
      </c>
      <c r="M38" s="62">
        <f>MAX(0,'CP RESUMO'!AK28-'CP RESUMO'!AJ28)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HISTORICOS'!AL28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305454.55</v>
      </c>
      <c r="M39" s="62">
        <f>MAX(0,'CP RESUMO'!AL28-'CP RESUMO'!AK28)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HISTORICOS'!AM28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305454.55</v>
      </c>
      <c r="M40" s="62">
        <f>MAX(0,'CP RESUMO'!AM28-'CP RESUMO'!AL28)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HISTORICOS'!AN28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305454.55</v>
      </c>
      <c r="M41" s="62">
        <f>MAX(0,'CP RESUMO'!AN28-'CP RESUMO'!AM28)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HISTORICOS'!AO28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305454.55</v>
      </c>
      <c r="M42" s="62">
        <f>MAX(0,'CP RESUMO'!AO28-'CP RESUMO'!AN28)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HISTORICOS'!AP28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305454.55</v>
      </c>
      <c r="M43" s="62">
        <f>MAX(0,'CP RESUMO'!AP28-'CP RESUMO'!AO28)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HISTORICOS'!AQ28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312051.99</v>
      </c>
      <c r="M44" s="62">
        <f>MAX(0,'CP RESUMO'!AQ28-'CP RESUMO'!AP28)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HISTORICOS'!AR28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312051.99</v>
      </c>
      <c r="M45" s="62">
        <f>MAX(0,'CP RESUMO'!AR28-'CP RESUMO'!AQ28)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HISTORICOS'!AS28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312051.99</v>
      </c>
      <c r="M46" s="62">
        <f>MAX(0,'CP RESUMO'!AS28-'CP RESUMO'!AR28)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HISTORICOS'!AT28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305454.55</v>
      </c>
      <c r="M47" s="62">
        <f>MAX(0,'CP RESUMO'!AT28-'CP RESUMO'!AS28)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HISTORICOS'!AU28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RESUMO'!AU28-'CP RESUMO'!AT28)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HISTORICOS'!AV28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RESUMO'!AV28-'CP RESUMO'!AU28)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HISTORICOS'!AW28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30009.97</v>
      </c>
      <c r="M50" s="62">
        <f>MAX(0,'CP RESUMO'!AW28-'CP RESUMO'!AV28)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HISTORICOS'!AX28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RESUMO'!AX28-'CP RESUMO'!AW28)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HISTORICOS'!AY28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RESUMO'!AY28-'CP RESUMO'!AX28)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HISTORICOS'!AZ28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RESUMO'!AZ28-'CP RESUMO'!AY28)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HISTORICOS'!BA28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RESUMO'!BA28-'CP RESUMO'!AZ28)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HISTORICOS'!BB28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RESUMO'!BB28-'CP RESUMO'!BA28)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HISTORICOS'!BC28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RESUMO'!BC28-'CP RESUMO'!BB28)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HISTORICOS'!BD28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RESUMO'!BD28-'CP RESUMO'!BC28)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HISTORICOS'!BE28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RESUMO'!BE28-'CP RESUMO'!BD28)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HISTORICOS'!BF28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RESUMO'!BF28-'CP RESUMO'!BE28)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HISTORICOS'!BG28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RESUMO'!BG28-'CP RESUMO'!BF28)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HISTORICOS'!BH28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RESUMO'!BH28-'CP RESUMO'!BG28)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HISTORICOS'!BI28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RESUMO'!BI28-'CP RESUMO'!BH28)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HISTORICOS'!BJ28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RESUMO'!BJ28-'CP RESUMO'!BI28)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HISTORICOS'!BK28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RESUMO'!BK28-'CP RESUMO'!BJ28)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HISTORICOS'!BL28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RESUMO'!BL28-'CP RESUMO'!BK28)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HISTORICOS'!BM28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RESUMO'!BM28-'CP RESUMO'!BL28)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HISTORICOS'!BN28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RESUMO'!BN28-'CP RESUMO'!BM28)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HISTORICOS'!BO28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RESUMO'!BO28-'CP RESUMO'!BN28)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HISTORICOS'!BP28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RESUMO'!BP28-'CP RESUMO'!BO28)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HISTORICOS'!BQ28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RESUMO'!BQ28-'CP RESUMO'!BP28)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HISTORICOS'!BR28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RESUMO'!BR28-'CP RESUMO'!BQ28)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HISTORICOS'!BS28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RESUMO'!BS28-'CP RESUMO'!BR28)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HISTORICOS'!BT28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RESUMO'!BT28-'CP RESUMO'!BS28)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HISTORICOS'!BU28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RESUMO'!BU28-'CP RESUMO'!BT28)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HISTORICOS'!BV28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RESUMO'!BV28-'CP RESUMO'!BU28)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HISTORICOS'!BW28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RESUMO'!BW28-'CP RESUMO'!BV28)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PL'!D35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HISTORICOS'!D29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PL'!F35</f>
        <v/>
      </c>
      <c r="K5" s="37">
        <f>'VALOR POR PL'!G35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HISTORICOS'!E29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RESUMO'!E29-'CP RESUMO'!D29)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HISTORICOS'!F29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PL'!L35</f>
        <v/>
      </c>
      <c r="M7" s="62">
        <f>MAX(0,'CP RESUMO'!F29-'CP RESUMO'!E29)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HISTORICOS'!G29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RESUMO'!G29-'CP RESUMO'!F29)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HISTORICOS'!H29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RESUMO'!H29-'CP RESUMO'!G29)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HISTORICOS'!I29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RESUMO'!I29-'CP RESUMO'!H29)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HISTORICOS'!J29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RESUMO'!J29-'CP RESUMO'!I29)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HISTORICOS'!K29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RESUMO'!K29-'CP RESUMO'!J29)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HISTORICOS'!L29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RESUMO'!L29-'CP RESUMO'!K29)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HISTORICOS'!M29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RESUMO'!M29-'CP RESUMO'!L29)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HISTORICOS'!N29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RESUMO'!N29-'CP RESUMO'!M29)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HISTORICOS'!O29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RESUMO'!O29-'CP RESUMO'!N29)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HISTORICOS'!P29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RESUMO'!P29-'CP RESUMO'!O29)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HISTORICOS'!Q29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RESUMO'!Q29-'CP RESUMO'!P29)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HISTORICOS'!R29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RESUMO'!R29-'CP RESUMO'!Q29)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HISTORICOS'!S29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RESUMO'!S29-'CP RESUMO'!R29)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HISTORICOS'!T29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RESUMO'!T29-'CP RESUMO'!S29)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HISTORICOS'!U29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RESUMO'!U29-'CP RESUMO'!T29)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HISTORICOS'!V29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RESUMO'!V29-'CP RESUMO'!U29)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HISTORICOS'!W29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RESUMO'!W29-'CP RESUMO'!V29)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HISTORICOS'!X29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RESUMO'!X29-'CP RESUMO'!W29)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HISTORICOS'!Y29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RESUMO'!Y29-'CP RESUMO'!X29)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HISTORICOS'!Z29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RESUMO'!Z29-'CP RESUMO'!Y29)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HISTORICOS'!AA29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RESUMO'!AA29-'CP RESUMO'!Z29)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HISTORICOS'!AB29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RESUMO'!AB29-'CP RESUMO'!AA29)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HISTORICOS'!AC29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RESUMO'!AC29-'CP RESUMO'!AB29)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HISTORICOS'!AD29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RESUMO'!AD29-'CP RESUMO'!AC29)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HISTORICOS'!AE29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RESUMO'!AE29-'CP RESUMO'!AD29)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HISTORICOS'!AF29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RESUMO'!AF29-'CP RESUMO'!AE29)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HISTORICOS'!AG29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RESUMO'!AG29-'CP RESUMO'!AF29)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HISTORICOS'!AH29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783232</v>
      </c>
      <c r="M35" s="62">
        <f>MAX(0,'CP RESUMO'!AH29-'CP RESUMO'!AG29)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HISTORICOS'!AI29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939878.4</v>
      </c>
      <c r="M36" s="62">
        <f>MAX(0,'CP RESUMO'!AI29-'CP RESUMO'!AH29)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HISTORICOS'!AJ29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939878.4</v>
      </c>
      <c r="M37" s="62">
        <f>MAX(0,'CP RESUMO'!AJ29-'CP RESUMO'!AI29)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HISTORICOS'!AK29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156646.4</v>
      </c>
      <c r="M38" s="62">
        <f>MAX(0,'CP RESUMO'!AK29-'CP RESUMO'!AJ29)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HISTORICOS'!AL29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RESUMO'!AL29-'CP RESUMO'!AK29)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HISTORICOS'!AM29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RESUMO'!AM29-'CP RESUMO'!AL29)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HISTORICOS'!AN29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RESUMO'!AN29-'CP RESUMO'!AM29)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HISTORICOS'!AO29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1409305.4</v>
      </c>
      <c r="M42" s="62">
        <f>MAX(0,'CP RESUMO'!AO29-'CP RESUMO'!AN29)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HISTORICOS'!AP29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1625374.99</v>
      </c>
      <c r="M43" s="62">
        <f>MAX(0,'CP RESUMO'!AP29-'CP RESUMO'!AO29)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HISTORICOS'!AQ29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1625374.99</v>
      </c>
      <c r="M44" s="62">
        <f>MAX(0,'CP RESUMO'!AQ29-'CP RESUMO'!AP29)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HISTORICOS'!AR29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545027.03</v>
      </c>
      <c r="M45" s="62">
        <f>MAX(0,'CP RESUMO'!AR29-'CP RESUMO'!AQ29)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HISTORICOS'!AS29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93987.84</v>
      </c>
      <c r="M46" s="62">
        <f>MAX(0,'CP RESUMO'!AS29-'CP RESUMO'!AR29)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HISTORICOS'!AT29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418092.23</v>
      </c>
      <c r="M47" s="62">
        <f>MAX(0,'CP RESUMO'!AT29-'CP RESUMO'!AS29)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HISTORICOS'!AU29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547733.98</v>
      </c>
      <c r="M48" s="62">
        <f>MAX(0,'CP RESUMO'!AU29-'CP RESUMO'!AT29)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HISTORICOS'!AV29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547733.98</v>
      </c>
      <c r="M49" s="62">
        <f>MAX(0,'CP RESUMO'!AV29-'CP RESUMO'!AU29)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HISTORICOS'!AW29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547733.98</v>
      </c>
      <c r="M50" s="62">
        <f>MAX(0,'CP RESUMO'!AW29-'CP RESUMO'!AV29)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HISTORICOS'!AX29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223629.59</v>
      </c>
      <c r="M51" s="62">
        <f>MAX(0,'CP RESUMO'!AX29-'CP RESUMO'!AW29)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HISTORICOS'!AY29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129641.75</v>
      </c>
      <c r="M52" s="62">
        <f>MAX(0,'CP RESUMO'!AY29-'CP RESUMO'!AX29)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HISTORICOS'!AZ29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129641.75</v>
      </c>
      <c r="M53" s="62">
        <f>MAX(0,'CP RESUMO'!AZ29-'CP RESUMO'!AY29)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HISTORICOS'!BA29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129641.75</v>
      </c>
      <c r="M54" s="62">
        <f>MAX(0,'CP RESUMO'!BA29-'CP RESUMO'!AZ29)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HISTORICOS'!BB29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129641.75</v>
      </c>
      <c r="M55" s="62">
        <f>MAX(0,'CP RESUMO'!BB29-'CP RESUMO'!BA29)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HISTORICOS'!BC29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129641.75</v>
      </c>
      <c r="M56" s="62">
        <f>MAX(0,'CP RESUMO'!BC29-'CP RESUMO'!BB29)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HISTORICOS'!BD29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>
        <v>129641.75</v>
      </c>
      <c r="M57" s="62">
        <f>MAX(0,'CP RESUMO'!BD29-'CP RESUMO'!BC29)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HISTORICOS'!BE29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RESUMO'!BE29-'CP RESUMO'!BD29)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HISTORICOS'!BF29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>
        <v>599883.0699999999</v>
      </c>
      <c r="M59" s="62">
        <f>MAX(0,'CP RESUMO'!BF29-'CP RESUMO'!BE29)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HISTORICOS'!BG29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RESUMO'!BG29-'CP RESUMO'!BF29)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HISTORICOS'!BH29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RESUMO'!BH29-'CP RESUMO'!BG29)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HISTORICOS'!BI29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RESUMO'!BI29-'CP RESUMO'!BH29)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HISTORICOS'!BJ29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RESUMO'!BJ29-'CP RESUMO'!BI29)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HISTORICOS'!BK29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RESUMO'!BK29-'CP RESUMO'!BJ29)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HISTORICOS'!BL29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RESUMO'!BL29-'CP RESUMO'!BK29)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HISTORICOS'!BM29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RESUMO'!BM29-'CP RESUMO'!BL29)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HISTORICOS'!BN29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RESUMO'!BN29-'CP RESUMO'!BM29)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HISTORICOS'!BO29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RESUMO'!BO29-'CP RESUMO'!BN29)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HISTORICOS'!BP29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RESUMO'!BP29-'CP RESUMO'!BO29)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HISTORICOS'!BQ29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RESUMO'!BQ29-'CP RESUMO'!BP29)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HISTORICOS'!BR29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RESUMO'!BR29-'CP RESUMO'!BQ29)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HISTORICOS'!BS29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RESUMO'!BS29-'CP RESUMO'!BR29)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HISTORICOS'!BT29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RESUMO'!BT29-'CP RESUMO'!BS29)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HISTORICOS'!BU29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RESUMO'!BU29-'CP RESUMO'!BT29)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HISTORICOS'!BV29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RESUMO'!BV29-'CP RESUMO'!BU29)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HISTORICOS'!BW29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RESUMO'!BW29-'CP RESUMO'!BV29)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PL'!D36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HISTORICOS'!D30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PL'!F36</f>
        <v/>
      </c>
      <c r="K5" s="37">
        <f>'VALOR POR PL'!G36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HISTORICOS'!E30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RESUMO'!E30-'CP RESUMO'!D30)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HISTORICOS'!F30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PL'!L36</f>
        <v/>
      </c>
      <c r="M7" s="62">
        <f>MAX(0,'CP RESUMO'!F30-'CP RESUMO'!E30)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HISTORICOS'!G30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RESUMO'!G30-'CP RESUMO'!F30)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HISTORICOS'!H30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RESUMO'!H30-'CP RESUMO'!G30)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HISTORICOS'!I30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RESUMO'!I30-'CP RESUMO'!H30)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HISTORICOS'!J30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RESUMO'!J30-'CP RESUMO'!I30)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HISTORICOS'!K30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RESUMO'!K30-'CP RESUMO'!J30)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HISTORICOS'!L30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RESUMO'!L30-'CP RESUMO'!K30)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HISTORICOS'!M30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RESUMO'!M30-'CP RESUMO'!L30)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HISTORICOS'!N30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RESUMO'!N30-'CP RESUMO'!M30)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HISTORICOS'!O30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RESUMO'!O30-'CP RESUMO'!N30)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HISTORICOS'!P30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RESUMO'!P30-'CP RESUMO'!O30)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HISTORICOS'!Q30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RESUMO'!Q30-'CP RESUMO'!P30)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HISTORICOS'!R30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RESUMO'!R30-'CP RESUMO'!Q30)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HISTORICOS'!S30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RESUMO'!S30-'CP RESUMO'!R30)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HISTORICOS'!T30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RESUMO'!T30-'CP RESUMO'!S30)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HISTORICOS'!U30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RESUMO'!U30-'CP RESUMO'!T30)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HISTORICOS'!V30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RESUMO'!V30-'CP RESUMO'!U30)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HISTORICOS'!W30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RESUMO'!W30-'CP RESUMO'!V30)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HISTORICOS'!X30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RESUMO'!X30-'CP RESUMO'!W30)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HISTORICOS'!Y30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RESUMO'!Y30-'CP RESUMO'!X30)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HISTORICOS'!Z30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RESUMO'!Z30-'CP RESUMO'!Y30)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HISTORICOS'!AA30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RESUMO'!AA30-'CP RESUMO'!Z30)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HISTORICOS'!AB30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RESUMO'!AB30-'CP RESUMO'!AA30)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HISTORICOS'!AC30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RESUMO'!AC30-'CP RESUMO'!AB30)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HISTORICOS'!AD30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RESUMO'!AD30-'CP RESUMO'!AC30)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HISTORICOS'!AE30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RESUMO'!AE30-'CP RESUMO'!AD30)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HISTORICOS'!AF30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RESUMO'!AF30-'CP RESUMO'!AE30)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HISTORICOS'!AG30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RESUMO'!AG30-'CP RESUMO'!AF30)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HISTORICOS'!AH30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RESUMO'!AH30-'CP RESUMO'!AG30)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HISTORICOS'!AI30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RESUMO'!AI30-'CP RESUMO'!AH30)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HISTORICOS'!AJ30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RESUMO'!AJ30-'CP RESUMO'!AI30)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HISTORICOS'!AK30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27010.22</v>
      </c>
      <c r="M38" s="62">
        <f>MAX(0,'CP RESUMO'!AK30-'CP RESUMO'!AJ30)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HISTORICOS'!AL30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26959.35</v>
      </c>
      <c r="M39" s="62">
        <f>MAX(0,'CP RESUMO'!AL30-'CP RESUMO'!AK30)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HISTORICOS'!AM30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RESUMO'!AM30-'CP RESUMO'!AL30)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HISTORICOS'!AN30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27010.22</v>
      </c>
      <c r="M41" s="62">
        <f>MAX(0,'CP RESUMO'!AN30-'CP RESUMO'!AM30)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HISTORICOS'!AO30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RESUMO'!AO30-'CP RESUMO'!AN30)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HISTORICOS'!AP30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26959.35</v>
      </c>
      <c r="M43" s="62">
        <f>MAX(0,'CP RESUMO'!AP30-'CP RESUMO'!AO30)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HISTORICOS'!AQ30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22076.15</v>
      </c>
      <c r="M44" s="62">
        <f>MAX(0,'CP RESUMO'!AQ30-'CP RESUMO'!AP30)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HISTORICOS'!AR30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102649.01</v>
      </c>
      <c r="M45" s="62">
        <f>MAX(0,'CP RESUMO'!AR30-'CP RESUMO'!AQ30)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HISTORICOS'!AS30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59259.71</v>
      </c>
      <c r="M46" s="62">
        <f>MAX(0,'CP RESUMO'!AS30-'CP RESUMO'!AR30)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HISTORICOS'!AT30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24365.15</v>
      </c>
      <c r="M47" s="62">
        <f>MAX(0,'CP RESUMO'!AT30-'CP RESUMO'!AS30)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HISTORICOS'!AU30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38709.56</v>
      </c>
      <c r="M48" s="62">
        <f>MAX(0,'CP RESUMO'!AU30-'CP RESUMO'!AT30)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HISTORICOS'!AV30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24263.42</v>
      </c>
      <c r="M49" s="62">
        <f>MAX(0,'CP RESUMO'!AV30-'CP RESUMO'!AU30)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HISTORICOS'!AW30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8647.34</v>
      </c>
      <c r="M50" s="62">
        <f>MAX(0,'CP RESUMO'!AW30-'CP RESUMO'!AV30)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HISTORICOS'!AX30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8189.54</v>
      </c>
      <c r="M51" s="62">
        <f>MAX(0,'CP RESUMO'!AX30-'CP RESUMO'!AW30)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HISTORICOS'!AY30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8342.139999999999</v>
      </c>
      <c r="M52" s="62">
        <f>MAX(0,'CP RESUMO'!AY30-'CP RESUMO'!AX30)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HISTORICOS'!AZ30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24619.49</v>
      </c>
      <c r="M53" s="62">
        <f>MAX(0,'CP RESUMO'!AZ30-'CP RESUMO'!AY30)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HISTORICOS'!BA30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75130.12</v>
      </c>
      <c r="M54" s="62">
        <f>MAX(0,'CP RESUMO'!BA30-'CP RESUMO'!AZ30)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HISTORICOS'!BB30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4323.67</v>
      </c>
      <c r="M55" s="62">
        <f>MAX(0,'CP RESUMO'!BB30-'CP RESUMO'!BA30)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HISTORICOS'!BC30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152.6</v>
      </c>
      <c r="M56" s="62">
        <f>MAX(0,'CP RESUMO'!BC30-'CP RESUMO'!BB30)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HISTORICOS'!BD30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RESUMO'!BD30-'CP RESUMO'!BC30)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HISTORICOS'!BE30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RESUMO'!BE30-'CP RESUMO'!BD30)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HISTORICOS'!BF30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RESUMO'!BF30-'CP RESUMO'!BE30)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HISTORICOS'!BG30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RESUMO'!BG30-'CP RESUMO'!BF30)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HISTORICOS'!BH30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RESUMO'!BH30-'CP RESUMO'!BG30)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HISTORICOS'!BI30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RESUMO'!BI30-'CP RESUMO'!BH30)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HISTORICOS'!BJ30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RESUMO'!BJ30-'CP RESUMO'!BI30)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HISTORICOS'!BK30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RESUMO'!BK30-'CP RESUMO'!BJ30)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HISTORICOS'!BL30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RESUMO'!BL30-'CP RESUMO'!BK30)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HISTORICOS'!BM30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RESUMO'!BM30-'CP RESUMO'!BL30)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HISTORICOS'!BN30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RESUMO'!BN30-'CP RESUMO'!BM30)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HISTORICOS'!BO30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RESUMO'!BO30-'CP RESUMO'!BN30)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HISTORICOS'!BP30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RESUMO'!BP30-'CP RESUMO'!BO30)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HISTORICOS'!BQ30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RESUMO'!BQ30-'CP RESUMO'!BP30)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HISTORICOS'!BR30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RESUMO'!BR30-'CP RESUMO'!BQ30)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HISTORICOS'!BS30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RESUMO'!BS30-'CP RESUMO'!BR30)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HISTORICOS'!BT30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RESUMO'!BT30-'CP RESUMO'!BS30)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HISTORICOS'!BU30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RESUMO'!BU30-'CP RESUMO'!BT30)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HISTORICOS'!BV30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RESUMO'!BV30-'CP RESUMO'!BU30)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HISTORICOS'!BW30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RESUMO'!BW30-'CP RESUMO'!BV30)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PL'!D37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HISTORICOS'!D31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PL'!F37</f>
        <v/>
      </c>
      <c r="K5" s="37">
        <f>'VALOR POR PL'!G37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HISTORICOS'!E31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RESUMO'!E31-'CP RESUMO'!D31)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HISTORICOS'!F31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PL'!L37</f>
        <v/>
      </c>
      <c r="M7" s="62">
        <f>MAX(0,'CP RESUMO'!F31-'CP RESUMO'!E31)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HISTORICOS'!G31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RESUMO'!G31-'CP RESUMO'!F31)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HISTORICOS'!H31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RESUMO'!H31-'CP RESUMO'!G31)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HISTORICOS'!I31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RESUMO'!I31-'CP RESUMO'!H31)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HISTORICOS'!J31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RESUMO'!J31-'CP RESUMO'!I31)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HISTORICOS'!K31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RESUMO'!K31-'CP RESUMO'!J31)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HISTORICOS'!L31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RESUMO'!L31-'CP RESUMO'!K31)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HISTORICOS'!M31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RESUMO'!M31-'CP RESUMO'!L31)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HISTORICOS'!N31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RESUMO'!N31-'CP RESUMO'!M31)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HISTORICOS'!O31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RESUMO'!O31-'CP RESUMO'!N31)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HISTORICOS'!P31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RESUMO'!P31-'CP RESUMO'!O31)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HISTORICOS'!Q31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RESUMO'!Q31-'CP RESUMO'!P31)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HISTORICOS'!R31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RESUMO'!R31-'CP RESUMO'!Q31)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HISTORICOS'!S31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RESUMO'!S31-'CP RESUMO'!R31)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HISTORICOS'!T31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RESUMO'!T31-'CP RESUMO'!S31)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HISTORICOS'!U31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RESUMO'!U31-'CP RESUMO'!T31)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HISTORICOS'!V31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RESUMO'!V31-'CP RESUMO'!U31)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HISTORICOS'!W31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RESUMO'!W31-'CP RESUMO'!V31)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HISTORICOS'!X31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RESUMO'!X31-'CP RESUMO'!W31)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HISTORICOS'!Y31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RESUMO'!Y31-'CP RESUMO'!X31)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HISTORICOS'!Z31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RESUMO'!Z31-'CP RESUMO'!Y31)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HISTORICOS'!AA31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RESUMO'!AA31-'CP RESUMO'!Z31)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HISTORICOS'!AB31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RESUMO'!AB31-'CP RESUMO'!AA31)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HISTORICOS'!AC31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RESUMO'!AC31-'CP RESUMO'!AB31)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HISTORICOS'!AD31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RESUMO'!AD31-'CP RESUMO'!AC31)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HISTORICOS'!AE31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RESUMO'!AE31-'CP RESUMO'!AD31)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HISTORICOS'!AF31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RESUMO'!AF31-'CP RESUMO'!AE31)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HISTORICOS'!AG31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RESUMO'!AG31-'CP RESUMO'!AF31)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HISTORICOS'!AH31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RESUMO'!AH31-'CP RESUMO'!AG31)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HISTORICOS'!AI31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RESUMO'!AI31-'CP RESUMO'!AH31)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HISTORICOS'!AJ31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RESUMO'!AJ31-'CP RESUMO'!AI31)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HISTORICOS'!AK31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RESUMO'!AK31-'CP RESUMO'!AJ31)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HISTORICOS'!AL31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RESUMO'!AL31-'CP RESUMO'!AK31)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HISTORICOS'!AM31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RESUMO'!AM31-'CP RESUMO'!AL31)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HISTORICOS'!AN31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RESUMO'!AN31-'CP RESUMO'!AM31)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HISTORICOS'!AO31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RESUMO'!AO31-'CP RESUMO'!AN31)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HISTORICOS'!AP31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RESUMO'!AP31-'CP RESUMO'!AO31)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HISTORICOS'!AQ31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207362.53</v>
      </c>
      <c r="M44" s="62">
        <f>MAX(0,'CP RESUMO'!AQ31-'CP RESUMO'!AP31)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HISTORICOS'!AR31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274182.83</v>
      </c>
      <c r="M45" s="62">
        <f>MAX(0,'CP RESUMO'!AR31-'CP RESUMO'!AQ31)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HISTORICOS'!AS31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231518.22</v>
      </c>
      <c r="M46" s="62">
        <f>MAX(0,'CP RESUMO'!AS31-'CP RESUMO'!AR31)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HISTORICOS'!AT31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300534.5</v>
      </c>
      <c r="M47" s="62">
        <f>MAX(0,'CP RESUMO'!AT31-'CP RESUMO'!AS31)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HISTORICOS'!AU31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282966.72</v>
      </c>
      <c r="M48" s="62">
        <f>MAX(0,'CP RESUMO'!AU31-'CP RESUMO'!AT31)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HISTORICOS'!AV31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275123.96</v>
      </c>
      <c r="M49" s="62">
        <f>MAX(0,'CP RESUMO'!AV31-'CP RESUMO'!AU31)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HISTORICOS'!AW31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299279.65</v>
      </c>
      <c r="M50" s="62">
        <f>MAX(0,'CP RESUMO'!AW31-'CP RESUMO'!AV31)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HISTORICOS'!AX31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238419.85</v>
      </c>
      <c r="M51" s="62">
        <f>MAX(0,'CP RESUMO'!AX31-'CP RESUMO'!AW31)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HISTORICOS'!AY31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250027.13</v>
      </c>
      <c r="M52" s="62">
        <f>MAX(0,'CP RESUMO'!AY31-'CP RESUMO'!AX31)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HISTORICOS'!AZ31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300220.78</v>
      </c>
      <c r="M53" s="62">
        <f>MAX(0,'CP RESUMO'!AZ31-'CP RESUMO'!AY31)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HISTORICOS'!BA31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356374.93</v>
      </c>
      <c r="M54" s="62">
        <f>MAX(0,'CP RESUMO'!BA31-'CP RESUMO'!AZ31)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HISTORICOS'!BB31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121092.19</v>
      </c>
      <c r="M55" s="62">
        <f>MAX(0,'CP RESUMO'!BB31-'CP RESUMO'!BA31)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HISTORICOS'!BC31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RESUMO'!BC31-'CP RESUMO'!BB31)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HISTORICOS'!BD31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RESUMO'!BD31-'CP RESUMO'!BC31)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HISTORICOS'!BE31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RESUMO'!BE31-'CP RESUMO'!BD31)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HISTORICOS'!BF31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RESUMO'!BF31-'CP RESUMO'!BE31)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HISTORICOS'!BG31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RESUMO'!BG31-'CP RESUMO'!BF31)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HISTORICOS'!BH31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RESUMO'!BH31-'CP RESUMO'!BG31)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HISTORICOS'!BI31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RESUMO'!BI31-'CP RESUMO'!BH31)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HISTORICOS'!BJ31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RESUMO'!BJ31-'CP RESUMO'!BI31)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HISTORICOS'!BK31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RESUMO'!BK31-'CP RESUMO'!BJ31)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HISTORICOS'!BL31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RESUMO'!BL31-'CP RESUMO'!BK31)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HISTORICOS'!BM31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RESUMO'!BM31-'CP RESUMO'!BL31)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HISTORICOS'!BN31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RESUMO'!BN31-'CP RESUMO'!BM31)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HISTORICOS'!BO31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RESUMO'!BO31-'CP RESUMO'!BN31)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HISTORICOS'!BP31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RESUMO'!BP31-'CP RESUMO'!BO31)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HISTORICOS'!BQ31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RESUMO'!BQ31-'CP RESUMO'!BP31)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HISTORICOS'!BR31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RESUMO'!BR31-'CP RESUMO'!BQ31)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HISTORICOS'!BS31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RESUMO'!BS31-'CP RESUMO'!BR31)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HISTORICOS'!BT31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RESUMO'!BT31-'CP RESUMO'!BS31)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HISTORICOS'!BU31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RESUMO'!BU31-'CP RESUMO'!BT31)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HISTORICOS'!BV31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RESUMO'!BV31-'CP RESUMO'!BU31)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HISTORICOS'!BW31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RESUMO'!BW31-'CP RESUMO'!BV31)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PL'!D38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HISTORICOS'!D32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PL'!F38</f>
        <v/>
      </c>
      <c r="K5" s="37">
        <f>'VALOR POR PL'!G38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HISTORICOS'!E32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RESUMO'!E32-'CP RESUMO'!D32)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HISTORICOS'!F32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PL'!L38</f>
        <v/>
      </c>
      <c r="M7" s="62">
        <f>MAX(0,'CP RESUMO'!F32-'CP RESUMO'!E32)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HISTORICOS'!G32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RESUMO'!G32-'CP RESUMO'!F32)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HISTORICOS'!H32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RESUMO'!H32-'CP RESUMO'!G32)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HISTORICOS'!I32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RESUMO'!I32-'CP RESUMO'!H32)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HISTORICOS'!J32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RESUMO'!J32-'CP RESUMO'!I32)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HISTORICOS'!K32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RESUMO'!K32-'CP RESUMO'!J32)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HISTORICOS'!L32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RESUMO'!L32-'CP RESUMO'!K32)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HISTORICOS'!M32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RESUMO'!M32-'CP RESUMO'!L32)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HISTORICOS'!N32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RESUMO'!N32-'CP RESUMO'!M32)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HISTORICOS'!O32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RESUMO'!O32-'CP RESUMO'!N32)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HISTORICOS'!P32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RESUMO'!P32-'CP RESUMO'!O32)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HISTORICOS'!Q32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RESUMO'!Q32-'CP RESUMO'!P32)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HISTORICOS'!R32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RESUMO'!R32-'CP RESUMO'!Q32)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HISTORICOS'!S32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RESUMO'!S32-'CP RESUMO'!R32)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HISTORICOS'!T32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RESUMO'!T32-'CP RESUMO'!S32)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HISTORICOS'!U32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RESUMO'!U32-'CP RESUMO'!T32)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HISTORICOS'!V32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RESUMO'!V32-'CP RESUMO'!U32)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HISTORICOS'!W32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RESUMO'!W32-'CP RESUMO'!V32)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HISTORICOS'!X32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RESUMO'!X32-'CP RESUMO'!W32)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HISTORICOS'!Y32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RESUMO'!Y32-'CP RESUMO'!X32)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HISTORICOS'!Z32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RESUMO'!Z32-'CP RESUMO'!Y32)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HISTORICOS'!AA32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RESUMO'!AA32-'CP RESUMO'!Z32)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HISTORICOS'!AB32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RESUMO'!AB32-'CP RESUMO'!AA32)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HISTORICOS'!AC32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RESUMO'!AC32-'CP RESUMO'!AB32)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HISTORICOS'!AD32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RESUMO'!AD32-'CP RESUMO'!AC32)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HISTORICOS'!AE32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RESUMO'!AE32-'CP RESUMO'!AD32)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HISTORICOS'!AF32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RESUMO'!AF32-'CP RESUMO'!AE32)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HISTORICOS'!AG32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1847.8</v>
      </c>
      <c r="M34" s="62">
        <f>MAX(0,'CP RESUMO'!AG32-'CP RESUMO'!AF32)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HISTORICOS'!AH32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3811.1</v>
      </c>
      <c r="M35" s="62">
        <f>MAX(0,'CP RESUMO'!AH32-'CP RESUMO'!AG32)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HISTORICOS'!AI32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32567.54</v>
      </c>
      <c r="M36" s="62">
        <f>MAX(0,'CP RESUMO'!AI32-'CP RESUMO'!AH32)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HISTORICOS'!AJ32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96547.75</v>
      </c>
      <c r="M37" s="62">
        <f>MAX(0,'CP RESUMO'!AJ32-'CP RESUMO'!AI32)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HISTORICOS'!AK32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87886.17</v>
      </c>
      <c r="M38" s="62">
        <f>MAX(0,'CP RESUMO'!AK32-'CP RESUMO'!AJ32)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HISTORICOS'!AL32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95970.31</v>
      </c>
      <c r="M39" s="62">
        <f>MAX(0,'CP RESUMO'!AL32-'CP RESUMO'!AK32)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HISTORICOS'!AM32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93083.11</v>
      </c>
      <c r="M40" s="62">
        <f>MAX(0,'CP RESUMO'!AM32-'CP RESUMO'!AL32)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HISTORICOS'!AN32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121493.1</v>
      </c>
      <c r="M41" s="62">
        <f>MAX(0,'CP RESUMO'!AN32-'CP RESUMO'!AM32)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HISTORICOS'!AO32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175887.82</v>
      </c>
      <c r="M42" s="62">
        <f>MAX(0,'CP RESUMO'!AO32-'CP RESUMO'!AN32)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HISTORICOS'!AP32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88579.09</v>
      </c>
      <c r="M43" s="62">
        <f>MAX(0,'CP RESUMO'!AP32-'CP RESUMO'!AO32)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HISTORICOS'!AQ32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99896.89</v>
      </c>
      <c r="M44" s="62">
        <f>MAX(0,'CP RESUMO'!AQ32-'CP RESUMO'!AP32)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HISTORICOS'!AR32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87539.7</v>
      </c>
      <c r="M45" s="62">
        <f>MAX(0,'CP RESUMO'!AR32-'CP RESUMO'!AQ32)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HISTORICOS'!AS32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65712.52</v>
      </c>
      <c r="M46" s="62">
        <f>MAX(0,'CP RESUMO'!AS32-'CP RESUMO'!AR32)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HISTORICOS'!AT32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36840.59</v>
      </c>
      <c r="M47" s="62">
        <f>MAX(0,'CP RESUMO'!AT32-'CP RESUMO'!AS32)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HISTORICOS'!AU32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9123.530000000001</v>
      </c>
      <c r="M48" s="62">
        <f>MAX(0,'CP RESUMO'!AU32-'CP RESUMO'!AT32)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HISTORICOS'!AV32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49775.21</v>
      </c>
      <c r="M49" s="62">
        <f>MAX(0,'CP RESUMO'!AV32-'CP RESUMO'!AU32)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HISTORICOS'!AW32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8315.120000000001</v>
      </c>
      <c r="M50" s="62">
        <f>MAX(0,'CP RESUMO'!AW32-'CP RESUMO'!AV32)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HISTORICOS'!AX32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RESUMO'!AX32-'CP RESUMO'!AW32)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HISTORICOS'!AY32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RESUMO'!AY32-'CP RESUMO'!AX32)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HISTORICOS'!AZ32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RESUMO'!AZ32-'CP RESUMO'!AY32)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HISTORICOS'!BA32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RESUMO'!BA32-'CP RESUMO'!AZ32)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HISTORICOS'!BB32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RESUMO'!BB32-'CP RESUMO'!BA32)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HISTORICOS'!BC32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RESUMO'!BC32-'CP RESUMO'!BB32)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HISTORICOS'!BD32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RESUMO'!BD32-'CP RESUMO'!BC32)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HISTORICOS'!BE32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RESUMO'!BE32-'CP RESUMO'!BD32)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HISTORICOS'!BF32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RESUMO'!BF32-'CP RESUMO'!BE32)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HISTORICOS'!BG32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RESUMO'!BG32-'CP RESUMO'!BF32)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HISTORICOS'!BH32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RESUMO'!BH32-'CP RESUMO'!BG32)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HISTORICOS'!BI32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RESUMO'!BI32-'CP RESUMO'!BH32)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HISTORICOS'!BJ32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RESUMO'!BJ32-'CP RESUMO'!BI32)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HISTORICOS'!BK32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RESUMO'!BK32-'CP RESUMO'!BJ32)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HISTORICOS'!BL32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RESUMO'!BL32-'CP RESUMO'!BK32)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HISTORICOS'!BM32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RESUMO'!BM32-'CP RESUMO'!BL32)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HISTORICOS'!BN32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RESUMO'!BN32-'CP RESUMO'!BM32)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HISTORICOS'!BO32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RESUMO'!BO32-'CP RESUMO'!BN32)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HISTORICOS'!BP32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RESUMO'!BP32-'CP RESUMO'!BO32)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HISTORICOS'!BQ32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RESUMO'!BQ32-'CP RESUMO'!BP32)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HISTORICOS'!BR32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RESUMO'!BR32-'CP RESUMO'!BQ32)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HISTORICOS'!BS32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RESUMO'!BS32-'CP RESUMO'!BR32)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HISTORICOS'!BT32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RESUMO'!BT32-'CP RESUMO'!BS32)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HISTORICOS'!BU32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RESUMO'!BU32-'CP RESUMO'!BT32)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HISTORICOS'!BV32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RESUMO'!BV32-'CP RESUMO'!BU32)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HISTORICOS'!BW32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RESUMO'!BW32-'CP RESUMO'!BV32)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PL'!D39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HISTORICOS'!D33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PL'!F39</f>
        <v/>
      </c>
      <c r="K5" s="37">
        <f>'VALOR POR PL'!G39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HISTORICOS'!E33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RESUMO'!E33-'CP RESUMO'!D33)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HISTORICOS'!F33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PL'!L39</f>
        <v/>
      </c>
      <c r="M7" s="62">
        <f>MAX(0,'CP RESUMO'!F33-'CP RESUMO'!E33)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HISTORICOS'!G33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RESUMO'!G33-'CP RESUMO'!F33)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HISTORICOS'!H33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RESUMO'!H33-'CP RESUMO'!G33)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HISTORICOS'!I33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RESUMO'!I33-'CP RESUMO'!H33)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HISTORICOS'!J33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RESUMO'!J33-'CP RESUMO'!I33)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HISTORICOS'!K33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RESUMO'!K33-'CP RESUMO'!J33)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HISTORICOS'!L33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RESUMO'!L33-'CP RESUMO'!K33)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HISTORICOS'!M33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RESUMO'!M33-'CP RESUMO'!L33)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HISTORICOS'!N33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RESUMO'!N33-'CP RESUMO'!M33)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HISTORICOS'!O33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RESUMO'!O33-'CP RESUMO'!N33)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HISTORICOS'!P33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RESUMO'!P33-'CP RESUMO'!O33)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HISTORICOS'!Q33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RESUMO'!Q33-'CP RESUMO'!P33)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HISTORICOS'!R33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RESUMO'!R33-'CP RESUMO'!Q33)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HISTORICOS'!S33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RESUMO'!S33-'CP RESUMO'!R33)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HISTORICOS'!T33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RESUMO'!T33-'CP RESUMO'!S33)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HISTORICOS'!U33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RESUMO'!U33-'CP RESUMO'!T33)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HISTORICOS'!V33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RESUMO'!V33-'CP RESUMO'!U33)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HISTORICOS'!W33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RESUMO'!W33-'CP RESUMO'!V33)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HISTORICOS'!X33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RESUMO'!X33-'CP RESUMO'!W33)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HISTORICOS'!Y33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RESUMO'!Y33-'CP RESUMO'!X33)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HISTORICOS'!Z33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RESUMO'!Z33-'CP RESUMO'!Y33)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HISTORICOS'!AA33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RESUMO'!AA33-'CP RESUMO'!Z33)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HISTORICOS'!AB33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RESUMO'!AB33-'CP RESUMO'!AA33)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HISTORICOS'!AC33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RESUMO'!AC33-'CP RESUMO'!AB33)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HISTORICOS'!AD33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RESUMO'!AD33-'CP RESUMO'!AC33)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HISTORICOS'!AE33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RESUMO'!AE33-'CP RESUMO'!AD33)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HISTORICOS'!AF33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RESUMO'!AF33-'CP RESUMO'!AE33)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HISTORICOS'!AG33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6102.57</v>
      </c>
      <c r="M34" s="62">
        <f>MAX(0,'CP RESUMO'!AG33-'CP RESUMO'!AF33)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HISTORICOS'!AH33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31574.17</v>
      </c>
      <c r="M35" s="62">
        <f>MAX(0,'CP RESUMO'!AH33-'CP RESUMO'!AG33)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HISTORICOS'!AI33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161320.12</v>
      </c>
      <c r="M36" s="62">
        <f>MAX(0,'CP RESUMO'!AI33-'CP RESUMO'!AH33)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HISTORICOS'!AJ33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184934.41</v>
      </c>
      <c r="M37" s="62">
        <f>MAX(0,'CP RESUMO'!AJ33-'CP RESUMO'!AI33)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HISTORICOS'!AK33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161850.78</v>
      </c>
      <c r="M38" s="62">
        <f>MAX(0,'CP RESUMO'!AK33-'CP RESUMO'!AJ33)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HISTORICOS'!AL33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268513.09</v>
      </c>
      <c r="M39" s="62">
        <f>MAX(0,'CP RESUMO'!AL33-'CP RESUMO'!AK33)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HISTORICOS'!AM33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315741.68</v>
      </c>
      <c r="M40" s="62">
        <f>MAX(0,'CP RESUMO'!AM33-'CP RESUMO'!AL33)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HISTORICOS'!AN33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238796.23</v>
      </c>
      <c r="M41" s="62">
        <f>MAX(0,'CP RESUMO'!AN33-'CP RESUMO'!AM33)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HISTORICOS'!AO33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170871.97</v>
      </c>
      <c r="M42" s="62">
        <f>MAX(0,'CP RESUMO'!AO33-'CP RESUMO'!AN33)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HISTORICOS'!AP33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244898.8</v>
      </c>
      <c r="M43" s="62">
        <f>MAX(0,'CP RESUMO'!AP33-'CP RESUMO'!AO33)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HISTORICOS'!AQ33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238000.24</v>
      </c>
      <c r="M44" s="62">
        <f>MAX(0,'CP RESUMO'!AQ33-'CP RESUMO'!AP33)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HISTORICOS'!AR33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223937.79</v>
      </c>
      <c r="M45" s="62">
        <f>MAX(0,'CP RESUMO'!AR33-'CP RESUMO'!AQ33)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HISTORICOS'!AS33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109846.26</v>
      </c>
      <c r="M46" s="62">
        <f>MAX(0,'CP RESUMO'!AS33-'CP RESUMO'!AR33)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HISTORICOS'!AT33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205099.43</v>
      </c>
      <c r="M47" s="62">
        <f>MAX(0,'CP RESUMO'!AT33-'CP RESUMO'!AS33)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HISTORICOS'!AU33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91803.88</v>
      </c>
      <c r="M48" s="62">
        <f>MAX(0,'CP RESUMO'!AU33-'CP RESUMO'!AT33)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HISTORICOS'!AV33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RESUMO'!AV33-'CP RESUMO'!AU33)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HISTORICOS'!AW33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RESUMO'!AW33-'CP RESUMO'!AV33)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HISTORICOS'!AX33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RESUMO'!AX33-'CP RESUMO'!AW33)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HISTORICOS'!AY33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RESUMO'!AY33-'CP RESUMO'!AX33)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HISTORICOS'!AZ33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RESUMO'!AZ33-'CP RESUMO'!AY33)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HISTORICOS'!BA33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RESUMO'!BA33-'CP RESUMO'!AZ33)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HISTORICOS'!BB33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RESUMO'!BB33-'CP RESUMO'!BA33)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HISTORICOS'!BC33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RESUMO'!BC33-'CP RESUMO'!BB33)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HISTORICOS'!BD33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RESUMO'!BD33-'CP RESUMO'!BC33)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HISTORICOS'!BE33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RESUMO'!BE33-'CP RESUMO'!BD33)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HISTORICOS'!BF33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RESUMO'!BF33-'CP RESUMO'!BE33)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HISTORICOS'!BG33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RESUMO'!BG33-'CP RESUMO'!BF33)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HISTORICOS'!BH33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RESUMO'!BH33-'CP RESUMO'!BG33)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HISTORICOS'!BI33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RESUMO'!BI33-'CP RESUMO'!BH33)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HISTORICOS'!BJ33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RESUMO'!BJ33-'CP RESUMO'!BI33)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HISTORICOS'!BK33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RESUMO'!BK33-'CP RESUMO'!BJ33)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HISTORICOS'!BL33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RESUMO'!BL33-'CP RESUMO'!BK33)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HISTORICOS'!BM33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RESUMO'!BM33-'CP RESUMO'!BL33)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HISTORICOS'!BN33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RESUMO'!BN33-'CP RESUMO'!BM33)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HISTORICOS'!BO33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RESUMO'!BO33-'CP RESUMO'!BN33)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HISTORICOS'!BP33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RESUMO'!BP33-'CP RESUMO'!BO33)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HISTORICOS'!BQ33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RESUMO'!BQ33-'CP RESUMO'!BP33)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HISTORICOS'!BR33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RESUMO'!BR33-'CP RESUMO'!BQ33)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HISTORICOS'!BS33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RESUMO'!BS33-'CP RESUMO'!BR33)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HISTORICOS'!BT33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RESUMO'!BT33-'CP RESUMO'!BS33)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HISTORICOS'!BU33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RESUMO'!BU33-'CP RESUMO'!BT33)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HISTORICOS'!BV33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RESUMO'!BV33-'CP RESUMO'!BU33)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HISTORICOS'!BW33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RESUMO'!BW33-'CP RESUMO'!BV33)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PL'!D40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HISTORICOS'!D34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PL'!F40</f>
        <v/>
      </c>
      <c r="K5" s="37">
        <f>'VALOR POR PL'!G40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HISTORICOS'!E34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RESUMO'!E34-'CP RESUMO'!D34)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HISTORICOS'!F34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PL'!L40</f>
        <v/>
      </c>
      <c r="M7" s="62">
        <f>MAX(0,'CP RESUMO'!F34-'CP RESUMO'!E34)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HISTORICOS'!G34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RESUMO'!G34-'CP RESUMO'!F34)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HISTORICOS'!H34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RESUMO'!H34-'CP RESUMO'!G34)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HISTORICOS'!I34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RESUMO'!I34-'CP RESUMO'!H34)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HISTORICOS'!J34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RESUMO'!J34-'CP RESUMO'!I34)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HISTORICOS'!K34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RESUMO'!K34-'CP RESUMO'!J34)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HISTORICOS'!L34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RESUMO'!L34-'CP RESUMO'!K34)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HISTORICOS'!M34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RESUMO'!M34-'CP RESUMO'!L34)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HISTORICOS'!N34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RESUMO'!N34-'CP RESUMO'!M34)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HISTORICOS'!O34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RESUMO'!O34-'CP RESUMO'!N34)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HISTORICOS'!P34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RESUMO'!P34-'CP RESUMO'!O34)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HISTORICOS'!Q34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RESUMO'!Q34-'CP RESUMO'!P34)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HISTORICOS'!R34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RESUMO'!R34-'CP RESUMO'!Q34)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HISTORICOS'!S34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RESUMO'!S34-'CP RESUMO'!R34)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HISTORICOS'!T34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RESUMO'!T34-'CP RESUMO'!S34)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HISTORICOS'!U34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RESUMO'!U34-'CP RESUMO'!T34)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HISTORICOS'!V34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RESUMO'!V34-'CP RESUMO'!U34)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HISTORICOS'!W34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RESUMO'!W34-'CP RESUMO'!V34)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HISTORICOS'!X34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RESUMO'!X34-'CP RESUMO'!W34)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HISTORICOS'!Y34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RESUMO'!Y34-'CP RESUMO'!X34)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HISTORICOS'!Z34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RESUMO'!Z34-'CP RESUMO'!Y34)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HISTORICOS'!AA34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RESUMO'!AA34-'CP RESUMO'!Z34)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HISTORICOS'!AB34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RESUMO'!AB34-'CP RESUMO'!AA34)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HISTORICOS'!AC34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RESUMO'!AC34-'CP RESUMO'!AB34)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HISTORICOS'!AD34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RESUMO'!AD34-'CP RESUMO'!AC34)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HISTORICOS'!AE34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RESUMO'!AE34-'CP RESUMO'!AD34)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HISTORICOS'!AF34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RESUMO'!AF34-'CP RESUMO'!AE34)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HISTORICOS'!AG34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RESUMO'!AG34-'CP RESUMO'!AF34)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HISTORICOS'!AH34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RESUMO'!AH34-'CP RESUMO'!AG34)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HISTORICOS'!AI34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RESUMO'!AI34-'CP RESUMO'!AH34)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HISTORICOS'!AJ34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RESUMO'!AJ34-'CP RESUMO'!AI34)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HISTORICOS'!AK34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52610.11</v>
      </c>
      <c r="M38" s="62">
        <f>MAX(0,'CP RESUMO'!AK34-'CP RESUMO'!AJ34)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HISTORICOS'!AL34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438417.58</v>
      </c>
      <c r="M39" s="62">
        <f>MAX(0,'CP RESUMO'!AL34-'CP RESUMO'!AK34)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HISTORICOS'!AM34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592959.78</v>
      </c>
      <c r="M40" s="62">
        <f>MAX(0,'CP RESUMO'!AM34-'CP RESUMO'!AL34)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HISTORICOS'!AN34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625841.1</v>
      </c>
      <c r="M41" s="62">
        <f>MAX(0,'CP RESUMO'!AN34-'CP RESUMO'!AM34)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HISTORICOS'!AO34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431841.32</v>
      </c>
      <c r="M42" s="62">
        <f>MAX(0,'CP RESUMO'!AO34-'CP RESUMO'!AN34)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HISTORICOS'!AP34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607208.35</v>
      </c>
      <c r="M43" s="62">
        <f>MAX(0,'CP RESUMO'!AP34-'CP RESUMO'!AO34)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HISTORICOS'!AQ34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773807.03</v>
      </c>
      <c r="M44" s="62">
        <f>MAX(0,'CP RESUMO'!AQ34-'CP RESUMO'!AP34)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HISTORICOS'!AR34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887795.61</v>
      </c>
      <c r="M45" s="62">
        <f>MAX(0,'CP RESUMO'!AR34-'CP RESUMO'!AQ34)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HISTORICOS'!AS34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788055.61</v>
      </c>
      <c r="M46" s="62">
        <f>MAX(0,'CP RESUMO'!AS34-'CP RESUMO'!AR34)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HISTORICOS'!AT34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839569.67</v>
      </c>
      <c r="M47" s="62">
        <f>MAX(0,'CP RESUMO'!AT34-'CP RESUMO'!AS34)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HISTORICOS'!AU34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905332.3100000001</v>
      </c>
      <c r="M48" s="62">
        <f>MAX(0,'CP RESUMO'!AU34-'CP RESUMO'!AT34)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HISTORICOS'!AV34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708044.4</v>
      </c>
      <c r="M49" s="62">
        <f>MAX(0,'CP RESUMO'!AV34-'CP RESUMO'!AU34)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HISTORICOS'!AW34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574327.03</v>
      </c>
      <c r="M50" s="62">
        <f>MAX(0,'CP RESUMO'!AW34-'CP RESUMO'!AV34)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HISTORICOS'!AX34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584191.4300000001</v>
      </c>
      <c r="M51" s="62">
        <f>MAX(0,'CP RESUMO'!AX34-'CP RESUMO'!AW34)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HISTORICOS'!AY34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486643.52</v>
      </c>
      <c r="M52" s="62">
        <f>MAX(0,'CP RESUMO'!AY34-'CP RESUMO'!AX34)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HISTORICOS'!AZ34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562270.55</v>
      </c>
      <c r="M53" s="62">
        <f>MAX(0,'CP RESUMO'!AZ34-'CP RESUMO'!AY34)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HISTORICOS'!BA34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516236.7</v>
      </c>
      <c r="M54" s="62">
        <f>MAX(0,'CP RESUMO'!BA34-'CP RESUMO'!AZ34)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HISTORICOS'!BB34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416496.7</v>
      </c>
      <c r="M55" s="62">
        <f>MAX(0,'CP RESUMO'!BB34-'CP RESUMO'!BA34)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HISTORICOS'!BC34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160196.29</v>
      </c>
      <c r="M56" s="62">
        <f>MAX(0,'CP RESUMO'!BC34-'CP RESUMO'!BB34)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HISTORICOS'!BD34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RESUMO'!BD34-'CP RESUMO'!BC34)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HISTORICOS'!BE34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RESUMO'!BE34-'CP RESUMO'!BD34)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HISTORICOS'!BF34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RESUMO'!BF34-'CP RESUMO'!BE34)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HISTORICOS'!BG34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RESUMO'!BG34-'CP RESUMO'!BF34)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HISTORICOS'!BH34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RESUMO'!BH34-'CP RESUMO'!BG34)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HISTORICOS'!BI34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RESUMO'!BI34-'CP RESUMO'!BH34)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HISTORICOS'!BJ34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RESUMO'!BJ34-'CP RESUMO'!BI34)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HISTORICOS'!BK34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RESUMO'!BK34-'CP RESUMO'!BJ34)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HISTORICOS'!BL34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RESUMO'!BL34-'CP RESUMO'!BK34)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HISTORICOS'!BM34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RESUMO'!BM34-'CP RESUMO'!BL34)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HISTORICOS'!BN34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RESUMO'!BN34-'CP RESUMO'!BM34)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HISTORICOS'!BO34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RESUMO'!BO34-'CP RESUMO'!BN34)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HISTORICOS'!BP34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RESUMO'!BP34-'CP RESUMO'!BO34)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HISTORICOS'!BQ34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RESUMO'!BQ34-'CP RESUMO'!BP34)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HISTORICOS'!BR34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RESUMO'!BR34-'CP RESUMO'!BQ34)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HISTORICOS'!BS34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RESUMO'!BS34-'CP RESUMO'!BR34)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HISTORICOS'!BT34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RESUMO'!BT34-'CP RESUMO'!BS34)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HISTORICOS'!BU34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RESUMO'!BU34-'CP RESUMO'!BT34)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HISTORICOS'!BV34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RESUMO'!BV34-'CP RESUMO'!BU34)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HISTORICOS'!BW34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RESUMO'!BW34-'CP RESUMO'!BV34)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PL'!D41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HISTORICOS'!D35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PL'!F41</f>
        <v/>
      </c>
      <c r="K5" s="37">
        <f>'VALOR POR PL'!G41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HISTORICOS'!E35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RESUMO'!E35-'CP RESUMO'!D35)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HISTORICOS'!F35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PL'!L41</f>
        <v/>
      </c>
      <c r="M7" s="62">
        <f>MAX(0,'CP RESUMO'!F35-'CP RESUMO'!E35)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HISTORICOS'!G35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RESUMO'!G35-'CP RESUMO'!F35)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HISTORICOS'!H35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RESUMO'!H35-'CP RESUMO'!G35)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HISTORICOS'!I35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RESUMO'!I35-'CP RESUMO'!H35)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HISTORICOS'!J35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RESUMO'!J35-'CP RESUMO'!I35)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HISTORICOS'!K35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RESUMO'!K35-'CP RESUMO'!J35)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HISTORICOS'!L35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RESUMO'!L35-'CP RESUMO'!K35)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HISTORICOS'!M35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RESUMO'!M35-'CP RESUMO'!L35)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HISTORICOS'!N35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RESUMO'!N35-'CP RESUMO'!M35)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HISTORICOS'!O35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RESUMO'!O35-'CP RESUMO'!N35)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HISTORICOS'!P35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RESUMO'!P35-'CP RESUMO'!O35)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HISTORICOS'!Q35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RESUMO'!Q35-'CP RESUMO'!P35)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HISTORICOS'!R35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RESUMO'!R35-'CP RESUMO'!Q35)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HISTORICOS'!S35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RESUMO'!S35-'CP RESUMO'!R35)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HISTORICOS'!T35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RESUMO'!T35-'CP RESUMO'!S35)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HISTORICOS'!U35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RESUMO'!U35-'CP RESUMO'!T35)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HISTORICOS'!V35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RESUMO'!V35-'CP RESUMO'!U35)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HISTORICOS'!W35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RESUMO'!W35-'CP RESUMO'!V35)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HISTORICOS'!X35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RESUMO'!X35-'CP RESUMO'!W35)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HISTORICOS'!Y35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RESUMO'!Y35-'CP RESUMO'!X35)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HISTORICOS'!Z35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RESUMO'!Z35-'CP RESUMO'!Y35)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HISTORICOS'!AA35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RESUMO'!AA35-'CP RESUMO'!Z35)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HISTORICOS'!AB35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RESUMO'!AB35-'CP RESUMO'!AA35)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HISTORICOS'!AC35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RESUMO'!AC35-'CP RESUMO'!AB35)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HISTORICOS'!AD35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RESUMO'!AD35-'CP RESUMO'!AC35)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HISTORICOS'!AE35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RESUMO'!AE35-'CP RESUMO'!AD35)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HISTORICOS'!AF35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RESUMO'!AF35-'CP RESUMO'!AE35)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HISTORICOS'!AG35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RESUMO'!AG35-'CP RESUMO'!AF35)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HISTORICOS'!AH35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RESUMO'!AH35-'CP RESUMO'!AG35)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HISTORICOS'!AI35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RESUMO'!AI35-'CP RESUMO'!AH35)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HISTORICOS'!AJ35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RESUMO'!AJ35-'CP RESUMO'!AI35)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HISTORICOS'!AK35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RESUMO'!AK35-'CP RESUMO'!AJ35)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HISTORICOS'!AL35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RESUMO'!AL35-'CP RESUMO'!AK35)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HISTORICOS'!AM35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RESUMO'!AM35-'CP RESUMO'!AL35)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HISTORICOS'!AN35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RESUMO'!AN35-'CP RESUMO'!AM35)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HISTORICOS'!AO35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17063.53</v>
      </c>
      <c r="M42" s="62">
        <f>MAX(0,'CP RESUMO'!AO35-'CP RESUMO'!AN35)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HISTORICOS'!AP35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35839.05</v>
      </c>
      <c r="M43" s="62">
        <f>MAX(0,'CP RESUMO'!AP35-'CP RESUMO'!AO35)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HISTORICOS'!AQ35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35839.05</v>
      </c>
      <c r="M44" s="62">
        <f>MAX(0,'CP RESUMO'!AQ35-'CP RESUMO'!AP35)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HISTORICOS'!AR35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23888.95</v>
      </c>
      <c r="M45" s="62">
        <f>MAX(0,'CP RESUMO'!AR35-'CP RESUMO'!AQ35)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HISTORICOS'!AS35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RESUMO'!AS35-'CP RESUMO'!AR35)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HISTORICOS'!AT35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RESUMO'!AT35-'CP RESUMO'!AS35)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HISTORICOS'!AU35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RESUMO'!AU35-'CP RESUMO'!AT35)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HISTORICOS'!AV35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RESUMO'!AV35-'CP RESUMO'!AU35)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HISTORICOS'!AW35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/>
      <c r="M50" s="62">
        <f>MAX(0,'CP RESUMO'!AW35-'CP RESUMO'!AV35)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HISTORICOS'!AX35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/>
      <c r="M51" s="62">
        <f>MAX(0,'CP RESUMO'!AX35-'CP RESUMO'!AW35)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HISTORICOS'!AY35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/>
      <c r="M52" s="62">
        <f>MAX(0,'CP RESUMO'!AY35-'CP RESUMO'!AX35)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HISTORICOS'!AZ35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/>
      <c r="M53" s="62">
        <f>MAX(0,'CP RESUMO'!AZ35-'CP RESUMO'!AY35)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HISTORICOS'!BA35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RESUMO'!BA35-'CP RESUMO'!AZ35)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HISTORICOS'!BB35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RESUMO'!BB35-'CP RESUMO'!BA35)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HISTORICOS'!BC35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RESUMO'!BC35-'CP RESUMO'!BB35)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HISTORICOS'!BD35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RESUMO'!BD35-'CP RESUMO'!BC35)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HISTORICOS'!BE35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RESUMO'!BE35-'CP RESUMO'!BD35)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HISTORICOS'!BF35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RESUMO'!BF35-'CP RESUMO'!BE35)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HISTORICOS'!BG35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RESUMO'!BG35-'CP RESUMO'!BF35)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HISTORICOS'!BH35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RESUMO'!BH35-'CP RESUMO'!BG35)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HISTORICOS'!BI35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RESUMO'!BI35-'CP RESUMO'!BH35)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HISTORICOS'!BJ35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RESUMO'!BJ35-'CP RESUMO'!BI35)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HISTORICOS'!BK35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RESUMO'!BK35-'CP RESUMO'!BJ35)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HISTORICOS'!BL35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RESUMO'!BL35-'CP RESUMO'!BK35)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HISTORICOS'!BM35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RESUMO'!BM35-'CP RESUMO'!BL35)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HISTORICOS'!BN35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RESUMO'!BN35-'CP RESUMO'!BM35)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HISTORICOS'!BO35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RESUMO'!BO35-'CP RESUMO'!BN35)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HISTORICOS'!BP35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RESUMO'!BP35-'CP RESUMO'!BO35)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HISTORICOS'!BQ35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RESUMO'!BQ35-'CP RESUMO'!BP35)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HISTORICOS'!BR35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RESUMO'!BR35-'CP RESUMO'!BQ35)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HISTORICOS'!BS35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RESUMO'!BS35-'CP RESUMO'!BR35)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HISTORICOS'!BT35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RESUMO'!BT35-'CP RESUMO'!BS35)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HISTORICOS'!BU35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RESUMO'!BU35-'CP RESUMO'!BT35)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HISTORICOS'!BV35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RESUMO'!BV35-'CP RESUMO'!BU35)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HISTORICOS'!BW35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RESUMO'!BW35-'CP RESUMO'!BV35)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PL'!D42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HISTORICOS'!D36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PL'!F42</f>
        <v/>
      </c>
      <c r="K5" s="37">
        <f>'VALOR POR PL'!G42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HISTORICOS'!E36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RESUMO'!E36-'CP RESUMO'!D36)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HISTORICOS'!F36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PL'!L42</f>
        <v/>
      </c>
      <c r="M7" s="62">
        <f>MAX(0,'CP RESUMO'!F36-'CP RESUMO'!E36)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HISTORICOS'!G36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RESUMO'!G36-'CP RESUMO'!F36)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HISTORICOS'!H36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RESUMO'!H36-'CP RESUMO'!G36)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HISTORICOS'!I36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RESUMO'!I36-'CP RESUMO'!H36)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HISTORICOS'!J36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RESUMO'!J36-'CP RESUMO'!I36)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HISTORICOS'!K36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RESUMO'!K36-'CP RESUMO'!J36)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HISTORICOS'!L36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RESUMO'!L36-'CP RESUMO'!K36)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HISTORICOS'!M36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RESUMO'!M36-'CP RESUMO'!L36)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HISTORICOS'!N36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RESUMO'!N36-'CP RESUMO'!M36)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HISTORICOS'!O36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RESUMO'!O36-'CP RESUMO'!N36)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HISTORICOS'!P36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RESUMO'!P36-'CP RESUMO'!O36)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HISTORICOS'!Q36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RESUMO'!Q36-'CP RESUMO'!P36)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HISTORICOS'!R36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RESUMO'!R36-'CP RESUMO'!Q36)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HISTORICOS'!S36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RESUMO'!S36-'CP RESUMO'!R36)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HISTORICOS'!T36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RESUMO'!T36-'CP RESUMO'!S36)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HISTORICOS'!U36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RESUMO'!U36-'CP RESUMO'!T36)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HISTORICOS'!V36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RESUMO'!V36-'CP RESUMO'!U36)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HISTORICOS'!W36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RESUMO'!W36-'CP RESUMO'!V36)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HISTORICOS'!X36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RESUMO'!X36-'CP RESUMO'!W36)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HISTORICOS'!Y36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RESUMO'!Y36-'CP RESUMO'!X36)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HISTORICOS'!Z36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RESUMO'!Z36-'CP RESUMO'!Y36)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HISTORICOS'!AA36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RESUMO'!AA36-'CP RESUMO'!Z36)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HISTORICOS'!AB36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RESUMO'!AB36-'CP RESUMO'!AA36)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HISTORICOS'!AC36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RESUMO'!AC36-'CP RESUMO'!AB36)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HISTORICOS'!AD36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RESUMO'!AD36-'CP RESUMO'!AC36)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HISTORICOS'!AE36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RESUMO'!AE36-'CP RESUMO'!AD36)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HISTORICOS'!AF36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RESUMO'!AF36-'CP RESUMO'!AE36)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HISTORICOS'!AG36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RESUMO'!AG36-'CP RESUMO'!AF36)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HISTORICOS'!AH36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RESUMO'!AH36-'CP RESUMO'!AG36)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HISTORICOS'!AI36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RESUMO'!AI36-'CP RESUMO'!AH36)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HISTORICOS'!AJ36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RESUMO'!AJ36-'CP RESUMO'!AI36)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HISTORICOS'!AK36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124648.41</v>
      </c>
      <c r="M38" s="62">
        <f>MAX(0,'CP RESUMO'!AK36-'CP RESUMO'!AJ36)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HISTORICOS'!AL36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342516.77</v>
      </c>
      <c r="M39" s="62">
        <f>MAX(0,'CP RESUMO'!AL36-'CP RESUMO'!AK36)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HISTORICOS'!AM36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420821.54</v>
      </c>
      <c r="M40" s="62">
        <f>MAX(0,'CP RESUMO'!AM36-'CP RESUMO'!AL36)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HISTORICOS'!AN36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361160.76</v>
      </c>
      <c r="M41" s="62">
        <f>MAX(0,'CP RESUMO'!AN36-'CP RESUMO'!AM36)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HISTORICOS'!AO36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278594.51</v>
      </c>
      <c r="M42" s="62">
        <f>MAX(0,'CP RESUMO'!AO36-'CP RESUMO'!AN36)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HISTORICOS'!AP36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267408.12</v>
      </c>
      <c r="M43" s="62">
        <f>MAX(0,'CP RESUMO'!AP36-'CP RESUMO'!AO36)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HISTORICOS'!AQ36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422419.6</v>
      </c>
      <c r="M44" s="62">
        <f>MAX(0,'CP RESUMO'!AQ36-'CP RESUMO'!AP36)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HISTORICOS'!AR36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359562.71</v>
      </c>
      <c r="M45" s="62">
        <f>MAX(0,'CP RESUMO'!AR36-'CP RESUMO'!AQ36)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HISTORICOS'!AS36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299369.25</v>
      </c>
      <c r="M46" s="62">
        <f>MAX(0,'CP RESUMO'!AS36-'CP RESUMO'!AR36)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HISTORICOS'!AT36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266342.75</v>
      </c>
      <c r="M47" s="62">
        <f>MAX(0,'CP RESUMO'!AT36-'CP RESUMO'!AS36)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HISTORICOS'!AU36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314817.13</v>
      </c>
      <c r="M48" s="62">
        <f>MAX(0,'CP RESUMO'!AU36-'CP RESUMO'!AT36)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HISTORICOS'!AV36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406971.72</v>
      </c>
      <c r="M49" s="62">
        <f>MAX(0,'CP RESUMO'!AV36-'CP RESUMO'!AU36)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HISTORICOS'!AW36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621643.97</v>
      </c>
      <c r="M50" s="62">
        <f>MAX(0,'CP RESUMO'!AW36-'CP RESUMO'!AV36)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HISTORICOS'!AX36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275931.09</v>
      </c>
      <c r="M51" s="62">
        <f>MAX(0,'CP RESUMO'!AX36-'CP RESUMO'!AW36)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HISTORICOS'!AY36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254090.98</v>
      </c>
      <c r="M52" s="62">
        <f>MAX(0,'CP RESUMO'!AY36-'CP RESUMO'!AX36)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HISTORICOS'!AZ36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176851.58</v>
      </c>
      <c r="M53" s="62">
        <f>MAX(0,'CP RESUMO'!AZ36-'CP RESUMO'!AY36)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HISTORICOS'!BA36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113994.7</v>
      </c>
      <c r="M54" s="62">
        <f>MAX(0,'CP RESUMO'!BA36-'CP RESUMO'!AZ36)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HISTORICOS'!BB36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10653.71</v>
      </c>
      <c r="M55" s="62">
        <f>MAX(0,'CP RESUMO'!BB36-'CP RESUMO'!BA36)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HISTORICOS'!BC36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9055.65</v>
      </c>
      <c r="M56" s="62">
        <f>MAX(0,'CP RESUMO'!BC36-'CP RESUMO'!BB36)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HISTORICOS'!BD36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RESUMO'!BD36-'CP RESUMO'!BC36)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HISTORICOS'!BE36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RESUMO'!BE36-'CP RESUMO'!BD36)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HISTORICOS'!BF36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RESUMO'!BF36-'CP RESUMO'!BE36)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HISTORICOS'!BG36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RESUMO'!BG36-'CP RESUMO'!BF36)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HISTORICOS'!BH36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RESUMO'!BH36-'CP RESUMO'!BG36)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HISTORICOS'!BI36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RESUMO'!BI36-'CP RESUMO'!BH36)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HISTORICOS'!BJ36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RESUMO'!BJ36-'CP RESUMO'!BI36)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HISTORICOS'!BK36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RESUMO'!BK36-'CP RESUMO'!BJ36)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HISTORICOS'!BL36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RESUMO'!BL36-'CP RESUMO'!BK36)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HISTORICOS'!BM36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RESUMO'!BM36-'CP RESUMO'!BL36)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HISTORICOS'!BN36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RESUMO'!BN36-'CP RESUMO'!BM36)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HISTORICOS'!BO36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RESUMO'!BO36-'CP RESUMO'!BN36)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HISTORICOS'!BP36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RESUMO'!BP36-'CP RESUMO'!BO36)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HISTORICOS'!BQ36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RESUMO'!BQ36-'CP RESUMO'!BP36)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HISTORICOS'!BR36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RESUMO'!BR36-'CP RESUMO'!BQ36)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HISTORICOS'!BS36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RESUMO'!BS36-'CP RESUMO'!BR36)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HISTORICOS'!BT36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RESUMO'!BT36-'CP RESUMO'!BS36)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HISTORICOS'!BU36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RESUMO'!BU36-'CP RESUMO'!BT36)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HISTORICOS'!BV36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RESUMO'!BV36-'CP RESUMO'!BU36)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HISTORICOS'!BW36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RESUMO'!BW36-'CP RESUMO'!BV36)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PL'!D43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HISTORICOS'!D37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PL'!F43</f>
        <v/>
      </c>
      <c r="K5" s="37">
        <f>'VALOR POR PL'!G43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HISTORICOS'!E37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RESUMO'!E37-'CP RESUMO'!D37)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HISTORICOS'!F37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PL'!L43</f>
        <v/>
      </c>
      <c r="M7" s="62">
        <f>MAX(0,'CP RESUMO'!F37-'CP RESUMO'!E37)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HISTORICOS'!G37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RESUMO'!G37-'CP RESUMO'!F37)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HISTORICOS'!H37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RESUMO'!H37-'CP RESUMO'!G37)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HISTORICOS'!I37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RESUMO'!I37-'CP RESUMO'!H37)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HISTORICOS'!J37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RESUMO'!J37-'CP RESUMO'!I37)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HISTORICOS'!K37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RESUMO'!K37-'CP RESUMO'!J37)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HISTORICOS'!L37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RESUMO'!L37-'CP RESUMO'!K37)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HISTORICOS'!M37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RESUMO'!M37-'CP RESUMO'!L37)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HISTORICOS'!N37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RESUMO'!N37-'CP RESUMO'!M37)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HISTORICOS'!O37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RESUMO'!O37-'CP RESUMO'!N37)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HISTORICOS'!P37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RESUMO'!P37-'CP RESUMO'!O37)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HISTORICOS'!Q37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RESUMO'!Q37-'CP RESUMO'!P37)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HISTORICOS'!R37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RESUMO'!R37-'CP RESUMO'!Q37)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HISTORICOS'!S37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RESUMO'!S37-'CP RESUMO'!R37)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HISTORICOS'!T37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RESUMO'!T37-'CP RESUMO'!S37)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HISTORICOS'!U37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RESUMO'!U37-'CP RESUMO'!T37)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HISTORICOS'!V37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RESUMO'!V37-'CP RESUMO'!U37)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HISTORICOS'!W37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RESUMO'!W37-'CP RESUMO'!V37)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HISTORICOS'!X37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RESUMO'!X37-'CP RESUMO'!W37)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HISTORICOS'!Y37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RESUMO'!Y37-'CP RESUMO'!X37)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HISTORICOS'!Z37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RESUMO'!Z37-'CP RESUMO'!Y37)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HISTORICOS'!AA37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RESUMO'!AA37-'CP RESUMO'!Z37)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HISTORICOS'!AB37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RESUMO'!AB37-'CP RESUMO'!AA37)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HISTORICOS'!AC37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RESUMO'!AC37-'CP RESUMO'!AB37)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HISTORICOS'!AD37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RESUMO'!AD37-'CP RESUMO'!AC37)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HISTORICOS'!AE37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RESUMO'!AE37-'CP RESUMO'!AD37)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HISTORICOS'!AF37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RESUMO'!AF37-'CP RESUMO'!AE37)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HISTORICOS'!AG37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RESUMO'!AG37-'CP RESUMO'!AF37)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HISTORICOS'!AH37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RESUMO'!AH37-'CP RESUMO'!AG37)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HISTORICOS'!AI37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RESUMO'!AI37-'CP RESUMO'!AH37)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HISTORICOS'!AJ37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RESUMO'!AJ37-'CP RESUMO'!AI37)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HISTORICOS'!AK37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RESUMO'!AK37-'CP RESUMO'!AJ37)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HISTORICOS'!AL37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RESUMO'!AL37-'CP RESUMO'!AK37)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HISTORICOS'!AM37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69290.32000000001</v>
      </c>
      <c r="M40" s="62">
        <f>MAX(0,'CP RESUMO'!AM37-'CP RESUMO'!AL37)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HISTORICOS'!AN37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132168.16</v>
      </c>
      <c r="M41" s="62">
        <f>MAX(0,'CP RESUMO'!AN37-'CP RESUMO'!AM37)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HISTORICOS'!AO37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113999.49</v>
      </c>
      <c r="M42" s="62">
        <f>MAX(0,'CP RESUMO'!AO37-'CP RESUMO'!AN37)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HISTORICOS'!AP37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155680.56</v>
      </c>
      <c r="M43" s="62">
        <f>MAX(0,'CP RESUMO'!AP37-'CP RESUMO'!AO37)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HISTORICOS'!AQ37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148199.34</v>
      </c>
      <c r="M44" s="62">
        <f>MAX(0,'CP RESUMO'!AQ37-'CP RESUMO'!AP37)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HISTORICOS'!AR37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290876.84</v>
      </c>
      <c r="M45" s="62">
        <f>MAX(0,'CP RESUMO'!AR37-'CP RESUMO'!AQ37)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HISTORICOS'!AS37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198252.25</v>
      </c>
      <c r="M46" s="62">
        <f>MAX(0,'CP RESUMO'!AS37-'CP RESUMO'!AR37)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HISTORICOS'!AT37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153008.7</v>
      </c>
      <c r="M47" s="62">
        <f>MAX(0,'CP RESUMO'!AT37-'CP RESUMO'!AS37)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HISTORICOS'!AU37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144814.98</v>
      </c>
      <c r="M48" s="62">
        <f>MAX(0,'CP RESUMO'!AU37-'CP RESUMO'!AT37)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HISTORICOS'!AV37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139827.51</v>
      </c>
      <c r="M49" s="62">
        <f>MAX(0,'CP RESUMO'!AV37-'CP RESUMO'!AU37)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HISTORICOS'!AW37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132524.41</v>
      </c>
      <c r="M50" s="62">
        <f>MAX(0,'CP RESUMO'!AW37-'CP RESUMO'!AV37)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HISTORICOS'!AX37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29746.74</v>
      </c>
      <c r="M51" s="62">
        <f>MAX(0,'CP RESUMO'!AX37-'CP RESUMO'!AW37)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HISTORICOS'!AY37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56643.5</v>
      </c>
      <c r="M52" s="62">
        <f>MAX(0,'CP RESUMO'!AY37-'CP RESUMO'!AX37)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HISTORICOS'!AZ37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16209.3</v>
      </c>
      <c r="M53" s="62">
        <f>MAX(0,'CP RESUMO'!AZ37-'CP RESUMO'!AY37)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HISTORICOS'!BA37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/>
      <c r="M54" s="62">
        <f>MAX(0,'CP RESUMO'!BA37-'CP RESUMO'!AZ37)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HISTORICOS'!BB37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RESUMO'!BB37-'CP RESUMO'!BA37)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HISTORICOS'!BC37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RESUMO'!BC37-'CP RESUMO'!BB37)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HISTORICOS'!BD37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RESUMO'!BD37-'CP RESUMO'!BC37)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HISTORICOS'!BE37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RESUMO'!BE37-'CP RESUMO'!BD37)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HISTORICOS'!BF37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RESUMO'!BF37-'CP RESUMO'!BE37)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HISTORICOS'!BG37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RESUMO'!BG37-'CP RESUMO'!BF37)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HISTORICOS'!BH37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RESUMO'!BH37-'CP RESUMO'!BG37)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HISTORICOS'!BI37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RESUMO'!BI37-'CP RESUMO'!BH37)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HISTORICOS'!BJ37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RESUMO'!BJ37-'CP RESUMO'!BI37)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HISTORICOS'!BK37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RESUMO'!BK37-'CP RESUMO'!BJ37)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HISTORICOS'!BL37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RESUMO'!BL37-'CP RESUMO'!BK37)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HISTORICOS'!BM37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RESUMO'!BM37-'CP RESUMO'!BL37)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HISTORICOS'!BN37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RESUMO'!BN37-'CP RESUMO'!BM37)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HISTORICOS'!BO37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RESUMO'!BO37-'CP RESUMO'!BN37)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HISTORICOS'!BP37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RESUMO'!BP37-'CP RESUMO'!BO37)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HISTORICOS'!BQ37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RESUMO'!BQ37-'CP RESUMO'!BP37)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HISTORICOS'!BR37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RESUMO'!BR37-'CP RESUMO'!BQ37)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HISTORICOS'!BS37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RESUMO'!BS37-'CP RESUMO'!BR37)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HISTORICOS'!BT37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RESUMO'!BT37-'CP RESUMO'!BS37)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HISTORICOS'!BU37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RESUMO'!BU37-'CP RESUMO'!BT37)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HISTORICOS'!BV37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RESUMO'!BV37-'CP RESUMO'!BU37)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HISTORICOS'!BW37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RESUMO'!BW37-'CP RESUMO'!BV37)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PL'!D44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HISTORICOS'!D38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PL'!F44</f>
        <v/>
      </c>
      <c r="K5" s="37">
        <f>'VALOR POR PL'!G44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HISTORICOS'!E38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RESUMO'!E38-'CP RESUMO'!D38)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HISTORICOS'!F38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PL'!L44</f>
        <v/>
      </c>
      <c r="M7" s="62">
        <f>MAX(0,'CP RESUMO'!F38-'CP RESUMO'!E38)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HISTORICOS'!G38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RESUMO'!G38-'CP RESUMO'!F38)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HISTORICOS'!H38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RESUMO'!H38-'CP RESUMO'!G38)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HISTORICOS'!I38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RESUMO'!I38-'CP RESUMO'!H38)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HISTORICOS'!J38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RESUMO'!J38-'CP RESUMO'!I38)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HISTORICOS'!K38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RESUMO'!K38-'CP RESUMO'!J38)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HISTORICOS'!L38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RESUMO'!L38-'CP RESUMO'!K38)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HISTORICOS'!M38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RESUMO'!M38-'CP RESUMO'!L38)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HISTORICOS'!N38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RESUMO'!N38-'CP RESUMO'!M38)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HISTORICOS'!O38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RESUMO'!O38-'CP RESUMO'!N38)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HISTORICOS'!P38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RESUMO'!P38-'CP RESUMO'!O38)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HISTORICOS'!Q38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RESUMO'!Q38-'CP RESUMO'!P38)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HISTORICOS'!R38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RESUMO'!R38-'CP RESUMO'!Q38)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HISTORICOS'!S38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RESUMO'!S38-'CP RESUMO'!R38)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HISTORICOS'!T38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RESUMO'!T38-'CP RESUMO'!S38)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HISTORICOS'!U38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RESUMO'!U38-'CP RESUMO'!T38)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HISTORICOS'!V38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RESUMO'!V38-'CP RESUMO'!U38)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HISTORICOS'!W38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RESUMO'!W38-'CP RESUMO'!V38)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HISTORICOS'!X38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RESUMO'!X38-'CP RESUMO'!W38)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HISTORICOS'!Y38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RESUMO'!Y38-'CP RESUMO'!X38)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HISTORICOS'!Z38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RESUMO'!Z38-'CP RESUMO'!Y38)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HISTORICOS'!AA38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RESUMO'!AA38-'CP RESUMO'!Z38)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HISTORICOS'!AB38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RESUMO'!AB38-'CP RESUMO'!AA38)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HISTORICOS'!AC38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RESUMO'!AC38-'CP RESUMO'!AB38)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HISTORICOS'!AD38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RESUMO'!AD38-'CP RESUMO'!AC38)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HISTORICOS'!AE38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RESUMO'!AE38-'CP RESUMO'!AD38)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HISTORICOS'!AF38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RESUMO'!AF38-'CP RESUMO'!AE38)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HISTORICOS'!AG38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RESUMO'!AG38-'CP RESUMO'!AF38)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HISTORICOS'!AH38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RESUMO'!AH38-'CP RESUMO'!AG38)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HISTORICOS'!AI38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RESUMO'!AI38-'CP RESUMO'!AH38)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HISTORICOS'!AJ38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RESUMO'!AJ38-'CP RESUMO'!AI38)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HISTORICOS'!AK38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RESUMO'!AK38-'CP RESUMO'!AJ38)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HISTORICOS'!AL38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RESUMO'!AL38-'CP RESUMO'!AK38)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HISTORICOS'!AM38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RESUMO'!AM38-'CP RESUMO'!AL38)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HISTORICOS'!AN38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RESUMO'!AN38-'CP RESUMO'!AM38)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HISTORICOS'!AO38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RESUMO'!AO38-'CP RESUMO'!AN38)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HISTORICOS'!AP38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RESUMO'!AP38-'CP RESUMO'!AO38)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HISTORICOS'!AQ38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RESUMO'!AQ38-'CP RESUMO'!AP38)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HISTORICOS'!AR38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204179.37</v>
      </c>
      <c r="M45" s="62">
        <f>MAX(0,'CP RESUMO'!AR38-'CP RESUMO'!AQ38)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HISTORICOS'!AS38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174146.64</v>
      </c>
      <c r="M46" s="62">
        <f>MAX(0,'CP RESUMO'!AS38-'CP RESUMO'!AR38)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HISTORICOS'!AT38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227082.03</v>
      </c>
      <c r="M47" s="62">
        <f>MAX(0,'CP RESUMO'!AT38-'CP RESUMO'!AS38)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HISTORICOS'!AU38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213686.14</v>
      </c>
      <c r="M48" s="62">
        <f>MAX(0,'CP RESUMO'!AU38-'CP RESUMO'!AT38)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HISTORICOS'!AV38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207420.32</v>
      </c>
      <c r="M49" s="62">
        <f>MAX(0,'CP RESUMO'!AV38-'CP RESUMO'!AU38)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HISTORICOS'!AW38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226001.72</v>
      </c>
      <c r="M50" s="62">
        <f>MAX(0,'CP RESUMO'!AW38-'CP RESUMO'!AV38)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HISTORICOS'!AX38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177603.65</v>
      </c>
      <c r="M51" s="62">
        <f>MAX(0,'CP RESUMO'!AX38-'CP RESUMO'!AW38)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HISTORICOS'!AY38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186894.35</v>
      </c>
      <c r="M52" s="62">
        <f>MAX(0,'CP RESUMO'!AY38-'CP RESUMO'!AX38)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HISTORICOS'!AZ38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176091.21</v>
      </c>
      <c r="M53" s="62">
        <f>MAX(0,'CP RESUMO'!AZ38-'CP RESUMO'!AY38)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HISTORICOS'!BA38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151676.11</v>
      </c>
      <c r="M54" s="62">
        <f>MAX(0,'CP RESUMO'!BA38-'CP RESUMO'!AZ38)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HISTORICOS'!BB38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187326.47</v>
      </c>
      <c r="M55" s="62">
        <f>MAX(0,'CP RESUMO'!BB38-'CP RESUMO'!BA38)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HISTORICOS'!BC38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28520.29</v>
      </c>
      <c r="M56" s="62">
        <f>MAX(0,'CP RESUMO'!BC38-'CP RESUMO'!BB38)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HISTORICOS'!BD38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RESUMO'!BD38-'CP RESUMO'!BC38)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HISTORICOS'!BE38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RESUMO'!BE38-'CP RESUMO'!BD38)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HISTORICOS'!BF38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RESUMO'!BF38-'CP RESUMO'!BE38)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HISTORICOS'!BG38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RESUMO'!BG38-'CP RESUMO'!BF38)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HISTORICOS'!BH38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RESUMO'!BH38-'CP RESUMO'!BG38)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HISTORICOS'!BI38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RESUMO'!BI38-'CP RESUMO'!BH38)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HISTORICOS'!BJ38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RESUMO'!BJ38-'CP RESUMO'!BI38)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HISTORICOS'!BK38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RESUMO'!BK38-'CP RESUMO'!BJ38)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HISTORICOS'!BL38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RESUMO'!BL38-'CP RESUMO'!BK38)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HISTORICOS'!BM38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RESUMO'!BM38-'CP RESUMO'!BL38)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HISTORICOS'!BN38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RESUMO'!BN38-'CP RESUMO'!BM38)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HISTORICOS'!BO38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RESUMO'!BO38-'CP RESUMO'!BN38)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HISTORICOS'!BP38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RESUMO'!BP38-'CP RESUMO'!BO38)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HISTORICOS'!BQ38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RESUMO'!BQ38-'CP RESUMO'!BP38)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HISTORICOS'!BR38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RESUMO'!BR38-'CP RESUMO'!BQ38)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HISTORICOS'!BS38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RESUMO'!BS38-'CP RESUMO'!BR38)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HISTORICOS'!BT38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RESUMO'!BT38-'CP RESUMO'!BS38)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HISTORICOS'!BU38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RESUMO'!BU38-'CP RESUMO'!BT38)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HISTORICOS'!BV38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RESUMO'!BV38-'CP RESUMO'!BU38)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HISTORICOS'!BW38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RESUMO'!BW38-'CP RESUMO'!BV38)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PL'!D45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HISTORICOS'!D39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PL'!F45</f>
        <v/>
      </c>
      <c r="K5" s="37">
        <f>'VALOR POR PL'!G45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HISTORICOS'!E39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RESUMO'!E39-'CP RESUMO'!D39)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HISTORICOS'!F39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PL'!L45</f>
        <v/>
      </c>
      <c r="M7" s="62">
        <f>MAX(0,'CP RESUMO'!F39-'CP RESUMO'!E39)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HISTORICOS'!G39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RESUMO'!G39-'CP RESUMO'!F39)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HISTORICOS'!H39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RESUMO'!H39-'CP RESUMO'!G39)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HISTORICOS'!I39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RESUMO'!I39-'CP RESUMO'!H39)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HISTORICOS'!J39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RESUMO'!J39-'CP RESUMO'!I39)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HISTORICOS'!K39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RESUMO'!K39-'CP RESUMO'!J39)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HISTORICOS'!L39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RESUMO'!L39-'CP RESUMO'!K39)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HISTORICOS'!M39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RESUMO'!M39-'CP RESUMO'!L39)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HISTORICOS'!N39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RESUMO'!N39-'CP RESUMO'!M39)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HISTORICOS'!O39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RESUMO'!O39-'CP RESUMO'!N39)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HISTORICOS'!P39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RESUMO'!P39-'CP RESUMO'!O39)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HISTORICOS'!Q39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RESUMO'!Q39-'CP RESUMO'!P39)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HISTORICOS'!R39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RESUMO'!R39-'CP RESUMO'!Q39)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HISTORICOS'!S39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RESUMO'!S39-'CP RESUMO'!R39)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HISTORICOS'!T39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RESUMO'!T39-'CP RESUMO'!S39)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HISTORICOS'!U39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RESUMO'!U39-'CP RESUMO'!T39)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HISTORICOS'!V39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RESUMO'!V39-'CP RESUMO'!U39)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HISTORICOS'!W39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RESUMO'!W39-'CP RESUMO'!V39)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HISTORICOS'!X39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RESUMO'!X39-'CP RESUMO'!W39)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HISTORICOS'!Y39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RESUMO'!Y39-'CP RESUMO'!X39)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HISTORICOS'!Z39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RESUMO'!Z39-'CP RESUMO'!Y39)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HISTORICOS'!AA39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RESUMO'!AA39-'CP RESUMO'!Z39)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HISTORICOS'!AB39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RESUMO'!AB39-'CP RESUMO'!AA39)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HISTORICOS'!AC39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RESUMO'!AC39-'CP RESUMO'!AB39)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HISTORICOS'!AD39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RESUMO'!AD39-'CP RESUMO'!AC39)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HISTORICOS'!AE39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RESUMO'!AE39-'CP RESUMO'!AD39)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HISTORICOS'!AF39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>
        <v>6143.06</v>
      </c>
      <c r="M33" s="62">
        <f>MAX(0,'CP RESUMO'!AF39-'CP RESUMO'!AE39)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HISTORICOS'!AG39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>
        <v>11788.04</v>
      </c>
      <c r="M34" s="62">
        <f>MAX(0,'CP RESUMO'!AG39-'CP RESUMO'!AF39)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HISTORICOS'!AH39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>
        <v>19370.02</v>
      </c>
      <c r="M35" s="62">
        <f>MAX(0,'CP RESUMO'!AH39-'CP RESUMO'!AG39)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HISTORICOS'!AI39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>
        <v>36470.97</v>
      </c>
      <c r="M36" s="62">
        <f>MAX(0,'CP RESUMO'!AI39-'CP RESUMO'!AH39)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HISTORICOS'!AJ39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>
        <v>33925.2</v>
      </c>
      <c r="M37" s="62">
        <f>MAX(0,'CP RESUMO'!AJ39-'CP RESUMO'!AI39)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HISTORICOS'!AK39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>
        <v>47816.27</v>
      </c>
      <c r="M38" s="62">
        <f>MAX(0,'CP RESUMO'!AK39-'CP RESUMO'!AJ39)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HISTORICOS'!AL39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>
        <v>49421.21</v>
      </c>
      <c r="M39" s="62">
        <f>MAX(0,'CP RESUMO'!AL39-'CP RESUMO'!AK39)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HISTORICOS'!AM39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>
        <v>55564.28</v>
      </c>
      <c r="M40" s="62">
        <f>MAX(0,'CP RESUMO'!AM39-'CP RESUMO'!AL39)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HISTORICOS'!AN39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>
        <v>120000</v>
      </c>
      <c r="M41" s="62">
        <f>MAX(0,'CP RESUMO'!AN39-'CP RESUMO'!AM39)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HISTORICOS'!AO39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>
        <v>297136.05</v>
      </c>
      <c r="M42" s="62">
        <f>MAX(0,'CP RESUMO'!AO39-'CP RESUMO'!AN39)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HISTORICOS'!AP39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>
        <v>318055.67</v>
      </c>
      <c r="M43" s="62">
        <f>MAX(0,'CP RESUMO'!AP39-'CP RESUMO'!AO39)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HISTORICOS'!AQ39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>
        <v>266531.43</v>
      </c>
      <c r="M44" s="62">
        <f>MAX(0,'CP RESUMO'!AQ39-'CP RESUMO'!AP39)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HISTORICOS'!AR39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319992.67</v>
      </c>
      <c r="M45" s="62">
        <f>MAX(0,'CP RESUMO'!AR39-'CP RESUMO'!AQ39)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HISTORICOS'!AS39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166969.54</v>
      </c>
      <c r="M46" s="62">
        <f>MAX(0,'CP RESUMO'!AS39-'CP RESUMO'!AR39)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HISTORICOS'!AT39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158467.79</v>
      </c>
      <c r="M47" s="62">
        <f>MAX(0,'CP RESUMO'!AT39-'CP RESUMO'!AS39)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HISTORICOS'!AU39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158467.79</v>
      </c>
      <c r="M48" s="62">
        <f>MAX(0,'CP RESUMO'!AU39-'CP RESUMO'!AT39)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HISTORICOS'!AV39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158467.79</v>
      </c>
      <c r="M49" s="62">
        <f>MAX(0,'CP RESUMO'!AV39-'CP RESUMO'!AU39)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HISTORICOS'!AW39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158467.79</v>
      </c>
      <c r="M50" s="62">
        <f>MAX(0,'CP RESUMO'!AW39-'CP RESUMO'!AV39)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HISTORICOS'!AX39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158467.79</v>
      </c>
      <c r="M51" s="62">
        <f>MAX(0,'CP RESUMO'!AX39-'CP RESUMO'!AW39)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HISTORICOS'!AY39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158467.79</v>
      </c>
      <c r="M52" s="62">
        <f>MAX(0,'CP RESUMO'!AY39-'CP RESUMO'!AX39)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HISTORICOS'!AZ39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158467.79</v>
      </c>
      <c r="M53" s="62">
        <f>MAX(0,'CP RESUMO'!AZ39-'CP RESUMO'!AY39)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HISTORICOS'!BA39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158467.79</v>
      </c>
      <c r="M54" s="62">
        <f>MAX(0,'CP RESUMO'!BA39-'CP RESUMO'!AZ39)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HISTORICOS'!BB39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158467.79</v>
      </c>
      <c r="M55" s="62">
        <f>MAX(0,'CP RESUMO'!BB39-'CP RESUMO'!BA39)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HISTORICOS'!BC39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158467.79</v>
      </c>
      <c r="M56" s="62">
        <f>MAX(0,'CP RESUMO'!BC39-'CP RESUMO'!BB39)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HISTORICOS'!BD39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>
        <v>158467.79</v>
      </c>
      <c r="M57" s="62">
        <f>MAX(0,'CP RESUMO'!BD39-'CP RESUMO'!BC39)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HISTORICOS'!BE39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>
        <v>267371.55</v>
      </c>
      <c r="M58" s="62">
        <f>MAX(0,'CP RESUMO'!BE39-'CP RESUMO'!BD39)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HISTORICOS'!BF39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RESUMO'!BF39-'CP RESUMO'!BE39)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HISTORICOS'!BG39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RESUMO'!BG39-'CP RESUMO'!BF39)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HISTORICOS'!BH39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RESUMO'!BH39-'CP RESUMO'!BG39)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HISTORICOS'!BI39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RESUMO'!BI39-'CP RESUMO'!BH39)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HISTORICOS'!BJ39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RESUMO'!BJ39-'CP RESUMO'!BI39)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HISTORICOS'!BK39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RESUMO'!BK39-'CP RESUMO'!BJ39)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HISTORICOS'!BL39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RESUMO'!BL39-'CP RESUMO'!BK39)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HISTORICOS'!BM39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RESUMO'!BM39-'CP RESUMO'!BL39)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HISTORICOS'!BN39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RESUMO'!BN39-'CP RESUMO'!BM39)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HISTORICOS'!BO39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RESUMO'!BO39-'CP RESUMO'!BN39)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HISTORICOS'!BP39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RESUMO'!BP39-'CP RESUMO'!BO39)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HISTORICOS'!BQ39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RESUMO'!BQ39-'CP RESUMO'!BP39)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HISTORICOS'!BR39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RESUMO'!BR39-'CP RESUMO'!BQ39)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HISTORICOS'!BS39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RESUMO'!BS39-'CP RESUMO'!BR39)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HISTORICOS'!BT39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RESUMO'!BT39-'CP RESUMO'!BS39)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HISTORICOS'!BU39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RESUMO'!BU39-'CP RESUMO'!BT39)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HISTORICOS'!BV39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RESUMO'!BV39-'CP RESUMO'!BU39)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HISTORICOS'!BW39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RESUMO'!BW39-'CP RESUMO'!BV39)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PL'!D46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HISTORICOS'!D40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PL'!F46</f>
        <v/>
      </c>
      <c r="K5" s="37">
        <f>'VALOR POR PL'!G46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HISTORICOS'!E40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RESUMO'!E40-'CP RESUMO'!D40)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HISTORICOS'!F40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PL'!L46</f>
        <v/>
      </c>
      <c r="M7" s="62">
        <f>MAX(0,'CP RESUMO'!F40-'CP RESUMO'!E40)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HISTORICOS'!G40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RESUMO'!G40-'CP RESUMO'!F40)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HISTORICOS'!H40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RESUMO'!H40-'CP RESUMO'!G40)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HISTORICOS'!I40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RESUMO'!I40-'CP RESUMO'!H40)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HISTORICOS'!J40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RESUMO'!J40-'CP RESUMO'!I40)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HISTORICOS'!K40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RESUMO'!K40-'CP RESUMO'!J40)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HISTORICOS'!L40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RESUMO'!L40-'CP RESUMO'!K40)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HISTORICOS'!M40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RESUMO'!M40-'CP RESUMO'!L40)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HISTORICOS'!N40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RESUMO'!N40-'CP RESUMO'!M40)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HISTORICOS'!O40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RESUMO'!O40-'CP RESUMO'!N40)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HISTORICOS'!P40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RESUMO'!P40-'CP RESUMO'!O40)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HISTORICOS'!Q40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RESUMO'!Q40-'CP RESUMO'!P40)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HISTORICOS'!R40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RESUMO'!R40-'CP RESUMO'!Q40)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HISTORICOS'!S40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RESUMO'!S40-'CP RESUMO'!R40)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HISTORICOS'!T40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RESUMO'!T40-'CP RESUMO'!S40)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HISTORICOS'!U40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RESUMO'!U40-'CP RESUMO'!T40)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HISTORICOS'!V40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RESUMO'!V40-'CP RESUMO'!U40)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HISTORICOS'!W40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RESUMO'!W40-'CP RESUMO'!V40)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HISTORICOS'!X40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RESUMO'!X40-'CP RESUMO'!W40)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HISTORICOS'!Y40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RESUMO'!Y40-'CP RESUMO'!X40)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HISTORICOS'!Z40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RESUMO'!Z40-'CP RESUMO'!Y40)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HISTORICOS'!AA40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RESUMO'!AA40-'CP RESUMO'!Z40)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HISTORICOS'!AB40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RESUMO'!AB40-'CP RESUMO'!AA40)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HISTORICOS'!AC40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RESUMO'!AC40-'CP RESUMO'!AB40)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HISTORICOS'!AD40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RESUMO'!AD40-'CP RESUMO'!AC40)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HISTORICOS'!AE40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RESUMO'!AE40-'CP RESUMO'!AD40)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HISTORICOS'!AF40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RESUMO'!AF40-'CP RESUMO'!AE40)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HISTORICOS'!AG40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RESUMO'!AG40-'CP RESUMO'!AF40)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HISTORICOS'!AH40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RESUMO'!AH40-'CP RESUMO'!AG40)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HISTORICOS'!AI40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RESUMO'!AI40-'CP RESUMO'!AH40)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HISTORICOS'!AJ40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RESUMO'!AJ40-'CP RESUMO'!AI40)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HISTORICOS'!AK40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RESUMO'!AK40-'CP RESUMO'!AJ40)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HISTORICOS'!AL40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RESUMO'!AL40-'CP RESUMO'!AK40)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HISTORICOS'!AM40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RESUMO'!AM40-'CP RESUMO'!AL40)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HISTORICOS'!AN40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RESUMO'!AN40-'CP RESUMO'!AM40)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HISTORICOS'!AO40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RESUMO'!AO40-'CP RESUMO'!AN40)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HISTORICOS'!AP40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RESUMO'!AP40-'CP RESUMO'!AO40)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HISTORICOS'!AQ40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RESUMO'!AQ40-'CP RESUMO'!AP40)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HISTORICOS'!AR40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/>
      <c r="M45" s="62">
        <f>MAX(0,'CP RESUMO'!AR40-'CP RESUMO'!AQ40)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HISTORICOS'!AS40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/>
      <c r="M46" s="62">
        <f>MAX(0,'CP RESUMO'!AS40-'CP RESUMO'!AR40)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HISTORICOS'!AT40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/>
      <c r="M47" s="62">
        <f>MAX(0,'CP RESUMO'!AT40-'CP RESUMO'!AS40)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HISTORICOS'!AU40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/>
      <c r="M48" s="62">
        <f>MAX(0,'CP RESUMO'!AU40-'CP RESUMO'!AT40)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HISTORICOS'!AV40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/>
      <c r="M49" s="62">
        <f>MAX(0,'CP RESUMO'!AV40-'CP RESUMO'!AU40)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HISTORICOS'!AW40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377793.34</v>
      </c>
      <c r="M50" s="62">
        <f>MAX(0,'CP RESUMO'!AW40-'CP RESUMO'!AV40)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HISTORICOS'!AX40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346604.79</v>
      </c>
      <c r="M51" s="62">
        <f>MAX(0,'CP RESUMO'!AX40-'CP RESUMO'!AW40)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HISTORICOS'!AY40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267750.73</v>
      </c>
      <c r="M52" s="62">
        <f>MAX(0,'CP RESUMO'!AY40-'CP RESUMO'!AX40)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HISTORICOS'!AZ40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123341.88</v>
      </c>
      <c r="M53" s="62">
        <f>MAX(0,'CP RESUMO'!AZ40-'CP RESUMO'!AY40)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HISTORICOS'!BA40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61435.55</v>
      </c>
      <c r="M54" s="62">
        <f>MAX(0,'CP RESUMO'!BA40-'CP RESUMO'!AZ40)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HISTORICOS'!BB40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/>
      <c r="M55" s="62">
        <f>MAX(0,'CP RESUMO'!BB40-'CP RESUMO'!BA40)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HISTORICOS'!BC40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/>
      <c r="M56" s="62">
        <f>MAX(0,'CP RESUMO'!BC40-'CP RESUMO'!BB40)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HISTORICOS'!BD40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/>
      <c r="M57" s="62">
        <f>MAX(0,'CP RESUMO'!BD40-'CP RESUMO'!BC40)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HISTORICOS'!BE40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/>
      <c r="M58" s="62">
        <f>MAX(0,'CP RESUMO'!BE40-'CP RESUMO'!BD40)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HISTORICOS'!BF40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RESUMO'!BF40-'CP RESUMO'!BE40)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HISTORICOS'!BG40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RESUMO'!BG40-'CP RESUMO'!BF40)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HISTORICOS'!BH40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RESUMO'!BH40-'CP RESUMO'!BG40)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HISTORICOS'!BI40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RESUMO'!BI40-'CP RESUMO'!BH40)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HISTORICOS'!BJ40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RESUMO'!BJ40-'CP RESUMO'!BI40)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HISTORICOS'!BK40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RESUMO'!BK40-'CP RESUMO'!BJ40)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HISTORICOS'!BL40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RESUMO'!BL40-'CP RESUMO'!BK40)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HISTORICOS'!BM40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RESUMO'!BM40-'CP RESUMO'!BL40)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HISTORICOS'!BN40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RESUMO'!BN40-'CP RESUMO'!BM40)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HISTORICOS'!BO40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RESUMO'!BO40-'CP RESUMO'!BN40)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HISTORICOS'!BP40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RESUMO'!BP40-'CP RESUMO'!BO40)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HISTORICOS'!BQ40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RESUMO'!BQ40-'CP RESUMO'!BP40)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HISTORICOS'!BR40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RESUMO'!BR40-'CP RESUMO'!BQ40)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HISTORICOS'!BS40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RESUMO'!BS40-'CP RESUMO'!BR40)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HISTORICOS'!BT40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RESUMO'!BT40-'CP RESUMO'!BS40)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HISTORICOS'!BU40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RESUMO'!BU40-'CP RESUMO'!BT40)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HISTORICOS'!BV40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RESUMO'!BV40-'CP RESUMO'!BU40)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HISTORICOS'!BW40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RESUMO'!BW40-'CP RESUMO'!BV40)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N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34" customWidth="1" min="9" max="9"/>
    <col width="15" customWidth="1" min="10" max="10"/>
    <col width="15" customWidth="1" min="11" max="11"/>
    <col width="2" customWidth="1" min="12" max="12"/>
    <col width="14" customWidth="1" min="13" max="13"/>
    <col width="11" customWidth="1" min="14" max="14"/>
  </cols>
  <sheetData>
    <row r="2">
      <c r="B2" s="33">
        <f>'VALOR POR PL'!D47</f>
        <v/>
      </c>
      <c r="J2" s="3" t="inlineStr">
        <is>
          <t>INCC CORTE →</t>
        </is>
      </c>
      <c r="K2" s="18">
        <f>'VALOR POR PL'!$P$7</f>
        <v/>
      </c>
    </row>
    <row r="4" ht="45" customHeight="1">
      <c r="B4" s="20" t="inlineStr">
        <is>
          <t>ITEM</t>
        </is>
      </c>
      <c r="C4" s="20" t="inlineStr">
        <is>
          <t>INCORRIDO
(R$)</t>
        </is>
      </c>
      <c r="D4" s="20" t="inlineStr">
        <is>
          <t>PREVISÃO
(R$) — calculada</t>
        </is>
      </c>
      <c r="E4" s="20" t="inlineStr">
        <is>
          <t>INCC</t>
        </is>
      </c>
      <c r="F4" s="20" t="inlineStr">
        <is>
          <t>CURVA MÊS</t>
        </is>
      </c>
      <c r="G4" s="20" t="inlineStr">
        <is>
          <t>CURVA
ACUMULADA</t>
        </is>
      </c>
      <c r="H4" s="60" t="inlineStr">
        <is>
          <t>PREVISÃO INFORMADA
(R$ ou peso) ← digite</t>
        </is>
      </c>
      <c r="I4" s="20" t="inlineStr">
        <is>
          <t>ORIGEM</t>
        </is>
      </c>
      <c r="J4" s="20" t="inlineStr">
        <is>
          <t>VALOR R$</t>
        </is>
      </c>
      <c r="K4" s="20" t="inlineStr">
        <is>
          <t>INCC</t>
        </is>
      </c>
      <c r="M4" s="20" t="inlineStr">
        <is>
          <t>CURVA PREVISION
(% no mês)</t>
        </is>
      </c>
      <c r="N4" s="20" t="inlineStr">
        <is>
          <t>PESO USADO</t>
        </is>
      </c>
    </row>
    <row r="5">
      <c r="A5" s="49" t="inlineStr">
        <is>
          <t>Acu até →</t>
        </is>
      </c>
      <c r="B5" s="45">
        <f>'VALOR POR PL'!$P$6</f>
        <v/>
      </c>
      <c r="C5" s="37">
        <f>'DADOS HISTORICOS'!D41</f>
        <v/>
      </c>
      <c r="D5" s="12">
        <f>IF(B5&lt;='VALOR POR PL'!$P$5,0,IF($K$13&gt;0,$K$14*N5/$K$13,0))</f>
        <v/>
      </c>
      <c r="E5" s="12">
        <f>(C5+D5)/IF(B5&lt;='VALOR POR PL'!$P$5,IFERROR(INDEX('"INCC-FGV"'!$B$2:$B$400,MATCH(B5,'"INCC-FGV"'!$A$2:$A$400,0)),$K$2),$K$2)</f>
        <v/>
      </c>
      <c r="F5" s="36">
        <f>IF($K$9=0,0,E5/$K$9)</f>
        <v/>
      </c>
      <c r="G5" s="36">
        <f>F5</f>
        <v/>
      </c>
      <c r="H5" s="61" t="n"/>
      <c r="I5" s="9" t="inlineStr">
        <is>
          <t>VALOR ORÇADO</t>
        </is>
      </c>
      <c r="J5" s="37">
        <f>'VALOR POR PL'!F47</f>
        <v/>
      </c>
      <c r="K5" s="37">
        <f>'VALOR POR PL'!G47</f>
        <v/>
      </c>
      <c r="M5" s="62" t="n">
        <v>0</v>
      </c>
      <c r="N5" s="30">
        <f>IF(B5&lt;='VALOR POR PL'!$P$5,0,IF($K$11&gt;0,MAX(0,H5),M5))</f>
        <v/>
      </c>
    </row>
    <row r="6">
      <c r="B6" s="63">
        <f>DATE(YEAR(B5),MONTH(B5)+1,1)</f>
        <v/>
      </c>
      <c r="C6" s="37">
        <f>'DADOS HISTORICOS'!E41</f>
        <v/>
      </c>
      <c r="D6" s="12">
        <f>IF(B6&lt;='VALOR POR PL'!$P$5,0,IF($K$13&gt;0,$K$14*N6/$K$13,0))</f>
        <v/>
      </c>
      <c r="E6" s="12">
        <f>(C6+D6)/IF(B6&lt;='VALOR POR PL'!$P$5,IFERROR(INDEX('"INCC-FGV"'!$B$2:$B$400,MATCH(B6,'"INCC-FGV"'!$A$2:$A$400,0)),$K$2),$K$2)</f>
        <v/>
      </c>
      <c r="F6" s="36">
        <f>IF($K$9=0,0,E6/$K$9)</f>
        <v/>
      </c>
      <c r="G6" s="36">
        <f>G5+F6</f>
        <v/>
      </c>
      <c r="H6" s="61" t="n"/>
      <c r="M6" s="62">
        <f>MAX(0,'CP RESUMO'!E41-'CP RESUMO'!D41)</f>
        <v/>
      </c>
      <c r="N6" s="30">
        <f>IF(B6&lt;='VALOR POR PL'!$P$5,0,IF($K$11&gt;0,MAX(0,H6),M6))</f>
        <v/>
      </c>
    </row>
    <row r="7">
      <c r="B7" s="63">
        <f>DATE(YEAR(B6),MONTH(B6)+1,1)</f>
        <v/>
      </c>
      <c r="C7" s="37">
        <f>'DADOS HISTORICOS'!F41</f>
        <v/>
      </c>
      <c r="D7" s="12">
        <f>IF(B7&lt;='VALOR POR PL'!$P$5,0,IF($K$13&gt;0,$K$14*N7/$K$13,0))</f>
        <v/>
      </c>
      <c r="E7" s="12">
        <f>(C7+D7)/IF(B7&lt;='VALOR POR PL'!$P$5,IFERROR(INDEX('"INCC-FGV"'!$B$2:$B$400,MATCH(B7,'"INCC-FGV"'!$A$2:$A$400,0)),$K$2),$K$2)</f>
        <v/>
      </c>
      <c r="F7" s="36">
        <f>IF($K$9=0,0,E7/$K$9)</f>
        <v/>
      </c>
      <c r="G7" s="36">
        <f>G6+F7</f>
        <v/>
      </c>
      <c r="H7" s="61" t="n"/>
      <c r="I7" s="9" t="inlineStr">
        <is>
          <t>PROJEÇÃO IEC</t>
        </is>
      </c>
      <c r="J7" s="37">
        <f>'VALOR POR PL'!L47</f>
        <v/>
      </c>
      <c r="M7" s="62">
        <f>MAX(0,'CP RESUMO'!F41-'CP RESUMO'!E41)</f>
        <v/>
      </c>
      <c r="N7" s="30">
        <f>IF(B7&lt;='VALOR POR PL'!$P$5,0,IF($K$11&gt;0,MAX(0,H7),M7))</f>
        <v/>
      </c>
    </row>
    <row r="8">
      <c r="B8" s="63">
        <f>DATE(YEAR(B7),MONTH(B7)+1,1)</f>
        <v/>
      </c>
      <c r="C8" s="37">
        <f>'DADOS HISTORICOS'!G41</f>
        <v/>
      </c>
      <c r="D8" s="12">
        <f>IF(B8&lt;='VALOR POR PL'!$P$5,0,IF($K$13&gt;0,$K$14*N8/$K$13,0))</f>
        <v/>
      </c>
      <c r="E8" s="12">
        <f>(C8+D8)/IF(B8&lt;='VALOR POR PL'!$P$5,IFERROR(INDEX('"INCC-FGV"'!$B$2:$B$400,MATCH(B8,'"INCC-FGV"'!$A$2:$A$400,0)),$K$2),$K$2)</f>
        <v/>
      </c>
      <c r="F8" s="36">
        <f>IF($K$9=0,0,E8/$K$9)</f>
        <v/>
      </c>
      <c r="G8" s="36">
        <f>G7+F8</f>
        <v/>
      </c>
      <c r="H8" s="61" t="n"/>
      <c r="M8" s="62">
        <f>MAX(0,'CP RESUMO'!G41-'CP RESUMO'!F41)</f>
        <v/>
      </c>
      <c r="N8" s="30">
        <f>IF(B8&lt;='VALOR POR PL'!$P$5,0,IF($K$11&gt;0,MAX(0,H8),M8))</f>
        <v/>
      </c>
    </row>
    <row r="9">
      <c r="B9" s="63">
        <f>DATE(YEAR(B8),MONTH(B8)+1,1)</f>
        <v/>
      </c>
      <c r="C9" s="37">
        <f>'DADOS HISTORICOS'!H41</f>
        <v/>
      </c>
      <c r="D9" s="12">
        <f>IF(B9&lt;='VALOR POR PL'!$P$5,0,IF($K$13&gt;0,$K$14*N9/$K$13,0))</f>
        <v/>
      </c>
      <c r="E9" s="12">
        <f>(C9+D9)/IF(B9&lt;='VALOR POR PL'!$P$5,IFERROR(INDEX('"INCC-FGV"'!$B$2:$B$400,MATCH(B9,'"INCC-FGV"'!$A$2:$A$400,0)),$K$2),$K$2)</f>
        <v/>
      </c>
      <c r="F9" s="36">
        <f>IF($K$9=0,0,E9/$K$9)</f>
        <v/>
      </c>
      <c r="G9" s="36">
        <f>G8+F9</f>
        <v/>
      </c>
      <c r="H9" s="61" t="n"/>
      <c r="I9" s="9" t="inlineStr">
        <is>
          <t>TOTAL NO FLUXO</t>
        </is>
      </c>
      <c r="J9" s="12">
        <f>C78+D78</f>
        <v/>
      </c>
      <c r="K9" s="12">
        <f>E78</f>
        <v/>
      </c>
      <c r="M9" s="62">
        <f>MAX(0,'CP RESUMO'!H41-'CP RESUMO'!G41)</f>
        <v/>
      </c>
      <c r="N9" s="30">
        <f>IF(B9&lt;='VALOR POR PL'!$P$5,0,IF($K$11&gt;0,MAX(0,H9),M9))</f>
        <v/>
      </c>
    </row>
    <row r="10">
      <c r="B10" s="63">
        <f>DATE(YEAR(B9),MONTH(B9)+1,1)</f>
        <v/>
      </c>
      <c r="C10" s="37">
        <f>'DADOS HISTORICOS'!I41</f>
        <v/>
      </c>
      <c r="D10" s="12">
        <f>IF(B10&lt;='VALOR POR PL'!$P$5,0,IF($K$13&gt;0,$K$14*N10/$K$13,0))</f>
        <v/>
      </c>
      <c r="E10" s="12">
        <f>(C10+D10)/IF(B10&lt;='VALOR POR PL'!$P$5,IFERROR(INDEX('"INCC-FGV"'!$B$2:$B$400,MATCH(B10,'"INCC-FGV"'!$A$2:$A$400,0)),$K$2),$K$2)</f>
        <v/>
      </c>
      <c r="F10" s="36">
        <f>IF($K$9=0,0,E10/$K$9)</f>
        <v/>
      </c>
      <c r="G10" s="36">
        <f>G9+F10</f>
        <v/>
      </c>
      <c r="H10" s="61" t="n"/>
      <c r="M10" s="62">
        <f>MAX(0,'CP RESUMO'!I41-'CP RESUMO'!H41)</f>
        <v/>
      </c>
      <c r="N10" s="30">
        <f>IF(B10&lt;='VALOR POR PL'!$P$5,0,IF($K$11&gt;0,MAX(0,H10),M10))</f>
        <v/>
      </c>
    </row>
    <row r="11">
      <c r="B11" s="63">
        <f>DATE(YEAR(B10),MONTH(B10)+1,1)</f>
        <v/>
      </c>
      <c r="C11" s="37">
        <f>'DADOS HISTORICOS'!J41</f>
        <v/>
      </c>
      <c r="D11" s="12">
        <f>IF(B11&lt;='VALOR POR PL'!$P$5,0,IF($K$13&gt;0,$K$14*N11/$K$13,0))</f>
        <v/>
      </c>
      <c r="E11" s="12">
        <f>(C11+D11)/IF(B11&lt;='VALOR POR PL'!$P$5,IFERROR(INDEX('"INCC-FGV"'!$B$2:$B$400,MATCH(B11,'"INCC-FGV"'!$A$2:$A$400,0)),$K$2),$K$2)</f>
        <v/>
      </c>
      <c r="F11" s="36">
        <f>IF($K$9=0,0,E11/$K$9)</f>
        <v/>
      </c>
      <c r="G11" s="36">
        <f>G10+F11</f>
        <v/>
      </c>
      <c r="H11" s="61" t="n"/>
      <c r="I11" s="9" t="inlineStr">
        <is>
          <t>Σ PREVISÃO INFORMADA (meses futuros)</t>
        </is>
      </c>
      <c r="K11" s="37">
        <f>SUMPRODUCT((B5:B76&gt;'VALOR POR PL'!$P$5)*H5:H76)</f>
        <v/>
      </c>
      <c r="M11" s="62">
        <f>MAX(0,'CP RESUMO'!J41-'CP RESUMO'!I41)</f>
        <v/>
      </c>
      <c r="N11" s="30">
        <f>IF(B11&lt;='VALOR POR PL'!$P$5,0,IF($K$11&gt;0,MAX(0,H11),M11))</f>
        <v/>
      </c>
    </row>
    <row r="12">
      <c r="B12" s="63">
        <f>DATE(YEAR(B11),MONTH(B11)+1,1)</f>
        <v/>
      </c>
      <c r="C12" s="37">
        <f>'DADOS HISTORICOS'!K41</f>
        <v/>
      </c>
      <c r="D12" s="12">
        <f>IF(B12&lt;='VALOR POR PL'!$P$5,0,IF($K$13&gt;0,$K$14*N12/$K$13,0))</f>
        <v/>
      </c>
      <c r="E12" s="12">
        <f>(C12+D12)/IF(B12&lt;='VALOR POR PL'!$P$5,IFERROR(INDEX('"INCC-FGV"'!$B$2:$B$400,MATCH(B12,'"INCC-FGV"'!$A$2:$A$400,0)),$K$2),$K$2)</f>
        <v/>
      </c>
      <c r="F12" s="36">
        <f>IF($K$9=0,0,E12/$K$9)</f>
        <v/>
      </c>
      <c r="G12" s="36">
        <f>G11+F12</f>
        <v/>
      </c>
      <c r="H12" s="61" t="n"/>
      <c r="I12" s="9" t="inlineStr">
        <is>
          <t>FONTE DA CURVA</t>
        </is>
      </c>
      <c r="K12" s="37">
        <f>IF(K11&gt;0,"PREVISÃO INFORMADA",IF(SUMPRODUCT((B5:B76&gt;'VALOR POR PL'!$P$5)*M5:M76)&gt;0,"CURVA PREVISION","SEM CURVA"))</f>
        <v/>
      </c>
      <c r="M12" s="62">
        <f>MAX(0,'CP RESUMO'!K41-'CP RESUMO'!J41)</f>
        <v/>
      </c>
      <c r="N12" s="30">
        <f>IF(B12&lt;='VALOR POR PL'!$P$5,0,IF($K$11&gt;0,MAX(0,H12),M12))</f>
        <v/>
      </c>
    </row>
    <row r="13">
      <c r="B13" s="63">
        <f>DATE(YEAR(B12),MONTH(B12)+1,1)</f>
        <v/>
      </c>
      <c r="C13" s="37">
        <f>'DADOS HISTORICOS'!L41</f>
        <v/>
      </c>
      <c r="D13" s="12">
        <f>IF(B13&lt;='VALOR POR PL'!$P$5,0,IF($K$13&gt;0,$K$14*N13/$K$13,0))</f>
        <v/>
      </c>
      <c r="E13" s="12">
        <f>(C13+D13)/IF(B13&lt;='VALOR POR PL'!$P$5,IFERROR(INDEX('"INCC-FGV"'!$B$2:$B$400,MATCH(B13,'"INCC-FGV"'!$A$2:$A$400,0)),$K$2),$K$2)</f>
        <v/>
      </c>
      <c r="F13" s="36">
        <f>IF($K$9=0,0,E13/$K$9)</f>
        <v/>
      </c>
      <c r="G13" s="36">
        <f>G12+F13</f>
        <v/>
      </c>
      <c r="H13" s="61" t="n"/>
      <c r="I13" s="9" t="inlineStr">
        <is>
          <t>Σ PESOS USADOS</t>
        </is>
      </c>
      <c r="K13" s="12">
        <f>SUM(N5:N76)</f>
        <v/>
      </c>
      <c r="M13" s="62">
        <f>MAX(0,'CP RESUMO'!L41-'CP RESUMO'!K41)</f>
        <v/>
      </c>
      <c r="N13" s="30">
        <f>IF(B13&lt;='VALOR POR PL'!$P$5,0,IF($K$11&gt;0,MAX(0,H13),M13))</f>
        <v/>
      </c>
    </row>
    <row r="14">
      <c r="B14" s="63">
        <f>DATE(YEAR(B13),MONTH(B13)+1,1)</f>
        <v/>
      </c>
      <c r="C14" s="37">
        <f>'DADOS HISTORICOS'!M41</f>
        <v/>
      </c>
      <c r="D14" s="12">
        <f>IF(B14&lt;='VALOR POR PL'!$P$5,0,IF($K$13&gt;0,$K$14*N14/$K$13,0))</f>
        <v/>
      </c>
      <c r="E14" s="12">
        <f>(C14+D14)/IF(B14&lt;='VALOR POR PL'!$P$5,IFERROR(INDEX('"INCC-FGV"'!$B$2:$B$400,MATCH(B14,'"INCC-FGV"'!$A$2:$A$400,0)),$K$2),$K$2)</f>
        <v/>
      </c>
      <c r="F14" s="36">
        <f>IF($K$9=0,0,E14/$K$9)</f>
        <v/>
      </c>
      <c r="G14" s="36">
        <f>G13+F14</f>
        <v/>
      </c>
      <c r="H14" s="61" t="n"/>
      <c r="I14" s="9" t="inlineStr">
        <is>
          <t>SALDO A DISTRIBUIR (R$)</t>
        </is>
      </c>
      <c r="K14" s="12">
        <f>MAX(0,J7-C78)</f>
        <v/>
      </c>
      <c r="M14" s="62">
        <f>MAX(0,'CP RESUMO'!M41-'CP RESUMO'!L41)</f>
        <v/>
      </c>
      <c r="N14" s="30">
        <f>IF(B14&lt;='VALOR POR PL'!$P$5,0,IF($K$11&gt;0,MAX(0,H14),M14))</f>
        <v/>
      </c>
    </row>
    <row r="15">
      <c r="B15" s="63">
        <f>DATE(YEAR(B14),MONTH(B14)+1,1)</f>
        <v/>
      </c>
      <c r="C15" s="37">
        <f>'DADOS HISTORICOS'!N41</f>
        <v/>
      </c>
      <c r="D15" s="12">
        <f>IF(B15&lt;='VALOR POR PL'!$P$5,0,IF($K$13&gt;0,$K$14*N15/$K$13,0))</f>
        <v/>
      </c>
      <c r="E15" s="12">
        <f>(C15+D15)/IF(B15&lt;='VALOR POR PL'!$P$5,IFERROR(INDEX('"INCC-FGV"'!$B$2:$B$400,MATCH(B15,'"INCC-FGV"'!$A$2:$A$400,0)),$K$2),$K$2)</f>
        <v/>
      </c>
      <c r="F15" s="36">
        <f>IF($K$9=0,0,E15/$K$9)</f>
        <v/>
      </c>
      <c r="G15" s="36">
        <f>G14+F15</f>
        <v/>
      </c>
      <c r="H15" s="61" t="n"/>
      <c r="I15" s="9" t="inlineStr">
        <is>
          <t>AJUSTE APLICADO À PREVISÃO INFORMADA</t>
        </is>
      </c>
      <c r="K15" s="64">
        <f>IF(K11&gt;0,K14/K11-1,"")</f>
        <v/>
      </c>
      <c r="M15" s="62">
        <f>MAX(0,'CP RESUMO'!N41-'CP RESUMO'!M41)</f>
        <v/>
      </c>
      <c r="N15" s="30">
        <f>IF(B15&lt;='VALOR POR PL'!$P$5,0,IF($K$11&gt;0,MAX(0,H15),M15))</f>
        <v/>
      </c>
    </row>
    <row r="16">
      <c r="B16" s="63">
        <f>DATE(YEAR(B15),MONTH(B15)+1,1)</f>
        <v/>
      </c>
      <c r="C16" s="37">
        <f>'DADOS HISTORICOS'!O41</f>
        <v/>
      </c>
      <c r="D16" s="12">
        <f>IF(B16&lt;='VALOR POR PL'!$P$5,0,IF($K$13&gt;0,$K$14*N16/$K$13,0))</f>
        <v/>
      </c>
      <c r="E16" s="12">
        <f>(C16+D16)/IF(B16&lt;='VALOR POR PL'!$P$5,IFERROR(INDEX('"INCC-FGV"'!$B$2:$B$400,MATCH(B16,'"INCC-FGV"'!$A$2:$A$400,0)),$K$2),$K$2)</f>
        <v/>
      </c>
      <c r="F16" s="36">
        <f>IF($K$9=0,0,E16/$K$9)</f>
        <v/>
      </c>
      <c r="G16" s="36">
        <f>G15+F16</f>
        <v/>
      </c>
      <c r="H16" s="61" t="n"/>
      <c r="M16" s="62">
        <f>MAX(0,'CP RESUMO'!O41-'CP RESUMO'!N41)</f>
        <v/>
      </c>
      <c r="N16" s="30">
        <f>IF(B16&lt;='VALOR POR PL'!$P$5,0,IF($K$11&gt;0,MAX(0,H16),M16))</f>
        <v/>
      </c>
    </row>
    <row r="17">
      <c r="B17" s="63">
        <f>DATE(YEAR(B16),MONTH(B16)+1,1)</f>
        <v/>
      </c>
      <c r="C17" s="37">
        <f>'DADOS HISTORICOS'!P41</f>
        <v/>
      </c>
      <c r="D17" s="12">
        <f>IF(B17&lt;='VALOR POR PL'!$P$5,0,IF($K$13&gt;0,$K$14*N17/$K$13,0))</f>
        <v/>
      </c>
      <c r="E17" s="12">
        <f>(C17+D17)/IF(B17&lt;='VALOR POR PL'!$P$5,IFERROR(INDEX('"INCC-FGV"'!$B$2:$B$400,MATCH(B17,'"INCC-FGV"'!$A$2:$A$400,0)),$K$2),$K$2)</f>
        <v/>
      </c>
      <c r="F17" s="36">
        <f>IF($K$9=0,0,E17/$K$9)</f>
        <v/>
      </c>
      <c r="G17" s="36">
        <f>G16+F17</f>
        <v/>
      </c>
      <c r="H17" s="61" t="n"/>
      <c r="I17" s="3" t="inlineStr">
        <is>
          <t>Critério / observações:</t>
        </is>
      </c>
      <c r="M17" s="62">
        <f>MAX(0,'CP RESUMO'!P41-'CP RESUMO'!O41)</f>
        <v/>
      </c>
      <c r="N17" s="30">
        <f>IF(B17&lt;='VALOR POR PL'!$P$5,0,IF($K$11&gt;0,MAX(0,H17),M17))</f>
        <v/>
      </c>
    </row>
    <row r="18">
      <c r="B18" s="63">
        <f>DATE(YEAR(B17),MONTH(B17)+1,1)</f>
        <v/>
      </c>
      <c r="C18" s="37">
        <f>'DADOS HISTORICOS'!Q41</f>
        <v/>
      </c>
      <c r="D18" s="12">
        <f>IF(B18&lt;='VALOR POR PL'!$P$5,0,IF($K$13&gt;0,$K$14*N18/$K$13,0))</f>
        <v/>
      </c>
      <c r="E18" s="12">
        <f>(C18+D18)/IF(B18&lt;='VALOR POR PL'!$P$5,IFERROR(INDEX('"INCC-FGV"'!$B$2:$B$400,MATCH(B18,'"INCC-FGV"'!$A$2:$A$400,0)),$K$2),$K$2)</f>
        <v/>
      </c>
      <c r="F18" s="36">
        <f>IF($K$9=0,0,E18/$K$9)</f>
        <v/>
      </c>
      <c r="G18" s="36">
        <f>G17+F18</f>
        <v/>
      </c>
      <c r="H18" s="61" t="n"/>
      <c r="I18" s="4" t="n"/>
      <c r="M18" s="62">
        <f>MAX(0,'CP RESUMO'!Q41-'CP RESUMO'!P41)</f>
        <v/>
      </c>
      <c r="N18" s="30">
        <f>IF(B18&lt;='VALOR POR PL'!$P$5,0,IF($K$11&gt;0,MAX(0,H18),M18))</f>
        <v/>
      </c>
    </row>
    <row r="19">
      <c r="B19" s="63">
        <f>DATE(YEAR(B18),MONTH(B18)+1,1)</f>
        <v/>
      </c>
      <c r="C19" s="37">
        <f>'DADOS HISTORICOS'!R41</f>
        <v/>
      </c>
      <c r="D19" s="12">
        <f>IF(B19&lt;='VALOR POR PL'!$P$5,0,IF($K$13&gt;0,$K$14*N19/$K$13,0))</f>
        <v/>
      </c>
      <c r="E19" s="12">
        <f>(C19+D19)/IF(B19&lt;='VALOR POR PL'!$P$5,IFERROR(INDEX('"INCC-FGV"'!$B$2:$B$400,MATCH(B19,'"INCC-FGV"'!$A$2:$A$400,0)),$K$2),$K$2)</f>
        <v/>
      </c>
      <c r="F19" s="36">
        <f>IF($K$9=0,0,E19/$K$9)</f>
        <v/>
      </c>
      <c r="G19" s="36">
        <f>G18+F19</f>
        <v/>
      </c>
      <c r="H19" s="61" t="n"/>
      <c r="M19" s="62">
        <f>MAX(0,'CP RESUMO'!R41-'CP RESUMO'!Q41)</f>
        <v/>
      </c>
      <c r="N19" s="30">
        <f>IF(B19&lt;='VALOR POR PL'!$P$5,0,IF($K$11&gt;0,MAX(0,H19),M19))</f>
        <v/>
      </c>
    </row>
    <row r="20">
      <c r="B20" s="63">
        <f>DATE(YEAR(B19),MONTH(B19)+1,1)</f>
        <v/>
      </c>
      <c r="C20" s="37">
        <f>'DADOS HISTORICOS'!S41</f>
        <v/>
      </c>
      <c r="D20" s="12">
        <f>IF(B20&lt;='VALOR POR PL'!$P$5,0,IF($K$13&gt;0,$K$14*N20/$K$13,0))</f>
        <v/>
      </c>
      <c r="E20" s="12">
        <f>(C20+D20)/IF(B20&lt;='VALOR POR PL'!$P$5,IFERROR(INDEX('"INCC-FGV"'!$B$2:$B$400,MATCH(B20,'"INCC-FGV"'!$A$2:$A$400,0)),$K$2),$K$2)</f>
        <v/>
      </c>
      <c r="F20" s="36">
        <f>IF($K$9=0,0,E20/$K$9)</f>
        <v/>
      </c>
      <c r="G20" s="36">
        <f>G19+F20</f>
        <v/>
      </c>
      <c r="H20" s="61" t="n"/>
      <c r="M20" s="62">
        <f>MAX(0,'CP RESUMO'!S41-'CP RESUMO'!R41)</f>
        <v/>
      </c>
      <c r="N20" s="30">
        <f>IF(B20&lt;='VALOR POR PL'!$P$5,0,IF($K$11&gt;0,MAX(0,H20),M20))</f>
        <v/>
      </c>
    </row>
    <row r="21">
      <c r="B21" s="63">
        <f>DATE(YEAR(B20),MONTH(B20)+1,1)</f>
        <v/>
      </c>
      <c r="C21" s="37">
        <f>'DADOS HISTORICOS'!T41</f>
        <v/>
      </c>
      <c r="D21" s="12">
        <f>IF(B21&lt;='VALOR POR PL'!$P$5,0,IF($K$13&gt;0,$K$14*N21/$K$13,0))</f>
        <v/>
      </c>
      <c r="E21" s="12">
        <f>(C21+D21)/IF(B21&lt;='VALOR POR PL'!$P$5,IFERROR(INDEX('"INCC-FGV"'!$B$2:$B$400,MATCH(B21,'"INCC-FGV"'!$A$2:$A$400,0)),$K$2),$K$2)</f>
        <v/>
      </c>
      <c r="F21" s="36">
        <f>IF($K$9=0,0,E21/$K$9)</f>
        <v/>
      </c>
      <c r="G21" s="36">
        <f>G20+F21</f>
        <v/>
      </c>
      <c r="H21" s="61" t="n"/>
      <c r="M21" s="62">
        <f>MAX(0,'CP RESUMO'!T41-'CP RESUMO'!S41)</f>
        <v/>
      </c>
      <c r="N21" s="30">
        <f>IF(B21&lt;='VALOR POR PL'!$P$5,0,IF($K$11&gt;0,MAX(0,H21),M21))</f>
        <v/>
      </c>
    </row>
    <row r="22">
      <c r="B22" s="63">
        <f>DATE(YEAR(B21),MONTH(B21)+1,1)</f>
        <v/>
      </c>
      <c r="C22" s="37">
        <f>'DADOS HISTORICOS'!U41</f>
        <v/>
      </c>
      <c r="D22" s="12">
        <f>IF(B22&lt;='VALOR POR PL'!$P$5,0,IF($K$13&gt;0,$K$14*N22/$K$13,0))</f>
        <v/>
      </c>
      <c r="E22" s="12">
        <f>(C22+D22)/IF(B22&lt;='VALOR POR PL'!$P$5,IFERROR(INDEX('"INCC-FGV"'!$B$2:$B$400,MATCH(B22,'"INCC-FGV"'!$A$2:$A$400,0)),$K$2),$K$2)</f>
        <v/>
      </c>
      <c r="F22" s="36">
        <f>IF($K$9=0,0,E22/$K$9)</f>
        <v/>
      </c>
      <c r="G22" s="36">
        <f>G21+F22</f>
        <v/>
      </c>
      <c r="H22" s="61" t="n"/>
      <c r="M22" s="62">
        <f>MAX(0,'CP RESUMO'!U41-'CP RESUMO'!T41)</f>
        <v/>
      </c>
      <c r="N22" s="30">
        <f>IF(B22&lt;='VALOR POR PL'!$P$5,0,IF($K$11&gt;0,MAX(0,H22),M22))</f>
        <v/>
      </c>
    </row>
    <row r="23">
      <c r="B23" s="63">
        <f>DATE(YEAR(B22),MONTH(B22)+1,1)</f>
        <v/>
      </c>
      <c r="C23" s="37">
        <f>'DADOS HISTORICOS'!V41</f>
        <v/>
      </c>
      <c r="D23" s="12">
        <f>IF(B23&lt;='VALOR POR PL'!$P$5,0,IF($K$13&gt;0,$K$14*N23/$K$13,0))</f>
        <v/>
      </c>
      <c r="E23" s="12">
        <f>(C23+D23)/IF(B23&lt;='VALOR POR PL'!$P$5,IFERROR(INDEX('"INCC-FGV"'!$B$2:$B$400,MATCH(B23,'"INCC-FGV"'!$A$2:$A$400,0)),$K$2),$K$2)</f>
        <v/>
      </c>
      <c r="F23" s="36">
        <f>IF($K$9=0,0,E23/$K$9)</f>
        <v/>
      </c>
      <c r="G23" s="36">
        <f>G22+F23</f>
        <v/>
      </c>
      <c r="H23" s="61" t="n"/>
      <c r="M23" s="62">
        <f>MAX(0,'CP RESUMO'!V41-'CP RESUMO'!U41)</f>
        <v/>
      </c>
      <c r="N23" s="30">
        <f>IF(B23&lt;='VALOR POR PL'!$P$5,0,IF($K$11&gt;0,MAX(0,H23),M23))</f>
        <v/>
      </c>
    </row>
    <row r="24">
      <c r="B24" s="63">
        <f>DATE(YEAR(B23),MONTH(B23)+1,1)</f>
        <v/>
      </c>
      <c r="C24" s="37">
        <f>'DADOS HISTORICOS'!W41</f>
        <v/>
      </c>
      <c r="D24" s="12">
        <f>IF(B24&lt;='VALOR POR PL'!$P$5,0,IF($K$13&gt;0,$K$14*N24/$K$13,0))</f>
        <v/>
      </c>
      <c r="E24" s="12">
        <f>(C24+D24)/IF(B24&lt;='VALOR POR PL'!$P$5,IFERROR(INDEX('"INCC-FGV"'!$B$2:$B$400,MATCH(B24,'"INCC-FGV"'!$A$2:$A$400,0)),$K$2),$K$2)</f>
        <v/>
      </c>
      <c r="F24" s="36">
        <f>IF($K$9=0,0,E24/$K$9)</f>
        <v/>
      </c>
      <c r="G24" s="36">
        <f>G23+F24</f>
        <v/>
      </c>
      <c r="H24" s="61" t="n"/>
      <c r="M24" s="62">
        <f>MAX(0,'CP RESUMO'!W41-'CP RESUMO'!V41)</f>
        <v/>
      </c>
      <c r="N24" s="30">
        <f>IF(B24&lt;='VALOR POR PL'!$P$5,0,IF($K$11&gt;0,MAX(0,H24),M24))</f>
        <v/>
      </c>
    </row>
    <row r="25">
      <c r="B25" s="63">
        <f>DATE(YEAR(B24),MONTH(B24)+1,1)</f>
        <v/>
      </c>
      <c r="C25" s="37">
        <f>'DADOS HISTORICOS'!X41</f>
        <v/>
      </c>
      <c r="D25" s="12">
        <f>IF(B25&lt;='VALOR POR PL'!$P$5,0,IF($K$13&gt;0,$K$14*N25/$K$13,0))</f>
        <v/>
      </c>
      <c r="E25" s="12">
        <f>(C25+D25)/IF(B25&lt;='VALOR POR PL'!$P$5,IFERROR(INDEX('"INCC-FGV"'!$B$2:$B$400,MATCH(B25,'"INCC-FGV"'!$A$2:$A$400,0)),$K$2),$K$2)</f>
        <v/>
      </c>
      <c r="F25" s="36">
        <f>IF($K$9=0,0,E25/$K$9)</f>
        <v/>
      </c>
      <c r="G25" s="36">
        <f>G24+F25</f>
        <v/>
      </c>
      <c r="H25" s="61" t="n"/>
      <c r="M25" s="62">
        <f>MAX(0,'CP RESUMO'!X41-'CP RESUMO'!W41)</f>
        <v/>
      </c>
      <c r="N25" s="30">
        <f>IF(B25&lt;='VALOR POR PL'!$P$5,0,IF($K$11&gt;0,MAX(0,H25),M25))</f>
        <v/>
      </c>
    </row>
    <row r="26">
      <c r="B26" s="63">
        <f>DATE(YEAR(B25),MONTH(B25)+1,1)</f>
        <v/>
      </c>
      <c r="C26" s="37">
        <f>'DADOS HISTORICOS'!Y41</f>
        <v/>
      </c>
      <c r="D26" s="12">
        <f>IF(B26&lt;='VALOR POR PL'!$P$5,0,IF($K$13&gt;0,$K$14*N26/$K$13,0))</f>
        <v/>
      </c>
      <c r="E26" s="12">
        <f>(C26+D26)/IF(B26&lt;='VALOR POR PL'!$P$5,IFERROR(INDEX('"INCC-FGV"'!$B$2:$B$400,MATCH(B26,'"INCC-FGV"'!$A$2:$A$400,0)),$K$2),$K$2)</f>
        <v/>
      </c>
      <c r="F26" s="36">
        <f>IF($K$9=0,0,E26/$K$9)</f>
        <v/>
      </c>
      <c r="G26" s="36">
        <f>G25+F26</f>
        <v/>
      </c>
      <c r="H26" s="61" t="n"/>
      <c r="M26" s="62">
        <f>MAX(0,'CP RESUMO'!Y41-'CP RESUMO'!X41)</f>
        <v/>
      </c>
      <c r="N26" s="30">
        <f>IF(B26&lt;='VALOR POR PL'!$P$5,0,IF($K$11&gt;0,MAX(0,H26),M26))</f>
        <v/>
      </c>
    </row>
    <row r="27">
      <c r="B27" s="63">
        <f>DATE(YEAR(B26),MONTH(B26)+1,1)</f>
        <v/>
      </c>
      <c r="C27" s="37">
        <f>'DADOS HISTORICOS'!Z41</f>
        <v/>
      </c>
      <c r="D27" s="12">
        <f>IF(B27&lt;='VALOR POR PL'!$P$5,0,IF($K$13&gt;0,$K$14*N27/$K$13,0))</f>
        <v/>
      </c>
      <c r="E27" s="12">
        <f>(C27+D27)/IF(B27&lt;='VALOR POR PL'!$P$5,IFERROR(INDEX('"INCC-FGV"'!$B$2:$B$400,MATCH(B27,'"INCC-FGV"'!$A$2:$A$400,0)),$K$2),$K$2)</f>
        <v/>
      </c>
      <c r="F27" s="36">
        <f>IF($K$9=0,0,E27/$K$9)</f>
        <v/>
      </c>
      <c r="G27" s="36">
        <f>G26+F27</f>
        <v/>
      </c>
      <c r="H27" s="61" t="n"/>
      <c r="M27" s="62">
        <f>MAX(0,'CP RESUMO'!Z41-'CP RESUMO'!Y41)</f>
        <v/>
      </c>
      <c r="N27" s="30">
        <f>IF(B27&lt;='VALOR POR PL'!$P$5,0,IF($K$11&gt;0,MAX(0,H27),M27))</f>
        <v/>
      </c>
    </row>
    <row r="28">
      <c r="B28" s="63">
        <f>DATE(YEAR(B27),MONTH(B27)+1,1)</f>
        <v/>
      </c>
      <c r="C28" s="37">
        <f>'DADOS HISTORICOS'!AA41</f>
        <v/>
      </c>
      <c r="D28" s="12">
        <f>IF(B28&lt;='VALOR POR PL'!$P$5,0,IF($K$13&gt;0,$K$14*N28/$K$13,0))</f>
        <v/>
      </c>
      <c r="E28" s="12">
        <f>(C28+D28)/IF(B28&lt;='VALOR POR PL'!$P$5,IFERROR(INDEX('"INCC-FGV"'!$B$2:$B$400,MATCH(B28,'"INCC-FGV"'!$A$2:$A$400,0)),$K$2),$K$2)</f>
        <v/>
      </c>
      <c r="F28" s="36">
        <f>IF($K$9=0,0,E28/$K$9)</f>
        <v/>
      </c>
      <c r="G28" s="36">
        <f>G27+F28</f>
        <v/>
      </c>
      <c r="H28" s="61" t="n"/>
      <c r="M28" s="62">
        <f>MAX(0,'CP RESUMO'!AA41-'CP RESUMO'!Z41)</f>
        <v/>
      </c>
      <c r="N28" s="30">
        <f>IF(B28&lt;='VALOR POR PL'!$P$5,0,IF($K$11&gt;0,MAX(0,H28),M28))</f>
        <v/>
      </c>
    </row>
    <row r="29">
      <c r="B29" s="63">
        <f>DATE(YEAR(B28),MONTH(B28)+1,1)</f>
        <v/>
      </c>
      <c r="C29" s="37">
        <f>'DADOS HISTORICOS'!AB41</f>
        <v/>
      </c>
      <c r="D29" s="12">
        <f>IF(B29&lt;='VALOR POR PL'!$P$5,0,IF($K$13&gt;0,$K$14*N29/$K$13,0))</f>
        <v/>
      </c>
      <c r="E29" s="12">
        <f>(C29+D29)/IF(B29&lt;='VALOR POR PL'!$P$5,IFERROR(INDEX('"INCC-FGV"'!$B$2:$B$400,MATCH(B29,'"INCC-FGV"'!$A$2:$A$400,0)),$K$2),$K$2)</f>
        <v/>
      </c>
      <c r="F29" s="36">
        <f>IF($K$9=0,0,E29/$K$9)</f>
        <v/>
      </c>
      <c r="G29" s="36">
        <f>G28+F29</f>
        <v/>
      </c>
      <c r="H29" s="61" t="n"/>
      <c r="M29" s="62">
        <f>MAX(0,'CP RESUMO'!AB41-'CP RESUMO'!AA41)</f>
        <v/>
      </c>
      <c r="N29" s="30">
        <f>IF(B29&lt;='VALOR POR PL'!$P$5,0,IF($K$11&gt;0,MAX(0,H29),M29))</f>
        <v/>
      </c>
    </row>
    <row r="30">
      <c r="B30" s="63">
        <f>DATE(YEAR(B29),MONTH(B29)+1,1)</f>
        <v/>
      </c>
      <c r="C30" s="37">
        <f>'DADOS HISTORICOS'!AC41</f>
        <v/>
      </c>
      <c r="D30" s="12">
        <f>IF(B30&lt;='VALOR POR PL'!$P$5,0,IF($K$13&gt;0,$K$14*N30/$K$13,0))</f>
        <v/>
      </c>
      <c r="E30" s="12">
        <f>(C30+D30)/IF(B30&lt;='VALOR POR PL'!$P$5,IFERROR(INDEX('"INCC-FGV"'!$B$2:$B$400,MATCH(B30,'"INCC-FGV"'!$A$2:$A$400,0)),$K$2),$K$2)</f>
        <v/>
      </c>
      <c r="F30" s="36">
        <f>IF($K$9=0,0,E30/$K$9)</f>
        <v/>
      </c>
      <c r="G30" s="36">
        <f>G29+F30</f>
        <v/>
      </c>
      <c r="H30" s="61" t="n"/>
      <c r="M30" s="62">
        <f>MAX(0,'CP RESUMO'!AC41-'CP RESUMO'!AB41)</f>
        <v/>
      </c>
      <c r="N30" s="30">
        <f>IF(B30&lt;='VALOR POR PL'!$P$5,0,IF($K$11&gt;0,MAX(0,H30),M30))</f>
        <v/>
      </c>
    </row>
    <row r="31">
      <c r="B31" s="63">
        <f>DATE(YEAR(B30),MONTH(B30)+1,1)</f>
        <v/>
      </c>
      <c r="C31" s="37">
        <f>'DADOS HISTORICOS'!AD41</f>
        <v/>
      </c>
      <c r="D31" s="12">
        <f>IF(B31&lt;='VALOR POR PL'!$P$5,0,IF($K$13&gt;0,$K$14*N31/$K$13,0))</f>
        <v/>
      </c>
      <c r="E31" s="12">
        <f>(C31+D31)/IF(B31&lt;='VALOR POR PL'!$P$5,IFERROR(INDEX('"INCC-FGV"'!$B$2:$B$400,MATCH(B31,'"INCC-FGV"'!$A$2:$A$400,0)),$K$2),$K$2)</f>
        <v/>
      </c>
      <c r="F31" s="36">
        <f>IF($K$9=0,0,E31/$K$9)</f>
        <v/>
      </c>
      <c r="G31" s="36">
        <f>G30+F31</f>
        <v/>
      </c>
      <c r="H31" s="61" t="n"/>
      <c r="M31" s="62">
        <f>MAX(0,'CP RESUMO'!AD41-'CP RESUMO'!AC41)</f>
        <v/>
      </c>
      <c r="N31" s="30">
        <f>IF(B31&lt;='VALOR POR PL'!$P$5,0,IF($K$11&gt;0,MAX(0,H31),M31))</f>
        <v/>
      </c>
    </row>
    <row r="32">
      <c r="B32" s="63">
        <f>DATE(YEAR(B31),MONTH(B31)+1,1)</f>
        <v/>
      </c>
      <c r="C32" s="37">
        <f>'DADOS HISTORICOS'!AE41</f>
        <v/>
      </c>
      <c r="D32" s="12">
        <f>IF(B32&lt;='VALOR POR PL'!$P$5,0,IF($K$13&gt;0,$K$14*N32/$K$13,0))</f>
        <v/>
      </c>
      <c r="E32" s="12">
        <f>(C32+D32)/IF(B32&lt;='VALOR POR PL'!$P$5,IFERROR(INDEX('"INCC-FGV"'!$B$2:$B$400,MATCH(B32,'"INCC-FGV"'!$A$2:$A$400,0)),$K$2),$K$2)</f>
        <v/>
      </c>
      <c r="F32" s="36">
        <f>IF($K$9=0,0,E32/$K$9)</f>
        <v/>
      </c>
      <c r="G32" s="36">
        <f>G31+F32</f>
        <v/>
      </c>
      <c r="H32" s="61" t="n"/>
      <c r="M32" s="62">
        <f>MAX(0,'CP RESUMO'!AE41-'CP RESUMO'!AD41)</f>
        <v/>
      </c>
      <c r="N32" s="30">
        <f>IF(B32&lt;='VALOR POR PL'!$P$5,0,IF($K$11&gt;0,MAX(0,H32),M32))</f>
        <v/>
      </c>
    </row>
    <row r="33">
      <c r="B33" s="63">
        <f>DATE(YEAR(B32),MONTH(B32)+1,1)</f>
        <v/>
      </c>
      <c r="C33" s="37">
        <f>'DADOS HISTORICOS'!AF41</f>
        <v/>
      </c>
      <c r="D33" s="12">
        <f>IF(B33&lt;='VALOR POR PL'!$P$5,0,IF($K$13&gt;0,$K$14*N33/$K$13,0))</f>
        <v/>
      </c>
      <c r="E33" s="12">
        <f>(C33+D33)/IF(B33&lt;='VALOR POR PL'!$P$5,IFERROR(INDEX('"INCC-FGV"'!$B$2:$B$400,MATCH(B33,'"INCC-FGV"'!$A$2:$A$400,0)),$K$2),$K$2)</f>
        <v/>
      </c>
      <c r="F33" s="36">
        <f>IF($K$9=0,0,E33/$K$9)</f>
        <v/>
      </c>
      <c r="G33" s="36">
        <f>G32+F33</f>
        <v/>
      </c>
      <c r="H33" s="61" t="n"/>
      <c r="M33" s="62">
        <f>MAX(0,'CP RESUMO'!AF41-'CP RESUMO'!AE41)</f>
        <v/>
      </c>
      <c r="N33" s="30">
        <f>IF(B33&lt;='VALOR POR PL'!$P$5,0,IF($K$11&gt;0,MAX(0,H33),M33))</f>
        <v/>
      </c>
    </row>
    <row r="34">
      <c r="B34" s="63">
        <f>DATE(YEAR(B33),MONTH(B33)+1,1)</f>
        <v/>
      </c>
      <c r="C34" s="37">
        <f>'DADOS HISTORICOS'!AG41</f>
        <v/>
      </c>
      <c r="D34" s="12">
        <f>IF(B34&lt;='VALOR POR PL'!$P$5,0,IF($K$13&gt;0,$K$14*N34/$K$13,0))</f>
        <v/>
      </c>
      <c r="E34" s="12">
        <f>(C34+D34)/IF(B34&lt;='VALOR POR PL'!$P$5,IFERROR(INDEX('"INCC-FGV"'!$B$2:$B$400,MATCH(B34,'"INCC-FGV"'!$A$2:$A$400,0)),$K$2),$K$2)</f>
        <v/>
      </c>
      <c r="F34" s="36">
        <f>IF($K$9=0,0,E34/$K$9)</f>
        <v/>
      </c>
      <c r="G34" s="36">
        <f>G33+F34</f>
        <v/>
      </c>
      <c r="H34" s="61" t="n"/>
      <c r="M34" s="62">
        <f>MAX(0,'CP RESUMO'!AG41-'CP RESUMO'!AF41)</f>
        <v/>
      </c>
      <c r="N34" s="30">
        <f>IF(B34&lt;='VALOR POR PL'!$P$5,0,IF($K$11&gt;0,MAX(0,H34),M34))</f>
        <v/>
      </c>
    </row>
    <row r="35">
      <c r="B35" s="63">
        <f>DATE(YEAR(B34),MONTH(B34)+1,1)</f>
        <v/>
      </c>
      <c r="C35" s="37">
        <f>'DADOS HISTORICOS'!AH41</f>
        <v/>
      </c>
      <c r="D35" s="12">
        <f>IF(B35&lt;='VALOR POR PL'!$P$5,0,IF($K$13&gt;0,$K$14*N35/$K$13,0))</f>
        <v/>
      </c>
      <c r="E35" s="12">
        <f>(C35+D35)/IF(B35&lt;='VALOR POR PL'!$P$5,IFERROR(INDEX('"INCC-FGV"'!$B$2:$B$400,MATCH(B35,'"INCC-FGV"'!$A$2:$A$400,0)),$K$2),$K$2)</f>
        <v/>
      </c>
      <c r="F35" s="36">
        <f>IF($K$9=0,0,E35/$K$9)</f>
        <v/>
      </c>
      <c r="G35" s="36">
        <f>G34+F35</f>
        <v/>
      </c>
      <c r="H35" s="61" t="n"/>
      <c r="M35" s="62">
        <f>MAX(0,'CP RESUMO'!AH41-'CP RESUMO'!AG41)</f>
        <v/>
      </c>
      <c r="N35" s="30">
        <f>IF(B35&lt;='VALOR POR PL'!$P$5,0,IF($K$11&gt;0,MAX(0,H35),M35))</f>
        <v/>
      </c>
    </row>
    <row r="36">
      <c r="B36" s="63">
        <f>DATE(YEAR(B35),MONTH(B35)+1,1)</f>
        <v/>
      </c>
      <c r="C36" s="37">
        <f>'DADOS HISTORICOS'!AI41</f>
        <v/>
      </c>
      <c r="D36" s="12">
        <f>IF(B36&lt;='VALOR POR PL'!$P$5,0,IF($K$13&gt;0,$K$14*N36/$K$13,0))</f>
        <v/>
      </c>
      <c r="E36" s="12">
        <f>(C36+D36)/IF(B36&lt;='VALOR POR PL'!$P$5,IFERROR(INDEX('"INCC-FGV"'!$B$2:$B$400,MATCH(B36,'"INCC-FGV"'!$A$2:$A$400,0)),$K$2),$K$2)</f>
        <v/>
      </c>
      <c r="F36" s="36">
        <f>IF($K$9=0,0,E36/$K$9)</f>
        <v/>
      </c>
      <c r="G36" s="36">
        <f>G35+F36</f>
        <v/>
      </c>
      <c r="H36" s="61" t="n"/>
      <c r="M36" s="62">
        <f>MAX(0,'CP RESUMO'!AI41-'CP RESUMO'!AH41)</f>
        <v/>
      </c>
      <c r="N36" s="30">
        <f>IF(B36&lt;='VALOR POR PL'!$P$5,0,IF($K$11&gt;0,MAX(0,H36),M36))</f>
        <v/>
      </c>
    </row>
    <row r="37">
      <c r="B37" s="63">
        <f>DATE(YEAR(B36),MONTH(B36)+1,1)</f>
        <v/>
      </c>
      <c r="C37" s="37">
        <f>'DADOS HISTORICOS'!AJ41</f>
        <v/>
      </c>
      <c r="D37" s="12">
        <f>IF(B37&lt;='VALOR POR PL'!$P$5,0,IF($K$13&gt;0,$K$14*N37/$K$13,0))</f>
        <v/>
      </c>
      <c r="E37" s="12">
        <f>(C37+D37)/IF(B37&lt;='VALOR POR PL'!$P$5,IFERROR(INDEX('"INCC-FGV"'!$B$2:$B$400,MATCH(B37,'"INCC-FGV"'!$A$2:$A$400,0)),$K$2),$K$2)</f>
        <v/>
      </c>
      <c r="F37" s="36">
        <f>IF($K$9=0,0,E37/$K$9)</f>
        <v/>
      </c>
      <c r="G37" s="36">
        <f>G36+F37</f>
        <v/>
      </c>
      <c r="H37" s="61" t="n"/>
      <c r="M37" s="62">
        <f>MAX(0,'CP RESUMO'!AJ41-'CP RESUMO'!AI41)</f>
        <v/>
      </c>
      <c r="N37" s="30">
        <f>IF(B37&lt;='VALOR POR PL'!$P$5,0,IF($K$11&gt;0,MAX(0,H37),M37))</f>
        <v/>
      </c>
    </row>
    <row r="38">
      <c r="B38" s="63">
        <f>DATE(YEAR(B37),MONTH(B37)+1,1)</f>
        <v/>
      </c>
      <c r="C38" s="37">
        <f>'DADOS HISTORICOS'!AK41</f>
        <v/>
      </c>
      <c r="D38" s="12">
        <f>IF(B38&lt;='VALOR POR PL'!$P$5,0,IF($K$13&gt;0,$K$14*N38/$K$13,0))</f>
        <v/>
      </c>
      <c r="E38" s="12">
        <f>(C38+D38)/IF(B38&lt;='VALOR POR PL'!$P$5,IFERROR(INDEX('"INCC-FGV"'!$B$2:$B$400,MATCH(B38,'"INCC-FGV"'!$A$2:$A$400,0)),$K$2),$K$2)</f>
        <v/>
      </c>
      <c r="F38" s="36">
        <f>IF($K$9=0,0,E38/$K$9)</f>
        <v/>
      </c>
      <c r="G38" s="36">
        <f>G37+F38</f>
        <v/>
      </c>
      <c r="H38" s="61" t="n"/>
      <c r="M38" s="62">
        <f>MAX(0,'CP RESUMO'!AK41-'CP RESUMO'!AJ41)</f>
        <v/>
      </c>
      <c r="N38" s="30">
        <f>IF(B38&lt;='VALOR POR PL'!$P$5,0,IF($K$11&gt;0,MAX(0,H38),M38))</f>
        <v/>
      </c>
    </row>
    <row r="39">
      <c r="B39" s="63">
        <f>DATE(YEAR(B38),MONTH(B38)+1,1)</f>
        <v/>
      </c>
      <c r="C39" s="37">
        <f>'DADOS HISTORICOS'!AL41</f>
        <v/>
      </c>
      <c r="D39" s="12">
        <f>IF(B39&lt;='VALOR POR PL'!$P$5,0,IF($K$13&gt;0,$K$14*N39/$K$13,0))</f>
        <v/>
      </c>
      <c r="E39" s="12">
        <f>(C39+D39)/IF(B39&lt;='VALOR POR PL'!$P$5,IFERROR(INDEX('"INCC-FGV"'!$B$2:$B$400,MATCH(B39,'"INCC-FGV"'!$A$2:$A$400,0)),$K$2),$K$2)</f>
        <v/>
      </c>
      <c r="F39" s="36">
        <f>IF($K$9=0,0,E39/$K$9)</f>
        <v/>
      </c>
      <c r="G39" s="36">
        <f>G38+F39</f>
        <v/>
      </c>
      <c r="H39" s="61" t="n"/>
      <c r="M39" s="62">
        <f>MAX(0,'CP RESUMO'!AL41-'CP RESUMO'!AK41)</f>
        <v/>
      </c>
      <c r="N39" s="30">
        <f>IF(B39&lt;='VALOR POR PL'!$P$5,0,IF($K$11&gt;0,MAX(0,H39),M39))</f>
        <v/>
      </c>
    </row>
    <row r="40">
      <c r="B40" s="63">
        <f>DATE(YEAR(B39),MONTH(B39)+1,1)</f>
        <v/>
      </c>
      <c r="C40" s="37">
        <f>'DADOS HISTORICOS'!AM41</f>
        <v/>
      </c>
      <c r="D40" s="12">
        <f>IF(B40&lt;='VALOR POR PL'!$P$5,0,IF($K$13&gt;0,$K$14*N40/$K$13,0))</f>
        <v/>
      </c>
      <c r="E40" s="12">
        <f>(C40+D40)/IF(B40&lt;='VALOR POR PL'!$P$5,IFERROR(INDEX('"INCC-FGV"'!$B$2:$B$400,MATCH(B40,'"INCC-FGV"'!$A$2:$A$400,0)),$K$2),$K$2)</f>
        <v/>
      </c>
      <c r="F40" s="36">
        <f>IF($K$9=0,0,E40/$K$9)</f>
        <v/>
      </c>
      <c r="G40" s="36">
        <f>G39+F40</f>
        <v/>
      </c>
      <c r="H40" s="61" t="n"/>
      <c r="M40" s="62">
        <f>MAX(0,'CP RESUMO'!AM41-'CP RESUMO'!AL41)</f>
        <v/>
      </c>
      <c r="N40" s="30">
        <f>IF(B40&lt;='VALOR POR PL'!$P$5,0,IF($K$11&gt;0,MAX(0,H40),M40))</f>
        <v/>
      </c>
    </row>
    <row r="41">
      <c r="B41" s="63">
        <f>DATE(YEAR(B40),MONTH(B40)+1,1)</f>
        <v/>
      </c>
      <c r="C41" s="37">
        <f>'DADOS HISTORICOS'!AN41</f>
        <v/>
      </c>
      <c r="D41" s="12">
        <f>IF(B41&lt;='VALOR POR PL'!$P$5,0,IF($K$13&gt;0,$K$14*N41/$K$13,0))</f>
        <v/>
      </c>
      <c r="E41" s="12">
        <f>(C41+D41)/IF(B41&lt;='VALOR POR PL'!$P$5,IFERROR(INDEX('"INCC-FGV"'!$B$2:$B$400,MATCH(B41,'"INCC-FGV"'!$A$2:$A$400,0)),$K$2),$K$2)</f>
        <v/>
      </c>
      <c r="F41" s="36">
        <f>IF($K$9=0,0,E41/$K$9)</f>
        <v/>
      </c>
      <c r="G41" s="36">
        <f>G40+F41</f>
        <v/>
      </c>
      <c r="H41" s="61" t="n"/>
      <c r="M41" s="62">
        <f>MAX(0,'CP RESUMO'!AN41-'CP RESUMO'!AM41)</f>
        <v/>
      </c>
      <c r="N41" s="30">
        <f>IF(B41&lt;='VALOR POR PL'!$P$5,0,IF($K$11&gt;0,MAX(0,H41),M41))</f>
        <v/>
      </c>
    </row>
    <row r="42">
      <c r="B42" s="63">
        <f>DATE(YEAR(B41),MONTH(B41)+1,1)</f>
        <v/>
      </c>
      <c r="C42" s="37">
        <f>'DADOS HISTORICOS'!AO41</f>
        <v/>
      </c>
      <c r="D42" s="12">
        <f>IF(B42&lt;='VALOR POR PL'!$P$5,0,IF($K$13&gt;0,$K$14*N42/$K$13,0))</f>
        <v/>
      </c>
      <c r="E42" s="12">
        <f>(C42+D42)/IF(B42&lt;='VALOR POR PL'!$P$5,IFERROR(INDEX('"INCC-FGV"'!$B$2:$B$400,MATCH(B42,'"INCC-FGV"'!$A$2:$A$400,0)),$K$2),$K$2)</f>
        <v/>
      </c>
      <c r="F42" s="36">
        <f>IF($K$9=0,0,E42/$K$9)</f>
        <v/>
      </c>
      <c r="G42" s="36">
        <f>G41+F42</f>
        <v/>
      </c>
      <c r="H42" s="61" t="n"/>
      <c r="M42" s="62">
        <f>MAX(0,'CP RESUMO'!AO41-'CP RESUMO'!AN41)</f>
        <v/>
      </c>
      <c r="N42" s="30">
        <f>IF(B42&lt;='VALOR POR PL'!$P$5,0,IF($K$11&gt;0,MAX(0,H42),M42))</f>
        <v/>
      </c>
    </row>
    <row r="43">
      <c r="B43" s="63">
        <f>DATE(YEAR(B42),MONTH(B42)+1,1)</f>
        <v/>
      </c>
      <c r="C43" s="37">
        <f>'DADOS HISTORICOS'!AP41</f>
        <v/>
      </c>
      <c r="D43" s="12">
        <f>IF(B43&lt;='VALOR POR PL'!$P$5,0,IF($K$13&gt;0,$K$14*N43/$K$13,0))</f>
        <v/>
      </c>
      <c r="E43" s="12">
        <f>(C43+D43)/IF(B43&lt;='VALOR POR PL'!$P$5,IFERROR(INDEX('"INCC-FGV"'!$B$2:$B$400,MATCH(B43,'"INCC-FGV"'!$A$2:$A$400,0)),$K$2),$K$2)</f>
        <v/>
      </c>
      <c r="F43" s="36">
        <f>IF($K$9=0,0,E43/$K$9)</f>
        <v/>
      </c>
      <c r="G43" s="36">
        <f>G42+F43</f>
        <v/>
      </c>
      <c r="H43" s="61" t="n"/>
      <c r="M43" s="62">
        <f>MAX(0,'CP RESUMO'!AP41-'CP RESUMO'!AO41)</f>
        <v/>
      </c>
      <c r="N43" s="30">
        <f>IF(B43&lt;='VALOR POR PL'!$P$5,0,IF($K$11&gt;0,MAX(0,H43),M43))</f>
        <v/>
      </c>
    </row>
    <row r="44">
      <c r="B44" s="63">
        <f>DATE(YEAR(B43),MONTH(B43)+1,1)</f>
        <v/>
      </c>
      <c r="C44" s="37">
        <f>'DADOS HISTORICOS'!AQ41</f>
        <v/>
      </c>
      <c r="D44" s="12">
        <f>IF(B44&lt;='VALOR POR PL'!$P$5,0,IF($K$13&gt;0,$K$14*N44/$K$13,0))</f>
        <v/>
      </c>
      <c r="E44" s="12">
        <f>(C44+D44)/IF(B44&lt;='VALOR POR PL'!$P$5,IFERROR(INDEX('"INCC-FGV"'!$B$2:$B$400,MATCH(B44,'"INCC-FGV"'!$A$2:$A$400,0)),$K$2),$K$2)</f>
        <v/>
      </c>
      <c r="F44" s="36">
        <f>IF($K$9=0,0,E44/$K$9)</f>
        <v/>
      </c>
      <c r="G44" s="36">
        <f>G43+F44</f>
        <v/>
      </c>
      <c r="H44" s="61" t="n"/>
      <c r="M44" s="62">
        <f>MAX(0,'CP RESUMO'!AQ41-'CP RESUMO'!AP41)</f>
        <v/>
      </c>
      <c r="N44" s="30">
        <f>IF(B44&lt;='VALOR POR PL'!$P$5,0,IF($K$11&gt;0,MAX(0,H44),M44))</f>
        <v/>
      </c>
    </row>
    <row r="45">
      <c r="B45" s="63">
        <f>DATE(YEAR(B44),MONTH(B44)+1,1)</f>
        <v/>
      </c>
      <c r="C45" s="37">
        <f>'DADOS HISTORICOS'!AR41</f>
        <v/>
      </c>
      <c r="D45" s="12">
        <f>IF(B45&lt;='VALOR POR PL'!$P$5,0,IF($K$13&gt;0,$K$14*N45/$K$13,0))</f>
        <v/>
      </c>
      <c r="E45" s="12">
        <f>(C45+D45)/IF(B45&lt;='VALOR POR PL'!$P$5,IFERROR(INDEX('"INCC-FGV"'!$B$2:$B$400,MATCH(B45,'"INCC-FGV"'!$A$2:$A$400,0)),$K$2),$K$2)</f>
        <v/>
      </c>
      <c r="F45" s="36">
        <f>IF($K$9=0,0,E45/$K$9)</f>
        <v/>
      </c>
      <c r="G45" s="36">
        <f>G44+F45</f>
        <v/>
      </c>
      <c r="H45" s="61" t="n">
        <v>19082.06</v>
      </c>
      <c r="M45" s="62">
        <f>MAX(0,'CP RESUMO'!AR41-'CP RESUMO'!AQ41)</f>
        <v/>
      </c>
      <c r="N45" s="30">
        <f>IF(B45&lt;='VALOR POR PL'!$P$5,0,IF($K$11&gt;0,MAX(0,H45),M45))</f>
        <v/>
      </c>
    </row>
    <row r="46">
      <c r="B46" s="63">
        <f>DATE(YEAR(B45),MONTH(B45)+1,1)</f>
        <v/>
      </c>
      <c r="C46" s="37">
        <f>'DADOS HISTORICOS'!AS41</f>
        <v/>
      </c>
      <c r="D46" s="12">
        <f>IF(B46&lt;='VALOR POR PL'!$P$5,0,IF($K$13&gt;0,$K$14*N46/$K$13,0))</f>
        <v/>
      </c>
      <c r="E46" s="12">
        <f>(C46+D46)/IF(B46&lt;='VALOR POR PL'!$P$5,IFERROR(INDEX('"INCC-FGV"'!$B$2:$B$400,MATCH(B46,'"INCC-FGV"'!$A$2:$A$400,0)),$K$2),$K$2)</f>
        <v/>
      </c>
      <c r="F46" s="36">
        <f>IF($K$9=0,0,E46/$K$9)</f>
        <v/>
      </c>
      <c r="G46" s="36">
        <f>G45+F46</f>
        <v/>
      </c>
      <c r="H46" s="61" t="n">
        <v>36106.25</v>
      </c>
      <c r="M46" s="62">
        <f>MAX(0,'CP RESUMO'!AS41-'CP RESUMO'!AR41)</f>
        <v/>
      </c>
      <c r="N46" s="30">
        <f>IF(B46&lt;='VALOR POR PL'!$P$5,0,IF($K$11&gt;0,MAX(0,H46),M46))</f>
        <v/>
      </c>
    </row>
    <row r="47">
      <c r="B47" s="63">
        <f>DATE(YEAR(B46),MONTH(B46)+1,1)</f>
        <v/>
      </c>
      <c r="C47" s="37">
        <f>'DADOS HISTORICOS'!AT41</f>
        <v/>
      </c>
      <c r="D47" s="12">
        <f>IF(B47&lt;='VALOR POR PL'!$P$5,0,IF($K$13&gt;0,$K$14*N47/$K$13,0))</f>
        <v/>
      </c>
      <c r="E47" s="12">
        <f>(C47+D47)/IF(B47&lt;='VALOR POR PL'!$P$5,IFERROR(INDEX('"INCC-FGV"'!$B$2:$B$400,MATCH(B47,'"INCC-FGV"'!$A$2:$A$400,0)),$K$2),$K$2)</f>
        <v/>
      </c>
      <c r="F47" s="36">
        <f>IF($K$9=0,0,E47/$K$9)</f>
        <v/>
      </c>
      <c r="G47" s="36">
        <f>G46+F47</f>
        <v/>
      </c>
      <c r="H47" s="61" t="n">
        <v>66038.89</v>
      </c>
      <c r="M47" s="62">
        <f>MAX(0,'CP RESUMO'!AT41-'CP RESUMO'!AS41)</f>
        <v/>
      </c>
      <c r="N47" s="30">
        <f>IF(B47&lt;='VALOR POR PL'!$P$5,0,IF($K$11&gt;0,MAX(0,H47),M47))</f>
        <v/>
      </c>
    </row>
    <row r="48">
      <c r="B48" s="63">
        <f>DATE(YEAR(B47),MONTH(B47)+1,1)</f>
        <v/>
      </c>
      <c r="C48" s="37">
        <f>'DADOS HISTORICOS'!AU41</f>
        <v/>
      </c>
      <c r="D48" s="12">
        <f>IF(B48&lt;='VALOR POR PL'!$P$5,0,IF($K$13&gt;0,$K$14*N48/$K$13,0))</f>
        <v/>
      </c>
      <c r="E48" s="12">
        <f>(C48+D48)/IF(B48&lt;='VALOR POR PL'!$P$5,IFERROR(INDEX('"INCC-FGV"'!$B$2:$B$400,MATCH(B48,'"INCC-FGV"'!$A$2:$A$400,0)),$K$2),$K$2)</f>
        <v/>
      </c>
      <c r="F48" s="36">
        <f>IF($K$9=0,0,E48/$K$9)</f>
        <v/>
      </c>
      <c r="G48" s="36">
        <f>G47+F48</f>
        <v/>
      </c>
      <c r="H48" s="61" t="n">
        <v>81005.21000000001</v>
      </c>
      <c r="M48" s="62">
        <f>MAX(0,'CP RESUMO'!AU41-'CP RESUMO'!AT41)</f>
        <v/>
      </c>
      <c r="N48" s="30">
        <f>IF(B48&lt;='VALOR POR PL'!$P$5,0,IF($K$11&gt;0,MAX(0,H48),M48))</f>
        <v/>
      </c>
    </row>
    <row r="49">
      <c r="B49" s="63">
        <f>DATE(YEAR(B48),MONTH(B48)+1,1)</f>
        <v/>
      </c>
      <c r="C49" s="37">
        <f>'DADOS HISTORICOS'!AV41</f>
        <v/>
      </c>
      <c r="D49" s="12">
        <f>IF(B49&lt;='VALOR POR PL'!$P$5,0,IF($K$13&gt;0,$K$14*N49/$K$13,0))</f>
        <v/>
      </c>
      <c r="E49" s="12">
        <f>(C49+D49)/IF(B49&lt;='VALOR POR PL'!$P$5,IFERROR(INDEX('"INCC-FGV"'!$B$2:$B$400,MATCH(B49,'"INCC-FGV"'!$A$2:$A$400,0)),$K$2),$K$2)</f>
        <v/>
      </c>
      <c r="F49" s="36">
        <f>IF($K$9=0,0,E49/$K$9)</f>
        <v/>
      </c>
      <c r="G49" s="36">
        <f>G48+F49</f>
        <v/>
      </c>
      <c r="H49" s="61" t="n">
        <v>86430.5</v>
      </c>
      <c r="M49" s="62">
        <f>MAX(0,'CP RESUMO'!AV41-'CP RESUMO'!AU41)</f>
        <v/>
      </c>
      <c r="N49" s="30">
        <f>IF(B49&lt;='VALOR POR PL'!$P$5,0,IF($K$11&gt;0,MAX(0,H49),M49))</f>
        <v/>
      </c>
    </row>
    <row r="50">
      <c r="B50" s="63">
        <f>DATE(YEAR(B49),MONTH(B49)+1,1)</f>
        <v/>
      </c>
      <c r="C50" s="37">
        <f>'DADOS HISTORICOS'!AW41</f>
        <v/>
      </c>
      <c r="D50" s="12">
        <f>IF(B50&lt;='VALOR POR PL'!$P$5,0,IF($K$13&gt;0,$K$14*N50/$K$13,0))</f>
        <v/>
      </c>
      <c r="E50" s="12">
        <f>(C50+D50)/IF(B50&lt;='VALOR POR PL'!$P$5,IFERROR(INDEX('"INCC-FGV"'!$B$2:$B$400,MATCH(B50,'"INCC-FGV"'!$A$2:$A$400,0)),$K$2),$K$2)</f>
        <v/>
      </c>
      <c r="F50" s="36">
        <f>IF($K$9=0,0,E50/$K$9)</f>
        <v/>
      </c>
      <c r="G50" s="36">
        <f>G49+F50</f>
        <v/>
      </c>
      <c r="H50" s="61" t="n">
        <v>83343.7</v>
      </c>
      <c r="M50" s="62">
        <f>MAX(0,'CP RESUMO'!AW41-'CP RESUMO'!AV41)</f>
        <v/>
      </c>
      <c r="N50" s="30">
        <f>IF(B50&lt;='VALOR POR PL'!$P$5,0,IF($K$11&gt;0,MAX(0,H50),M50))</f>
        <v/>
      </c>
    </row>
    <row r="51">
      <c r="B51" s="63">
        <f>DATE(YEAR(B50),MONTH(B50)+1,1)</f>
        <v/>
      </c>
      <c r="C51" s="37">
        <f>'DADOS HISTORICOS'!AX41</f>
        <v/>
      </c>
      <c r="D51" s="12">
        <f>IF(B51&lt;='VALOR POR PL'!$P$5,0,IF($K$13&gt;0,$K$14*N51/$K$13,0))</f>
        <v/>
      </c>
      <c r="E51" s="12">
        <f>(C51+D51)/IF(B51&lt;='VALOR POR PL'!$P$5,IFERROR(INDEX('"INCC-FGV"'!$B$2:$B$400,MATCH(B51,'"INCC-FGV"'!$A$2:$A$400,0)),$K$2),$K$2)</f>
        <v/>
      </c>
      <c r="F51" s="36">
        <f>IF($K$9=0,0,E51/$K$9)</f>
        <v/>
      </c>
      <c r="G51" s="36">
        <f>G50+F51</f>
        <v/>
      </c>
      <c r="H51" s="61" t="n">
        <v>83437.24000000001</v>
      </c>
      <c r="M51" s="62">
        <f>MAX(0,'CP RESUMO'!AX41-'CP RESUMO'!AW41)</f>
        <v/>
      </c>
      <c r="N51" s="30">
        <f>IF(B51&lt;='VALOR POR PL'!$P$5,0,IF($K$11&gt;0,MAX(0,H51),M51))</f>
        <v/>
      </c>
    </row>
    <row r="52">
      <c r="B52" s="63">
        <f>DATE(YEAR(B51),MONTH(B51)+1,1)</f>
        <v/>
      </c>
      <c r="C52" s="37">
        <f>'DADOS HISTORICOS'!AY41</f>
        <v/>
      </c>
      <c r="D52" s="12">
        <f>IF(B52&lt;='VALOR POR PL'!$P$5,0,IF($K$13&gt;0,$K$14*N52/$K$13,0))</f>
        <v/>
      </c>
      <c r="E52" s="12">
        <f>(C52+D52)/IF(B52&lt;='VALOR POR PL'!$P$5,IFERROR(INDEX('"INCC-FGV"'!$B$2:$B$400,MATCH(B52,'"INCC-FGV"'!$A$2:$A$400,0)),$K$2),$K$2)</f>
        <v/>
      </c>
      <c r="F52" s="36">
        <f>IF($K$9=0,0,E52/$K$9)</f>
        <v/>
      </c>
      <c r="G52" s="36">
        <f>G51+F52</f>
        <v/>
      </c>
      <c r="H52" s="61" t="n">
        <v>77824.87</v>
      </c>
      <c r="M52" s="62">
        <f>MAX(0,'CP RESUMO'!AY41-'CP RESUMO'!AX41)</f>
        <v/>
      </c>
      <c r="N52" s="30">
        <f>IF(B52&lt;='VALOR POR PL'!$P$5,0,IF($K$11&gt;0,MAX(0,H52),M52))</f>
        <v/>
      </c>
    </row>
    <row r="53">
      <c r="B53" s="63">
        <f>DATE(YEAR(B52),MONTH(B52)+1,1)</f>
        <v/>
      </c>
      <c r="C53" s="37">
        <f>'DADOS HISTORICOS'!AZ41</f>
        <v/>
      </c>
      <c r="D53" s="12">
        <f>IF(B53&lt;='VALOR POR PL'!$P$5,0,IF($K$13&gt;0,$K$14*N53/$K$13,0))</f>
        <v/>
      </c>
      <c r="E53" s="12">
        <f>(C53+D53)/IF(B53&lt;='VALOR POR PL'!$P$5,IFERROR(INDEX('"INCC-FGV"'!$B$2:$B$400,MATCH(B53,'"INCC-FGV"'!$A$2:$A$400,0)),$K$2),$K$2)</f>
        <v/>
      </c>
      <c r="F53" s="36">
        <f>IF($K$9=0,0,E53/$K$9)</f>
        <v/>
      </c>
      <c r="G53" s="36">
        <f>G52+F53</f>
        <v/>
      </c>
      <c r="H53" s="61" t="n">
        <v>69219.23</v>
      </c>
      <c r="M53" s="62">
        <f>MAX(0,'CP RESUMO'!AZ41-'CP RESUMO'!AY41)</f>
        <v/>
      </c>
      <c r="N53" s="30">
        <f>IF(B53&lt;='VALOR POR PL'!$P$5,0,IF($K$11&gt;0,MAX(0,H53),M53))</f>
        <v/>
      </c>
    </row>
    <row r="54">
      <c r="B54" s="63">
        <f>DATE(YEAR(B53),MONTH(B53)+1,1)</f>
        <v/>
      </c>
      <c r="C54" s="37">
        <f>'DADOS HISTORICOS'!BA41</f>
        <v/>
      </c>
      <c r="D54" s="12">
        <f>IF(B54&lt;='VALOR POR PL'!$P$5,0,IF($K$13&gt;0,$K$14*N54/$K$13,0))</f>
        <v/>
      </c>
      <c r="E54" s="12">
        <f>(C54+D54)/IF(B54&lt;='VALOR POR PL'!$P$5,IFERROR(INDEX('"INCC-FGV"'!$B$2:$B$400,MATCH(B54,'"INCC-FGV"'!$A$2:$A$400,0)),$K$2),$K$2)</f>
        <v/>
      </c>
      <c r="F54" s="36">
        <f>IF($K$9=0,0,E54/$K$9)</f>
        <v/>
      </c>
      <c r="G54" s="36">
        <f>G53+F54</f>
        <v/>
      </c>
      <c r="H54" s="61" t="n">
        <v>55843.08</v>
      </c>
      <c r="M54" s="62">
        <f>MAX(0,'CP RESUMO'!BA41-'CP RESUMO'!AZ41)</f>
        <v/>
      </c>
      <c r="N54" s="30">
        <f>IF(B54&lt;='VALOR POR PL'!$P$5,0,IF($K$11&gt;0,MAX(0,H54),M54))</f>
        <v/>
      </c>
    </row>
    <row r="55">
      <c r="B55" s="63">
        <f>DATE(YEAR(B54),MONTH(B54)+1,1)</f>
        <v/>
      </c>
      <c r="C55" s="37">
        <f>'DADOS HISTORICOS'!BB41</f>
        <v/>
      </c>
      <c r="D55" s="12">
        <f>IF(B55&lt;='VALOR POR PL'!$P$5,0,IF($K$13&gt;0,$K$14*N55/$K$13,0))</f>
        <v/>
      </c>
      <c r="E55" s="12">
        <f>(C55+D55)/IF(B55&lt;='VALOR POR PL'!$P$5,IFERROR(INDEX('"INCC-FGV"'!$B$2:$B$400,MATCH(B55,'"INCC-FGV"'!$A$2:$A$400,0)),$K$2),$K$2)</f>
        <v/>
      </c>
      <c r="F55" s="36">
        <f>IF($K$9=0,0,E55/$K$9)</f>
        <v/>
      </c>
      <c r="G55" s="36">
        <f>G54+F55</f>
        <v/>
      </c>
      <c r="H55" s="61" t="n">
        <v>95784.45</v>
      </c>
      <c r="M55" s="62">
        <f>MAX(0,'CP RESUMO'!BB41-'CP RESUMO'!BA41)</f>
        <v/>
      </c>
      <c r="N55" s="30">
        <f>IF(B55&lt;='VALOR POR PL'!$P$5,0,IF($K$11&gt;0,MAX(0,H55),M55))</f>
        <v/>
      </c>
    </row>
    <row r="56">
      <c r="B56" s="63">
        <f>DATE(YEAR(B55),MONTH(B55)+1,1)</f>
        <v/>
      </c>
      <c r="C56" s="37">
        <f>'DADOS HISTORICOS'!BC41</f>
        <v/>
      </c>
      <c r="D56" s="12">
        <f>IF(B56&lt;='VALOR POR PL'!$P$5,0,IF($K$13&gt;0,$K$14*N56/$K$13,0))</f>
        <v/>
      </c>
      <c r="E56" s="12">
        <f>(C56+D56)/IF(B56&lt;='VALOR POR PL'!$P$5,IFERROR(INDEX('"INCC-FGV"'!$B$2:$B$400,MATCH(B56,'"INCC-FGV"'!$A$2:$A$400,0)),$K$2),$K$2)</f>
        <v/>
      </c>
      <c r="F56" s="36">
        <f>IF($K$9=0,0,E56/$K$9)</f>
        <v/>
      </c>
      <c r="G56" s="36">
        <f>G55+F56</f>
        <v/>
      </c>
      <c r="H56" s="61" t="n">
        <v>86711.12</v>
      </c>
      <c r="M56" s="62">
        <f>MAX(0,'CP RESUMO'!BC41-'CP RESUMO'!BB41)</f>
        <v/>
      </c>
      <c r="N56" s="30">
        <f>IF(B56&lt;='VALOR POR PL'!$P$5,0,IF($K$11&gt;0,MAX(0,H56),M56))</f>
        <v/>
      </c>
    </row>
    <row r="57">
      <c r="B57" s="63">
        <f>DATE(YEAR(B56),MONTH(B56)+1,1)</f>
        <v/>
      </c>
      <c r="C57" s="37">
        <f>'DADOS HISTORICOS'!BD41</f>
        <v/>
      </c>
      <c r="D57" s="12">
        <f>IF(B57&lt;='VALOR POR PL'!$P$5,0,IF($K$13&gt;0,$K$14*N57/$K$13,0))</f>
        <v/>
      </c>
      <c r="E57" s="12">
        <f>(C57+D57)/IF(B57&lt;='VALOR POR PL'!$P$5,IFERROR(INDEX('"INCC-FGV"'!$B$2:$B$400,MATCH(B57,'"INCC-FGV"'!$A$2:$A$400,0)),$K$2),$K$2)</f>
        <v/>
      </c>
      <c r="F57" s="36">
        <f>IF($K$9=0,0,E57/$K$9)</f>
        <v/>
      </c>
      <c r="G57" s="36">
        <f>G56+F57</f>
        <v/>
      </c>
      <c r="H57" s="61" t="n">
        <v>81940.60000000001</v>
      </c>
      <c r="M57" s="62">
        <f>MAX(0,'CP RESUMO'!BD41-'CP RESUMO'!BC41)</f>
        <v/>
      </c>
      <c r="N57" s="30">
        <f>IF(B57&lt;='VALOR POR PL'!$P$5,0,IF($K$11&gt;0,MAX(0,H57),M57))</f>
        <v/>
      </c>
    </row>
    <row r="58">
      <c r="B58" s="63">
        <f>DATE(YEAR(B57),MONTH(B57)+1,1)</f>
        <v/>
      </c>
      <c r="C58" s="37">
        <f>'DADOS HISTORICOS'!BE41</f>
        <v/>
      </c>
      <c r="D58" s="12">
        <f>IF(B58&lt;='VALOR POR PL'!$P$5,0,IF($K$13&gt;0,$K$14*N58/$K$13,0))</f>
        <v/>
      </c>
      <c r="E58" s="12">
        <f>(C58+D58)/IF(B58&lt;='VALOR POR PL'!$P$5,IFERROR(INDEX('"INCC-FGV"'!$B$2:$B$400,MATCH(B58,'"INCC-FGV"'!$A$2:$A$400,0)),$K$2),$K$2)</f>
        <v/>
      </c>
      <c r="F58" s="36">
        <f>IF($K$9=0,0,E58/$K$9)</f>
        <v/>
      </c>
      <c r="G58" s="36">
        <f>G57+F58</f>
        <v/>
      </c>
      <c r="H58" s="61" t="n">
        <v>12160.14</v>
      </c>
      <c r="M58" s="62">
        <f>MAX(0,'CP RESUMO'!BE41-'CP RESUMO'!BD41)</f>
        <v/>
      </c>
      <c r="N58" s="30">
        <f>IF(B58&lt;='VALOR POR PL'!$P$5,0,IF($K$11&gt;0,MAX(0,H58),M58))</f>
        <v/>
      </c>
    </row>
    <row r="59">
      <c r="B59" s="63">
        <f>DATE(YEAR(B58),MONTH(B58)+1,1)</f>
        <v/>
      </c>
      <c r="C59" s="37">
        <f>'DADOS HISTORICOS'!BF41</f>
        <v/>
      </c>
      <c r="D59" s="12">
        <f>IF(B59&lt;='VALOR POR PL'!$P$5,0,IF($K$13&gt;0,$K$14*N59/$K$13,0))</f>
        <v/>
      </c>
      <c r="E59" s="12">
        <f>(C59+D59)/IF(B59&lt;='VALOR POR PL'!$P$5,IFERROR(INDEX('"INCC-FGV"'!$B$2:$B$400,MATCH(B59,'"INCC-FGV"'!$A$2:$A$400,0)),$K$2),$K$2)</f>
        <v/>
      </c>
      <c r="F59" s="36">
        <f>IF($K$9=0,0,E59/$K$9)</f>
        <v/>
      </c>
      <c r="G59" s="36">
        <f>G58+F59</f>
        <v/>
      </c>
      <c r="H59" s="61" t="n"/>
      <c r="M59" s="62">
        <f>MAX(0,'CP RESUMO'!BF41-'CP RESUMO'!BE41)</f>
        <v/>
      </c>
      <c r="N59" s="30">
        <f>IF(B59&lt;='VALOR POR PL'!$P$5,0,IF($K$11&gt;0,MAX(0,H59),M59))</f>
        <v/>
      </c>
    </row>
    <row r="60">
      <c r="B60" s="63">
        <f>DATE(YEAR(B59),MONTH(B59)+1,1)</f>
        <v/>
      </c>
      <c r="C60" s="37">
        <f>'DADOS HISTORICOS'!BG41</f>
        <v/>
      </c>
      <c r="D60" s="12">
        <f>IF(B60&lt;='VALOR POR PL'!$P$5,0,IF($K$13&gt;0,$K$14*N60/$K$13,0))</f>
        <v/>
      </c>
      <c r="E60" s="12">
        <f>(C60+D60)/IF(B60&lt;='VALOR POR PL'!$P$5,IFERROR(INDEX('"INCC-FGV"'!$B$2:$B$400,MATCH(B60,'"INCC-FGV"'!$A$2:$A$400,0)),$K$2),$K$2)</f>
        <v/>
      </c>
      <c r="F60" s="36">
        <f>IF($K$9=0,0,E60/$K$9)</f>
        <v/>
      </c>
      <c r="G60" s="36">
        <f>G59+F60</f>
        <v/>
      </c>
      <c r="H60" s="61" t="n"/>
      <c r="M60" s="62">
        <f>MAX(0,'CP RESUMO'!BG41-'CP RESUMO'!BF41)</f>
        <v/>
      </c>
      <c r="N60" s="30">
        <f>IF(B60&lt;='VALOR POR PL'!$P$5,0,IF($K$11&gt;0,MAX(0,H60),M60))</f>
        <v/>
      </c>
    </row>
    <row r="61">
      <c r="B61" s="63">
        <f>DATE(YEAR(B60),MONTH(B60)+1,1)</f>
        <v/>
      </c>
      <c r="C61" s="37">
        <f>'DADOS HISTORICOS'!BH41</f>
        <v/>
      </c>
      <c r="D61" s="12">
        <f>IF(B61&lt;='VALOR POR PL'!$P$5,0,IF($K$13&gt;0,$K$14*N61/$K$13,0))</f>
        <v/>
      </c>
      <c r="E61" s="12">
        <f>(C61+D61)/IF(B61&lt;='VALOR POR PL'!$P$5,IFERROR(INDEX('"INCC-FGV"'!$B$2:$B$400,MATCH(B61,'"INCC-FGV"'!$A$2:$A$400,0)),$K$2),$K$2)</f>
        <v/>
      </c>
      <c r="F61" s="36">
        <f>IF($K$9=0,0,E61/$K$9)</f>
        <v/>
      </c>
      <c r="G61" s="36">
        <f>G60+F61</f>
        <v/>
      </c>
      <c r="H61" s="61" t="n"/>
      <c r="M61" s="62">
        <f>MAX(0,'CP RESUMO'!BH41-'CP RESUMO'!BG41)</f>
        <v/>
      </c>
      <c r="N61" s="30">
        <f>IF(B61&lt;='VALOR POR PL'!$P$5,0,IF($K$11&gt;0,MAX(0,H61),M61))</f>
        <v/>
      </c>
    </row>
    <row r="62">
      <c r="B62" s="63">
        <f>DATE(YEAR(B61),MONTH(B61)+1,1)</f>
        <v/>
      </c>
      <c r="C62" s="37">
        <f>'DADOS HISTORICOS'!BI41</f>
        <v/>
      </c>
      <c r="D62" s="12">
        <f>IF(B62&lt;='VALOR POR PL'!$P$5,0,IF($K$13&gt;0,$K$14*N62/$K$13,0))</f>
        <v/>
      </c>
      <c r="E62" s="12">
        <f>(C62+D62)/IF(B62&lt;='VALOR POR PL'!$P$5,IFERROR(INDEX('"INCC-FGV"'!$B$2:$B$400,MATCH(B62,'"INCC-FGV"'!$A$2:$A$400,0)),$K$2),$K$2)</f>
        <v/>
      </c>
      <c r="F62" s="36">
        <f>IF($K$9=0,0,E62/$K$9)</f>
        <v/>
      </c>
      <c r="G62" s="36">
        <f>G61+F62</f>
        <v/>
      </c>
      <c r="H62" s="61" t="n"/>
      <c r="M62" s="62">
        <f>MAX(0,'CP RESUMO'!BI41-'CP RESUMO'!BH41)</f>
        <v/>
      </c>
      <c r="N62" s="30">
        <f>IF(B62&lt;='VALOR POR PL'!$P$5,0,IF($K$11&gt;0,MAX(0,H62),M62))</f>
        <v/>
      </c>
    </row>
    <row r="63">
      <c r="B63" s="63">
        <f>DATE(YEAR(B62),MONTH(B62)+1,1)</f>
        <v/>
      </c>
      <c r="C63" s="37">
        <f>'DADOS HISTORICOS'!BJ41</f>
        <v/>
      </c>
      <c r="D63" s="12">
        <f>IF(B63&lt;='VALOR POR PL'!$P$5,0,IF($K$13&gt;0,$K$14*N63/$K$13,0))</f>
        <v/>
      </c>
      <c r="E63" s="12">
        <f>(C63+D63)/IF(B63&lt;='VALOR POR PL'!$P$5,IFERROR(INDEX('"INCC-FGV"'!$B$2:$B$400,MATCH(B63,'"INCC-FGV"'!$A$2:$A$400,0)),$K$2),$K$2)</f>
        <v/>
      </c>
      <c r="F63" s="36">
        <f>IF($K$9=0,0,E63/$K$9)</f>
        <v/>
      </c>
      <c r="G63" s="36">
        <f>G62+F63</f>
        <v/>
      </c>
      <c r="H63" s="61" t="n"/>
      <c r="M63" s="62">
        <f>MAX(0,'CP RESUMO'!BJ41-'CP RESUMO'!BI41)</f>
        <v/>
      </c>
      <c r="N63" s="30">
        <f>IF(B63&lt;='VALOR POR PL'!$P$5,0,IF($K$11&gt;0,MAX(0,H63),M63))</f>
        <v/>
      </c>
    </row>
    <row r="64">
      <c r="B64" s="63">
        <f>DATE(YEAR(B63),MONTH(B63)+1,1)</f>
        <v/>
      </c>
      <c r="C64" s="37">
        <f>'DADOS HISTORICOS'!BK41</f>
        <v/>
      </c>
      <c r="D64" s="12">
        <f>IF(B64&lt;='VALOR POR PL'!$P$5,0,IF($K$13&gt;0,$K$14*N64/$K$13,0))</f>
        <v/>
      </c>
      <c r="E64" s="12">
        <f>(C64+D64)/IF(B64&lt;='VALOR POR PL'!$P$5,IFERROR(INDEX('"INCC-FGV"'!$B$2:$B$400,MATCH(B64,'"INCC-FGV"'!$A$2:$A$400,0)),$K$2),$K$2)</f>
        <v/>
      </c>
      <c r="F64" s="36">
        <f>IF($K$9=0,0,E64/$K$9)</f>
        <v/>
      </c>
      <c r="G64" s="36">
        <f>G63+F64</f>
        <v/>
      </c>
      <c r="H64" s="61" t="n"/>
      <c r="M64" s="62">
        <f>MAX(0,'CP RESUMO'!BK41-'CP RESUMO'!BJ41)</f>
        <v/>
      </c>
      <c r="N64" s="30">
        <f>IF(B64&lt;='VALOR POR PL'!$P$5,0,IF($K$11&gt;0,MAX(0,H64),M64))</f>
        <v/>
      </c>
    </row>
    <row r="65">
      <c r="B65" s="63">
        <f>DATE(YEAR(B64),MONTH(B64)+1,1)</f>
        <v/>
      </c>
      <c r="C65" s="37">
        <f>'DADOS HISTORICOS'!BL41</f>
        <v/>
      </c>
      <c r="D65" s="12">
        <f>IF(B65&lt;='VALOR POR PL'!$P$5,0,IF($K$13&gt;0,$K$14*N65/$K$13,0))</f>
        <v/>
      </c>
      <c r="E65" s="12">
        <f>(C65+D65)/IF(B65&lt;='VALOR POR PL'!$P$5,IFERROR(INDEX('"INCC-FGV"'!$B$2:$B$400,MATCH(B65,'"INCC-FGV"'!$A$2:$A$400,0)),$K$2),$K$2)</f>
        <v/>
      </c>
      <c r="F65" s="36">
        <f>IF($K$9=0,0,E65/$K$9)</f>
        <v/>
      </c>
      <c r="G65" s="36">
        <f>G64+F65</f>
        <v/>
      </c>
      <c r="H65" s="61" t="n"/>
      <c r="M65" s="62">
        <f>MAX(0,'CP RESUMO'!BL41-'CP RESUMO'!BK41)</f>
        <v/>
      </c>
      <c r="N65" s="30">
        <f>IF(B65&lt;='VALOR POR PL'!$P$5,0,IF($K$11&gt;0,MAX(0,H65),M65))</f>
        <v/>
      </c>
    </row>
    <row r="66">
      <c r="B66" s="63">
        <f>DATE(YEAR(B65),MONTH(B65)+1,1)</f>
        <v/>
      </c>
      <c r="C66" s="37">
        <f>'DADOS HISTORICOS'!BM41</f>
        <v/>
      </c>
      <c r="D66" s="12">
        <f>IF(B66&lt;='VALOR POR PL'!$P$5,0,IF($K$13&gt;0,$K$14*N66/$K$13,0))</f>
        <v/>
      </c>
      <c r="E66" s="12">
        <f>(C66+D66)/IF(B66&lt;='VALOR POR PL'!$P$5,IFERROR(INDEX('"INCC-FGV"'!$B$2:$B$400,MATCH(B66,'"INCC-FGV"'!$A$2:$A$400,0)),$K$2),$K$2)</f>
        <v/>
      </c>
      <c r="F66" s="36">
        <f>IF($K$9=0,0,E66/$K$9)</f>
        <v/>
      </c>
      <c r="G66" s="36">
        <f>G65+F66</f>
        <v/>
      </c>
      <c r="H66" s="61" t="n"/>
      <c r="M66" s="62">
        <f>MAX(0,'CP RESUMO'!BM41-'CP RESUMO'!BL41)</f>
        <v/>
      </c>
      <c r="N66" s="30">
        <f>IF(B66&lt;='VALOR POR PL'!$P$5,0,IF($K$11&gt;0,MAX(0,H66),M66))</f>
        <v/>
      </c>
    </row>
    <row r="67">
      <c r="B67" s="63">
        <f>DATE(YEAR(B66),MONTH(B66)+1,1)</f>
        <v/>
      </c>
      <c r="C67" s="37">
        <f>'DADOS HISTORICOS'!BN41</f>
        <v/>
      </c>
      <c r="D67" s="12">
        <f>IF(B67&lt;='VALOR POR PL'!$P$5,0,IF($K$13&gt;0,$K$14*N67/$K$13,0))</f>
        <v/>
      </c>
      <c r="E67" s="12">
        <f>(C67+D67)/IF(B67&lt;='VALOR POR PL'!$P$5,IFERROR(INDEX('"INCC-FGV"'!$B$2:$B$400,MATCH(B67,'"INCC-FGV"'!$A$2:$A$400,0)),$K$2),$K$2)</f>
        <v/>
      </c>
      <c r="F67" s="36">
        <f>IF($K$9=0,0,E67/$K$9)</f>
        <v/>
      </c>
      <c r="G67" s="36">
        <f>G66+F67</f>
        <v/>
      </c>
      <c r="H67" s="61" t="n"/>
      <c r="M67" s="62">
        <f>MAX(0,'CP RESUMO'!BN41-'CP RESUMO'!BM41)</f>
        <v/>
      </c>
      <c r="N67" s="30">
        <f>IF(B67&lt;='VALOR POR PL'!$P$5,0,IF($K$11&gt;0,MAX(0,H67),M67))</f>
        <v/>
      </c>
    </row>
    <row r="68">
      <c r="B68" s="63">
        <f>DATE(YEAR(B67),MONTH(B67)+1,1)</f>
        <v/>
      </c>
      <c r="C68" s="37">
        <f>'DADOS HISTORICOS'!BO41</f>
        <v/>
      </c>
      <c r="D68" s="12">
        <f>IF(B68&lt;='VALOR POR PL'!$P$5,0,IF($K$13&gt;0,$K$14*N68/$K$13,0))</f>
        <v/>
      </c>
      <c r="E68" s="12">
        <f>(C68+D68)/IF(B68&lt;='VALOR POR PL'!$P$5,IFERROR(INDEX('"INCC-FGV"'!$B$2:$B$400,MATCH(B68,'"INCC-FGV"'!$A$2:$A$400,0)),$K$2),$K$2)</f>
        <v/>
      </c>
      <c r="F68" s="36">
        <f>IF($K$9=0,0,E68/$K$9)</f>
        <v/>
      </c>
      <c r="G68" s="36">
        <f>G67+F68</f>
        <v/>
      </c>
      <c r="H68" s="61" t="n"/>
      <c r="M68" s="62">
        <f>MAX(0,'CP RESUMO'!BO41-'CP RESUMO'!BN41)</f>
        <v/>
      </c>
      <c r="N68" s="30">
        <f>IF(B68&lt;='VALOR POR PL'!$P$5,0,IF($K$11&gt;0,MAX(0,H68),M68))</f>
        <v/>
      </c>
    </row>
    <row r="69">
      <c r="B69" s="63">
        <f>DATE(YEAR(B68),MONTH(B68)+1,1)</f>
        <v/>
      </c>
      <c r="C69" s="37">
        <f>'DADOS HISTORICOS'!BP41</f>
        <v/>
      </c>
      <c r="D69" s="12">
        <f>IF(B69&lt;='VALOR POR PL'!$P$5,0,IF($K$13&gt;0,$K$14*N69/$K$13,0))</f>
        <v/>
      </c>
      <c r="E69" s="12">
        <f>(C69+D69)/IF(B69&lt;='VALOR POR PL'!$P$5,IFERROR(INDEX('"INCC-FGV"'!$B$2:$B$400,MATCH(B69,'"INCC-FGV"'!$A$2:$A$400,0)),$K$2),$K$2)</f>
        <v/>
      </c>
      <c r="F69" s="36">
        <f>IF($K$9=0,0,E69/$K$9)</f>
        <v/>
      </c>
      <c r="G69" s="36">
        <f>G68+F69</f>
        <v/>
      </c>
      <c r="H69" s="61" t="n"/>
      <c r="M69" s="62">
        <f>MAX(0,'CP RESUMO'!BP41-'CP RESUMO'!BO41)</f>
        <v/>
      </c>
      <c r="N69" s="30">
        <f>IF(B69&lt;='VALOR POR PL'!$P$5,0,IF($K$11&gt;0,MAX(0,H69),M69))</f>
        <v/>
      </c>
    </row>
    <row r="70">
      <c r="B70" s="63">
        <f>DATE(YEAR(B69),MONTH(B69)+1,1)</f>
        <v/>
      </c>
      <c r="C70" s="37">
        <f>'DADOS HISTORICOS'!BQ41</f>
        <v/>
      </c>
      <c r="D70" s="12">
        <f>IF(B70&lt;='VALOR POR PL'!$P$5,0,IF($K$13&gt;0,$K$14*N70/$K$13,0))</f>
        <v/>
      </c>
      <c r="E70" s="12">
        <f>(C70+D70)/IF(B70&lt;='VALOR POR PL'!$P$5,IFERROR(INDEX('"INCC-FGV"'!$B$2:$B$400,MATCH(B70,'"INCC-FGV"'!$A$2:$A$400,0)),$K$2),$K$2)</f>
        <v/>
      </c>
      <c r="F70" s="36">
        <f>IF($K$9=0,0,E70/$K$9)</f>
        <v/>
      </c>
      <c r="G70" s="36">
        <f>G69+F70</f>
        <v/>
      </c>
      <c r="H70" s="61" t="n"/>
      <c r="M70" s="62">
        <f>MAX(0,'CP RESUMO'!BQ41-'CP RESUMO'!BP41)</f>
        <v/>
      </c>
      <c r="N70" s="30">
        <f>IF(B70&lt;='VALOR POR PL'!$P$5,0,IF($K$11&gt;0,MAX(0,H70),M70))</f>
        <v/>
      </c>
    </row>
    <row r="71">
      <c r="B71" s="63">
        <f>DATE(YEAR(B70),MONTH(B70)+1,1)</f>
        <v/>
      </c>
      <c r="C71" s="37">
        <f>'DADOS HISTORICOS'!BR41</f>
        <v/>
      </c>
      <c r="D71" s="12">
        <f>IF(B71&lt;='VALOR POR PL'!$P$5,0,IF($K$13&gt;0,$K$14*N71/$K$13,0))</f>
        <v/>
      </c>
      <c r="E71" s="12">
        <f>(C71+D71)/IF(B71&lt;='VALOR POR PL'!$P$5,IFERROR(INDEX('"INCC-FGV"'!$B$2:$B$400,MATCH(B71,'"INCC-FGV"'!$A$2:$A$400,0)),$K$2),$K$2)</f>
        <v/>
      </c>
      <c r="F71" s="36">
        <f>IF($K$9=0,0,E71/$K$9)</f>
        <v/>
      </c>
      <c r="G71" s="36">
        <f>G70+F71</f>
        <v/>
      </c>
      <c r="H71" s="61" t="n"/>
      <c r="M71" s="62">
        <f>MAX(0,'CP RESUMO'!BR41-'CP RESUMO'!BQ41)</f>
        <v/>
      </c>
      <c r="N71" s="30">
        <f>IF(B71&lt;='VALOR POR PL'!$P$5,0,IF($K$11&gt;0,MAX(0,H71),M71))</f>
        <v/>
      </c>
    </row>
    <row r="72">
      <c r="B72" s="63">
        <f>DATE(YEAR(B71),MONTH(B71)+1,1)</f>
        <v/>
      </c>
      <c r="C72" s="37">
        <f>'DADOS HISTORICOS'!BS41</f>
        <v/>
      </c>
      <c r="D72" s="12">
        <f>IF(B72&lt;='VALOR POR PL'!$P$5,0,IF($K$13&gt;0,$K$14*N72/$K$13,0))</f>
        <v/>
      </c>
      <c r="E72" s="12">
        <f>(C72+D72)/IF(B72&lt;='VALOR POR PL'!$P$5,IFERROR(INDEX('"INCC-FGV"'!$B$2:$B$400,MATCH(B72,'"INCC-FGV"'!$A$2:$A$400,0)),$K$2),$K$2)</f>
        <v/>
      </c>
      <c r="F72" s="36">
        <f>IF($K$9=0,0,E72/$K$9)</f>
        <v/>
      </c>
      <c r="G72" s="36">
        <f>G71+F72</f>
        <v/>
      </c>
      <c r="H72" s="61" t="n"/>
      <c r="M72" s="62">
        <f>MAX(0,'CP RESUMO'!BS41-'CP RESUMO'!BR41)</f>
        <v/>
      </c>
      <c r="N72" s="30">
        <f>IF(B72&lt;='VALOR POR PL'!$P$5,0,IF($K$11&gt;0,MAX(0,H72),M72))</f>
        <v/>
      </c>
    </row>
    <row r="73">
      <c r="B73" s="63">
        <f>DATE(YEAR(B72),MONTH(B72)+1,1)</f>
        <v/>
      </c>
      <c r="C73" s="37">
        <f>'DADOS HISTORICOS'!BT41</f>
        <v/>
      </c>
      <c r="D73" s="12">
        <f>IF(B73&lt;='VALOR POR PL'!$P$5,0,IF($K$13&gt;0,$K$14*N73/$K$13,0))</f>
        <v/>
      </c>
      <c r="E73" s="12">
        <f>(C73+D73)/IF(B73&lt;='VALOR POR PL'!$P$5,IFERROR(INDEX('"INCC-FGV"'!$B$2:$B$400,MATCH(B73,'"INCC-FGV"'!$A$2:$A$400,0)),$K$2),$K$2)</f>
        <v/>
      </c>
      <c r="F73" s="36">
        <f>IF($K$9=0,0,E73/$K$9)</f>
        <v/>
      </c>
      <c r="G73" s="36">
        <f>G72+F73</f>
        <v/>
      </c>
      <c r="H73" s="61" t="n"/>
      <c r="M73" s="62">
        <f>MAX(0,'CP RESUMO'!BT41-'CP RESUMO'!BS41)</f>
        <v/>
      </c>
      <c r="N73" s="30">
        <f>IF(B73&lt;='VALOR POR PL'!$P$5,0,IF($K$11&gt;0,MAX(0,H73),M73))</f>
        <v/>
      </c>
    </row>
    <row r="74">
      <c r="B74" s="63">
        <f>DATE(YEAR(B73),MONTH(B73)+1,1)</f>
        <v/>
      </c>
      <c r="C74" s="37">
        <f>'DADOS HISTORICOS'!BU41</f>
        <v/>
      </c>
      <c r="D74" s="12">
        <f>IF(B74&lt;='VALOR POR PL'!$P$5,0,IF($K$13&gt;0,$K$14*N74/$K$13,0))</f>
        <v/>
      </c>
      <c r="E74" s="12">
        <f>(C74+D74)/IF(B74&lt;='VALOR POR PL'!$P$5,IFERROR(INDEX('"INCC-FGV"'!$B$2:$B$400,MATCH(B74,'"INCC-FGV"'!$A$2:$A$400,0)),$K$2),$K$2)</f>
        <v/>
      </c>
      <c r="F74" s="36">
        <f>IF($K$9=0,0,E74/$K$9)</f>
        <v/>
      </c>
      <c r="G74" s="36">
        <f>G73+F74</f>
        <v/>
      </c>
      <c r="H74" s="61" t="n"/>
      <c r="M74" s="62">
        <f>MAX(0,'CP RESUMO'!BU41-'CP RESUMO'!BT41)</f>
        <v/>
      </c>
      <c r="N74" s="30">
        <f>IF(B74&lt;='VALOR POR PL'!$P$5,0,IF($K$11&gt;0,MAX(0,H74),M74))</f>
        <v/>
      </c>
    </row>
    <row r="75">
      <c r="B75" s="63">
        <f>DATE(YEAR(B74),MONTH(B74)+1,1)</f>
        <v/>
      </c>
      <c r="C75" s="37">
        <f>'DADOS HISTORICOS'!BV41</f>
        <v/>
      </c>
      <c r="D75" s="12">
        <f>IF(B75&lt;='VALOR POR PL'!$P$5,0,IF($K$13&gt;0,$K$14*N75/$K$13,0))</f>
        <v/>
      </c>
      <c r="E75" s="12">
        <f>(C75+D75)/IF(B75&lt;='VALOR POR PL'!$P$5,IFERROR(INDEX('"INCC-FGV"'!$B$2:$B$400,MATCH(B75,'"INCC-FGV"'!$A$2:$A$400,0)),$K$2),$K$2)</f>
        <v/>
      </c>
      <c r="F75" s="36">
        <f>IF($K$9=0,0,E75/$K$9)</f>
        <v/>
      </c>
      <c r="G75" s="36">
        <f>G74+F75</f>
        <v/>
      </c>
      <c r="H75" s="61" t="n"/>
      <c r="M75" s="62">
        <f>MAX(0,'CP RESUMO'!BV41-'CP RESUMO'!BU41)</f>
        <v/>
      </c>
      <c r="N75" s="30">
        <f>IF(B75&lt;='VALOR POR PL'!$P$5,0,IF($K$11&gt;0,MAX(0,H75),M75))</f>
        <v/>
      </c>
    </row>
    <row r="76">
      <c r="B76" s="63">
        <f>DATE(YEAR(B75),MONTH(B75)+1,1)</f>
        <v/>
      </c>
      <c r="C76" s="37">
        <f>'DADOS HISTORICOS'!BW41</f>
        <v/>
      </c>
      <c r="D76" s="12">
        <f>IF(B76&lt;='VALOR POR PL'!$P$5,0,IF($K$13&gt;0,$K$14*N76/$K$13,0))</f>
        <v/>
      </c>
      <c r="E76" s="12">
        <f>(C76+D76)/IF(B76&lt;='VALOR POR PL'!$P$5,IFERROR(INDEX('"INCC-FGV"'!$B$2:$B$400,MATCH(B76,'"INCC-FGV"'!$A$2:$A$400,0)),$K$2),$K$2)</f>
        <v/>
      </c>
      <c r="F76" s="36">
        <f>IF($K$9=0,0,E76/$K$9)</f>
        <v/>
      </c>
      <c r="G76" s="36">
        <f>G75+F76</f>
        <v/>
      </c>
      <c r="H76" s="61" t="n"/>
      <c r="M76" s="62">
        <f>MAX(0,'CP RESUMO'!BW41-'CP RESUMO'!BV41)</f>
        <v/>
      </c>
      <c r="N76" s="30">
        <f>IF(B76&lt;='VALOR POR PL'!$P$5,0,IF($K$11&gt;0,MAX(0,H76),M76))</f>
        <v/>
      </c>
    </row>
    <row r="78">
      <c r="B78" s="9" t="inlineStr">
        <is>
          <t>TOTAL</t>
        </is>
      </c>
      <c r="C78" s="23">
        <f>SUM(C5:C76)</f>
        <v/>
      </c>
      <c r="D78" s="23">
        <f>SUM(D5:D76)</f>
        <v/>
      </c>
      <c r="E78" s="23">
        <f>SUM(E5:E76)</f>
        <v/>
      </c>
      <c r="F78" s="41">
        <f>SUM(F5:F76)</f>
        <v/>
      </c>
      <c r="H78" s="23">
        <f>SUM(H5:H76)</f>
        <v/>
      </c>
    </row>
    <row r="80">
      <c r="B80" s="9" t="inlineStr">
        <is>
          <t>DIFERENÇA (fluxo − projeção)</t>
        </is>
      </c>
      <c r="D80" s="65">
        <f>C78+D78-J7</f>
        <v/>
      </c>
    </row>
  </sheetData>
  <conditionalFormatting sqref="K12">
    <cfRule type="cellIs" priority="1" operator="equal" dxfId="0">
      <formula>"SEM CURVA"</formula>
    </cfRule>
  </conditionalFormatting>
  <conditionalFormatting sqref="D80">
    <cfRule type="expression" priority="2" dxfId="0">
      <formula>ABS(D80)&gt;1</formula>
    </cfRule>
  </conditionalFormatting>
  <conditionalFormatting sqref="B5:H76">
    <cfRule type="expression" priority="3" dxfId="3">
      <formula>$B5&lt;='VALOR POR PL'!$P$5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2026-09-24T19:20:53Z</dcterms:created>
  <dcterms:modified xsi:type="dcterms:W3CDTF">2026-09-24T19:20:55Z</dcterms:modified>
</cp:coreProperties>
</file>